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6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5.xml"/>
  <Override ContentType="application/vnd.ms-excel.threadedcomments+xml" PartName="/xl/threadedComments/threadedComment6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 (Homepage Nav)" sheetId="1" r:id="rId5"/>
    <sheet state="visible" name="Featured" sheetId="2" r:id="rId6"/>
    <sheet state="visible" name="Type" sheetId="3" r:id="rId7"/>
    <sheet state="visible" name="Purpose" sheetId="4" r:id="rId8"/>
    <sheet state="visible" name="Colour" sheetId="5" r:id="rId9"/>
    <sheet state="visible" name="Decoration" sheetId="6" r:id="rId10"/>
    <sheet state="visible" name="Cap Studio" sheetId="7" r:id="rId11"/>
    <sheet state="visible" name="LookbooksCollections" sheetId="8" r:id="rId12"/>
    <sheet state="visible" name="Decorator Academy" sheetId="9" r:id="rId13"/>
    <sheet state="visible" name="Resources" sheetId="10" r:id="rId14"/>
    <sheet state="visible" name="Where to Buy" sheetId="11" r:id="rId15"/>
    <sheet state="visible" name="About" sheetId="12" r:id="rId16"/>
    <sheet state="visible" name="Sustainability Hub" sheetId="13" r:id="rId17"/>
    <sheet state="visible" name="Footer" sheetId="14" r:id="rId18"/>
    <sheet state="hidden" name="Sheet3" sheetId="15" r:id="rId19"/>
    <sheet state="hidden" name="Copy of extracted_urls" sheetId="16" r:id="rId20"/>
    <sheet state="hidden" name="Sheet6" sheetId="17" r:id="rId21"/>
    <sheet state="hidden" name="Sheet4" sheetId="18" r:id="rId22"/>
  </sheets>
  <definedNames>
    <definedName hidden="1" localSheetId="14" name="_xlnm._FilterDatabase">Sheet3!$A$1:$C$427</definedName>
    <definedName hidden="1" localSheetId="15" name="_xlnm._FilterDatabase">'Copy of extracted_urls'!$A$1:$A$435</definedName>
    <definedName hidden="1" localSheetId="17" name="_xlnm._FilterDatabase">Sheet4!$A$1:$A$17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tc={023c8619-351a-4698-b097-d3937bd0cb27}</author>
    <author>tc={06153ac0-f0d1-40f4-a63d-97d661f6d5e6}</author>
    <author>tc={19896f24-f519-4ca1-8dc7-66e1d958d87d}</author>
    <author>tc={1e227a82-afef-47aa-86ef-57478ec02c74}</author>
    <author>tc={2f6c9843-ea13-470e-9b3f-8d7f518b92f6}</author>
    <author>tc={3cd70ec5-1b5f-458c-b61a-2eec35042301}</author>
    <author>tc={4e89e1a9-d478-4a79-aa24-06eabfe34f32}</author>
    <author>tc={66905ac6-194a-43b2-aaf8-026e5fcd3e28}</author>
    <author>tc={6e317602-5af3-47b4-a055-94e963d2de41}</author>
    <author>tc={7a3e82fd-ab26-4b16-809f-251e583105e0}</author>
    <author>tc={9bec0b24-0edd-4ed4-956c-0ba02e920db8}</author>
    <author>tc={b4b192a5-10bd-4d95-af73-760fb5c41701}</author>
    <author>tc={b7d85810-6fde-4ba5-9650-a882fd5bdc16}</author>
  </authors>
  <commentList>
    <comment authorId="0" xr:uid="{023c8619-351a-4698-b097-d3937bd0cb27}" ref="E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What was this?
</t>
      </text>
    </comment>
    <comment authorId="1" xr:uid="{06153ac0-f0d1-40f4-a63d-97d661f6d5e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Change to lookbooks
</t>
      </text>
    </comment>
    <comment authorId="2" xr:uid="{19896f24-f519-4ca1-8dc7-66e1d958d87d}" ref="D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Active
</t>
      </text>
    </comment>
    <comment authorId="3" xr:uid="{1e227a82-afef-47aa-86ef-57478ec02c7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Shop by Season
Reply:
	Shop by collection isn't in the tabs? Is this still planned? 
Overlap with lookbooks
</t>
      </text>
    </comment>
    <comment authorId="4" xr:uid="{2f6c9843-ea13-470e-9b3f-8d7f518b92f6}" ref="C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Shop by Type
</t>
      </text>
    </comment>
    <comment authorId="5" xr:uid="{3cd70ec5-1b5f-458c-b61a-2eec3504230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Happy for these to be pages for SEO purposes. Don't think they should be in the main nav.
</t>
      </text>
    </comment>
    <comment authorId="6" xr:uid="{4e89e1a9-d478-4a79-aa24-06eabfe34f32}" ref="B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If these top tabs are non-clickable, do we need a "view all" under each of them?
</t>
      </text>
    </comment>
    <comment authorId="7" xr:uid="{66905ac6-194a-43b2-aaf8-026e5fcd3e2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Would this be confusing compared to blue?
</t>
      </text>
    </comment>
    <comment authorId="8" xr:uid="{6e317602-5af3-47b4-a055-94e963d2de41}" ref="M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Potentially another name
</t>
      </text>
    </comment>
    <comment authorId="9" xr:uid="{7a3e82fd-ab26-4b16-809f-251e583105e0}" ref="B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This will link to Beechfield Brands.
</t>
      </text>
    </comment>
    <comment authorId="10" xr:uid="{9bec0b24-0edd-4ed4-956c-0ba02e920db8}" ref="E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What was this?
</t>
      </text>
    </comment>
    <comment authorId="11" xr:uid="{b4b192a5-10bd-4d95-af73-760fb5c41701}" ref="E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Love this. Just need to add more decoration techniques
</t>
      </text>
    </comment>
    <comment authorId="12" xr:uid="{b7d85810-6fde-4ba5-9650-a882fd5bdc16}" ref="D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Needs new word. Outdoors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tc={2aa38c2b-183c-428a-b567-99fd41a84606}</author>
    <author>tc={61240911-0e7a-473a-92d9-242ba2cccf4d}</author>
    <author>tc={724c1158-686e-4333-bbd0-5aa5628f3cdc}</author>
    <author>tc={9cd31858-4858-4c42-94c4-6b846cdd483e}</author>
  </authors>
  <commentList>
    <comment authorId="0" xr:uid="{2aa38c2b-183c-428a-b567-99fd41a84606}" ref="I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Would Bobble Hat be better?
</t>
      </text>
    </comment>
    <comment authorId="1" xr:uid="{61240911-0e7a-473a-92d9-242ba2cccf4d}" ref="G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Is this different from baseball caps? I would imagine there's a lot of volume for baseball caps
</t>
      </text>
    </comment>
    <comment authorId="2" xr:uid="{724c1158-686e-4333-bbd0-5aa5628f3cdc}" ref="G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All caps have panels. The differentiator is 5-panel caps or 6-panel caps.
</t>
      </text>
    </comment>
    <comment authorId="3" xr:uid="{9cd31858-4858-4c42-94c4-6b846cdd483e}" ref="I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SV for this page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tc={228eabc7-7c56-439b-8a35-61145b58d9ea}</author>
    <author>tc={8202c8f2-e610-49a6-9200-e576cad4145f}</author>
  </authors>
  <commentList>
    <comment authorId="0" xr:uid="{228eabc7-7c56-439b-8a35-61145b58d9ea}" ref="B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Active?
</t>
      </text>
    </comment>
    <comment authorId="1" xr:uid="{8202c8f2-e610-49a6-9200-e576cad4145f}" ref="D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This doesn't feel right to me.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tc={80929184-7738-4a1a-8fca-092484e76d4c}</author>
  </authors>
  <commentList>
    <comment authorId="0" xr:uid="{80929184-7738-4a1a-8fca-092484e76d4c}" ref="E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Not sure about this.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tc={1f70db8c-113f-4c2f-97c9-6c4879b5c266}</author>
    <author>tc={f7eb7e45-39c4-4b62-b7d0-6c3f8cf367cc}</author>
  </authors>
  <commentList>
    <comment authorId="0" xr:uid="{1f70db8c-113f-4c2f-97c9-6c4879b5c266}" ref="G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Long-Form guides coming off this.
</t>
      </text>
    </comment>
    <comment authorId="1" xr:uid="{f7eb7e45-39c4-4b62-b7d0-6c3f8cf367cc}" ref="G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Link to Media Hub with copy explaining you can find Placement Templates, Campaign Assets, Product Assets, Printability Notes here.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tc={f81ddad2-5e84-4666-99aa-6892a828d069}</author>
  </authors>
  <commentList>
    <comment authorId="0" xr:uid="{f81ddad2-5e84-4666-99aa-6892a828d069}" ref="G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Include information on 1% of the planet
</t>
      </text>
    </comment>
  </commentList>
</comments>
</file>

<file path=xl/sharedStrings.xml><?xml version="1.0" encoding="utf-8"?>
<sst xmlns="http://schemas.openxmlformats.org/spreadsheetml/2006/main" count="2184" uniqueCount="1704">
  <si>
    <t>Product Ranges</t>
  </si>
  <si>
    <t>Collections</t>
  </si>
  <si>
    <t>Cap Studio</t>
  </si>
  <si>
    <t>Lookbooks</t>
  </si>
  <si>
    <t>Decorator Academy</t>
  </si>
  <si>
    <t>Resources</t>
  </si>
  <si>
    <t>Where to Buy</t>
  </si>
  <si>
    <t>About</t>
  </si>
  <si>
    <t>My Account</t>
  </si>
  <si>
    <r>
      <rPr>
        <rFont val="DM Sans"/>
        <b/>
        <color theme="1"/>
      </rPr>
      <t xml:space="preserve">Featured </t>
    </r>
    <r>
      <rPr>
        <rFont val="DM Sans"/>
        <b val="0"/>
        <color theme="1"/>
      </rPr>
      <t>- non-clickable</t>
    </r>
  </si>
  <si>
    <r>
      <rPr>
        <rFont val="DM Sans"/>
        <b/>
        <color theme="1"/>
      </rPr>
      <t xml:space="preserve">Type </t>
    </r>
    <r>
      <rPr>
        <rFont val="DM Sans"/>
        <b val="0"/>
        <color theme="1"/>
      </rPr>
      <t>- non-clickable</t>
    </r>
  </si>
  <si>
    <r>
      <rPr>
        <rFont val="DM Sans"/>
        <b/>
        <color rgb="FF000000"/>
      </rPr>
      <t xml:space="preserve">Purpose </t>
    </r>
    <r>
      <rPr>
        <rFont val="DM Sans"/>
        <b val="0"/>
        <color rgb="FF000000"/>
      </rPr>
      <t>- non-clickable</t>
    </r>
  </si>
  <si>
    <r>
      <rPr>
        <rFont val="DM Sans"/>
        <b/>
        <color theme="1"/>
      </rPr>
      <t xml:space="preserve">Decoration </t>
    </r>
    <r>
      <rPr>
        <rFont val="DM Sans"/>
        <b val="0"/>
        <color theme="1"/>
      </rPr>
      <t>- non-clickable</t>
    </r>
  </si>
  <si>
    <r>
      <rPr>
        <rFont val="DM Sans"/>
        <b/>
        <color theme="1"/>
      </rPr>
      <t xml:space="preserve">Collections </t>
    </r>
    <r>
      <rPr>
        <rFont val="DM Sans"/>
        <b val="0"/>
        <color theme="1"/>
      </rPr>
      <t>- non-clickable</t>
    </r>
  </si>
  <si>
    <t>By Shape</t>
  </si>
  <si>
    <t>By Fabric</t>
  </si>
  <si>
    <t>Cap Studio Resources</t>
  </si>
  <si>
    <r>
      <rPr>
        <rFont val="DM Sans"/>
        <b/>
        <color theme="1"/>
      </rPr>
      <t xml:space="preserve">Lookbooks </t>
    </r>
    <r>
      <rPr>
        <rFont val="DM Sans"/>
        <b val="0"/>
        <color theme="1"/>
      </rPr>
      <t>- /lookbooks</t>
    </r>
  </si>
  <si>
    <r>
      <rPr>
        <rFont val="DM Sans"/>
        <b/>
        <color theme="1"/>
      </rPr>
      <t xml:space="preserve">Decorator Academy </t>
    </r>
    <r>
      <rPr>
        <rFont val="DM Sans"/>
        <b val="0"/>
        <color theme="1"/>
      </rPr>
      <t>- /decorator-academy</t>
    </r>
  </si>
  <si>
    <r>
      <rPr>
        <rFont val="DM Sans"/>
        <b/>
        <color theme="1"/>
      </rPr>
      <t xml:space="preserve">Resources </t>
    </r>
    <r>
      <rPr>
        <rFont val="DM Sans"/>
        <b val="0"/>
        <color theme="1"/>
      </rPr>
      <t>- non-clickable</t>
    </r>
  </si>
  <si>
    <r>
      <rPr>
        <rFont val="DM Sans"/>
        <b/>
        <color theme="1"/>
      </rPr>
      <t xml:space="preserve">Where to Buy </t>
    </r>
    <r>
      <rPr>
        <rFont val="DM Sans"/>
        <b val="0"/>
        <color theme="1"/>
      </rPr>
      <t>- non-clickable</t>
    </r>
  </si>
  <si>
    <t>New In</t>
  </si>
  <si>
    <t>Caps</t>
  </si>
  <si>
    <t>Outdoors</t>
  </si>
  <si>
    <t>Embroidery</t>
  </si>
  <si>
    <t>Originals</t>
  </si>
  <si>
    <t>Baseball</t>
  </si>
  <si>
    <t>Cotton</t>
  </si>
  <si>
    <t>Shape</t>
  </si>
  <si>
    <t>Beechfield® SS Lookbook 26</t>
  </si>
  <si>
    <t>Designed for Decoration</t>
  </si>
  <si>
    <t>Blog</t>
  </si>
  <si>
    <t>How to Buy</t>
  </si>
  <si>
    <t>Our Values</t>
  </si>
  <si>
    <t>Hero Products</t>
  </si>
  <si>
    <t>Beanies</t>
  </si>
  <si>
    <t>Sports</t>
  </si>
  <si>
    <t>Patches</t>
  </si>
  <si>
    <t>Morf</t>
  </si>
  <si>
    <t>Trucker</t>
  </si>
  <si>
    <t>Organic Cotton</t>
  </si>
  <si>
    <t>Fabric</t>
  </si>
  <si>
    <t>Beechfield® AW Lookbook 25/26</t>
  </si>
  <si>
    <t>Techniques</t>
  </si>
  <si>
    <t>Media Hub - External link</t>
  </si>
  <si>
    <t>Find a Distributor</t>
  </si>
  <si>
    <t>Sustainability</t>
  </si>
  <si>
    <t>Best Sellers</t>
  </si>
  <si>
    <t>Bucket Hats</t>
  </si>
  <si>
    <t>Promotion</t>
  </si>
  <si>
    <t>Transfer</t>
  </si>
  <si>
    <t>Snowstar</t>
  </si>
  <si>
    <t>Dad Hat</t>
  </si>
  <si>
    <t>Recycled Polyester</t>
  </si>
  <si>
    <t>Guides</t>
  </si>
  <si>
    <t>Beechfield® Mid-Year Headwear Lookbook 25</t>
  </si>
  <si>
    <t>Logo Placement Tool - External link</t>
  </si>
  <si>
    <t>Brochure - External link</t>
  </si>
  <si>
    <t>Inventory Finder</t>
  </si>
  <si>
    <t>Trending</t>
  </si>
  <si>
    <t>Visors</t>
  </si>
  <si>
    <t>Fashion</t>
  </si>
  <si>
    <t>Screen Print</t>
  </si>
  <si>
    <t>Suprafleece</t>
  </si>
  <si>
    <t>Flat Peak</t>
  </si>
  <si>
    <t>Polyester</t>
  </si>
  <si>
    <t>Colours</t>
  </si>
  <si>
    <t>Decoration Protection</t>
  </si>
  <si>
    <t>Campaign Assets</t>
  </si>
  <si>
    <t xml:space="preserve">Eco-Styles </t>
  </si>
  <si>
    <t>Performance</t>
  </si>
  <si>
    <t>Kids</t>
  </si>
  <si>
    <t>DTG</t>
  </si>
  <si>
    <t>EarthAware</t>
  </si>
  <si>
    <t>Army</t>
  </si>
  <si>
    <t>Corduroy</t>
  </si>
  <si>
    <t>Glossary</t>
  </si>
  <si>
    <t>How to Videos</t>
  </si>
  <si>
    <t>Product Assets</t>
  </si>
  <si>
    <t>All Products</t>
  </si>
  <si>
    <t>Accessories</t>
  </si>
  <si>
    <t>Workwear</t>
  </si>
  <si>
    <t>Sublimation</t>
  </si>
  <si>
    <t>Vintage</t>
  </si>
  <si>
    <t>Camper</t>
  </si>
  <si>
    <t>Polycotton</t>
  </si>
  <si>
    <t>Join the Community</t>
  </si>
  <si>
    <t>FAQs</t>
  </si>
  <si>
    <t>Gifting</t>
  </si>
  <si>
    <t>Deboss/Foil Laser</t>
  </si>
  <si>
    <t>Urbanwear</t>
  </si>
  <si>
    <t>Visor</t>
  </si>
  <si>
    <t>Brushed Cotton Twill</t>
  </si>
  <si>
    <t>Contact Us</t>
  </si>
  <si>
    <t>Flat Cap</t>
  </si>
  <si>
    <t>Nylon</t>
  </si>
  <si>
    <t>Recycled Fleece</t>
  </si>
  <si>
    <t>Denim</t>
  </si>
  <si>
    <t>Microfibre</t>
  </si>
  <si>
    <t>Organic Courdory</t>
  </si>
  <si>
    <t>Is Courdory a Weave/contstruction? Like velvet but engineered to have lines.</t>
  </si>
  <si>
    <t>Polyester Twill</t>
  </si>
  <si>
    <t xml:space="preserve">Microfibre is Polyester or Nylon. </t>
  </si>
  <si>
    <t>Our current offering for Cottons tend to be twill or Canvas (including organic)</t>
  </si>
  <si>
    <t>Regular Fleece</t>
  </si>
  <si>
    <t>Enzyme Washed Fabric (B655)</t>
  </si>
  <si>
    <t>Footer</t>
  </si>
  <si>
    <t>More</t>
  </si>
  <si>
    <t>Legal</t>
  </si>
  <si>
    <t>About Us</t>
  </si>
  <si>
    <t>Terms &amp; Conditions</t>
  </si>
  <si>
    <t>Modern Slavery Statement</t>
  </si>
  <si>
    <t>Privacy Statement</t>
  </si>
  <si>
    <t>Become a Distributor</t>
  </si>
  <si>
    <t>Featured Products</t>
  </si>
  <si>
    <t>Parent</t>
  </si>
  <si>
    <t>Anchor Text</t>
  </si>
  <si>
    <t>Proposed URL</t>
  </si>
  <si>
    <t>Top Keyword</t>
  </si>
  <si>
    <t>SV</t>
  </si>
  <si>
    <t>/new-products</t>
  </si>
  <si>
    <t>-</t>
  </si>
  <si>
    <t>/hero-products</t>
  </si>
  <si>
    <t>/best-sellers</t>
  </si>
  <si>
    <t>/trending</t>
  </si>
  <si>
    <t>/eco-styles</t>
  </si>
  <si>
    <t>/all-products</t>
  </si>
  <si>
    <t xml:space="preserve">We would want to tell the story of certain "Hero products"  where they have an expanded line. Think "Air Jordans" where there's a family/suite of products. </t>
  </si>
  <si>
    <t>Type</t>
  </si>
  <si>
    <t>Subcategories</t>
  </si>
  <si>
    <t>/caps</t>
  </si>
  <si>
    <t>blank caps</t>
  </si>
  <si>
    <t>Army Caps</t>
  </si>
  <si>
    <t>/caps/army</t>
  </si>
  <si>
    <t>camouflage caps wholesale</t>
  </si>
  <si>
    <t>0-10</t>
  </si>
  <si>
    <t>Visor Caps</t>
  </si>
  <si>
    <t>/caps/visor</t>
  </si>
  <si>
    <t>blank visors</t>
  </si>
  <si>
    <t>Baseball Caps</t>
  </si>
  <si>
    <t>/caps/baseball</t>
  </si>
  <si>
    <t>blank baseball caps</t>
  </si>
  <si>
    <t>Trucker Caps</t>
  </si>
  <si>
    <t>/caps/trucker</t>
  </si>
  <si>
    <t>blank trucker caps</t>
  </si>
  <si>
    <t>Flat Peak Caps</t>
  </si>
  <si>
    <t>/caps/flat-peak</t>
  </si>
  <si>
    <t>custom flat peak</t>
  </si>
  <si>
    <t>Bucket Hat</t>
  </si>
  <si>
    <t>/caps/bucket</t>
  </si>
  <si>
    <t>wholesale bucket hats</t>
  </si>
  <si>
    <t>Safari Hats</t>
  </si>
  <si>
    <t>/caps/safari</t>
  </si>
  <si>
    <t>safari hat wholesale</t>
  </si>
  <si>
    <t>Camper Hats</t>
  </si>
  <si>
    <t>/caps/camper</t>
  </si>
  <si>
    <t>wholesale camper hats</t>
  </si>
  <si>
    <t>/caps/flat</t>
  </si>
  <si>
    <t>wholesale flat caps</t>
  </si>
  <si>
    <t>Trilby Hats</t>
  </si>
  <si>
    <t>/caps/trilby</t>
  </si>
  <si>
    <t>wholesale trilby hats</t>
  </si>
  <si>
    <t>Dad Caps</t>
  </si>
  <si>
    <t>/caps/dad</t>
  </si>
  <si>
    <t>blank dad cap</t>
  </si>
  <si>
    <t>Straw Caps</t>
  </si>
  <si>
    <t>/caps/straw</t>
  </si>
  <si>
    <t>custom straw hats wholesale</t>
  </si>
  <si>
    <t>5-panel Caps</t>
  </si>
  <si>
    <t>/caps/5-panel</t>
  </si>
  <si>
    <t>wholesale 5 panel caps</t>
  </si>
  <si>
    <t>6-panel Caps</t>
  </si>
  <si>
    <t>/caps/6-panel</t>
  </si>
  <si>
    <t>6 panel caps wholesale</t>
  </si>
  <si>
    <t>/beanies</t>
  </si>
  <si>
    <t>blank beanies</t>
  </si>
  <si>
    <t>Cuffed Beanies</t>
  </si>
  <si>
    <t>/beanies/cuffed</t>
  </si>
  <si>
    <t>cuffed beanies wholesale</t>
  </si>
  <si>
    <t>Pom Pom Beanies</t>
  </si>
  <si>
    <t>/beanies/pom-pom</t>
  </si>
  <si>
    <t>wholesale bobble hats</t>
  </si>
  <si>
    <t>Cotton Beanies</t>
  </si>
  <si>
    <t>/beanies/cotton</t>
  </si>
  <si>
    <t>organic cotton beanie wholesale</t>
  </si>
  <si>
    <t>Recycled Beanies</t>
  </si>
  <si>
    <t>/beanies/recycled</t>
  </si>
  <si>
    <t>recycled beanie</t>
  </si>
  <si>
    <t>Patch Beanies</t>
  </si>
  <si>
    <t>/beanies/patch</t>
  </si>
  <si>
    <t>custom patch beanies</t>
  </si>
  <si>
    <t>Kids Beanies</t>
  </si>
  <si>
    <t>/beanies/kids</t>
  </si>
  <si>
    <t>wholesale kids beanies</t>
  </si>
  <si>
    <t>Pull Beanies</t>
  </si>
  <si>
    <t>/beanies/pull</t>
  </si>
  <si>
    <t>pull on beanie</t>
  </si>
  <si>
    <t>Knit Beanies</t>
  </si>
  <si>
    <t>/beanies/knit</t>
  </si>
  <si>
    <t>knit beanie wholesale</t>
  </si>
  <si>
    <t>Thermal Beanies</t>
  </si>
  <si>
    <t>/beanies/thermal</t>
  </si>
  <si>
    <t>thermal beanies</t>
  </si>
  <si>
    <t>Sports Beanies</t>
  </si>
  <si>
    <t>/beanies/sports</t>
  </si>
  <si>
    <t>custom sports beanies</t>
  </si>
  <si>
    <t>Fisherman Beanies</t>
  </si>
  <si>
    <t>/beanies/fisherman</t>
  </si>
  <si>
    <t>fisherman beanies wholesale</t>
  </si>
  <si>
    <t>Slouch Beanies</t>
  </si>
  <si>
    <t>/beanies/slouch</t>
  </si>
  <si>
    <t>wholesale slouch beanies</t>
  </si>
  <si>
    <t>/accessories</t>
  </si>
  <si>
    <t>home accessories wholesale</t>
  </si>
  <si>
    <t>Scarves</t>
  </si>
  <si>
    <t>/accessories/scarves</t>
  </si>
  <si>
    <t>wholesale scarves</t>
  </si>
  <si>
    <t>Gloves</t>
  </si>
  <si>
    <t>/accessories/gloves</t>
  </si>
  <si>
    <t>gloves wholesale</t>
  </si>
  <si>
    <t>Balaclavas</t>
  </si>
  <si>
    <t>/accessories/balaclavas</t>
  </si>
  <si>
    <t>wholesale balaclavas</t>
  </si>
  <si>
    <t>Snoods</t>
  </si>
  <si>
    <t>/accessories/snoods</t>
  </si>
  <si>
    <t>snoods wholesale</t>
  </si>
  <si>
    <t>Headbands</t>
  </si>
  <si>
    <t>/accessories/headbands</t>
  </si>
  <si>
    <t>wholesale headbands</t>
  </si>
  <si>
    <t>Hand Warmers</t>
  </si>
  <si>
    <t>/accessories/hand-warmers</t>
  </si>
  <si>
    <t>wholesale hand warmers</t>
  </si>
  <si>
    <t>/bucket-hats</t>
  </si>
  <si>
    <t>/visors</t>
  </si>
  <si>
    <t>/performance</t>
  </si>
  <si>
    <t>blank performance hats</t>
  </si>
  <si>
    <t>Remove</t>
  </si>
  <si>
    <t>Sun Hats</t>
  </si>
  <si>
    <t>Safari, Fedoras, cowboy, straw,</t>
  </si>
  <si>
    <r>
      <rPr>
        <rFont val="DM Sans"/>
      </rPr>
      <t xml:space="preserve">Should we look at organisation that is like: 
</t>
    </r>
    <r>
      <rPr>
        <rFont val="DM Sans"/>
        <color rgb="FF1155CC"/>
        <u/>
      </rPr>
      <t>https://varsityheadwear.com/pages/the-cap-guide</t>
    </r>
    <r>
      <rPr>
        <rFont val="DM Sans"/>
      </rPr>
      <t xml:space="preserve">
Or 
https://atlantisheadwear.com/en/
Where the menus allow users to shop by shape, by fabrics, etc. ? To demonstrate our cap/headwear expertise. </t>
    </r>
  </si>
  <si>
    <t>Shop by Shape? 
Baseball 
Trucker
Dad Hat
Flat Peak
Army
Camper
Visor
Flat Cap</t>
  </si>
  <si>
    <t>Purpose</t>
  </si>
  <si>
    <t>/outdoors</t>
  </si>
  <si>
    <t>outdoor cap wholesale</t>
  </si>
  <si>
    <t>/sports</t>
  </si>
  <si>
    <t>wholesale sports hats</t>
  </si>
  <si>
    <t>/promotion</t>
  </si>
  <si>
    <t>event hats</t>
  </si>
  <si>
    <t>/fashion</t>
  </si>
  <si>
    <t>fashion caps</t>
  </si>
  <si>
    <t>/kids</t>
  </si>
  <si>
    <t>wholesale kids hats</t>
  </si>
  <si>
    <t>/workwear</t>
  </si>
  <si>
    <t>custom work hats</t>
  </si>
  <si>
    <t>/gifting</t>
  </si>
  <si>
    <t>hat gifts</t>
  </si>
  <si>
    <t>Colour</t>
  </si>
  <si>
    <t>Black Hats</t>
  </si>
  <si>
    <t>/black</t>
  </si>
  <si>
    <t>blank black hat</t>
  </si>
  <si>
    <t>Navy Hats</t>
  </si>
  <si>
    <t>/navy</t>
  </si>
  <si>
    <t>custom navy hat</t>
  </si>
  <si>
    <t>Grey Hats</t>
  </si>
  <si>
    <t>/grey</t>
  </si>
  <si>
    <t>blank grey hat</t>
  </si>
  <si>
    <t>Red Hats</t>
  </si>
  <si>
    <t>/red</t>
  </si>
  <si>
    <t>blank red hat</t>
  </si>
  <si>
    <t>White Hats</t>
  </si>
  <si>
    <t>/white</t>
  </si>
  <si>
    <t>blank white hat</t>
  </si>
  <si>
    <t>Green Hats</t>
  </si>
  <si>
    <t>/green</t>
  </si>
  <si>
    <t>custom green hat</t>
  </si>
  <si>
    <t>Blue Hats</t>
  </si>
  <si>
    <t>/blue</t>
  </si>
  <si>
    <t>blank blue hat</t>
  </si>
  <si>
    <t>Pink Hats</t>
  </si>
  <si>
    <t>/pink</t>
  </si>
  <si>
    <t>custom pink hats</t>
  </si>
  <si>
    <t>Orange Hats</t>
  </si>
  <si>
    <t>/orange</t>
  </si>
  <si>
    <t>blank orange hat</t>
  </si>
  <si>
    <t>Decoration</t>
  </si>
  <si>
    <t>/embroidery</t>
  </si>
  <si>
    <t>hats for embroidery</t>
  </si>
  <si>
    <t>/patches</t>
  </si>
  <si>
    <t>hats for patches</t>
  </si>
  <si>
    <t>/transfer</t>
  </si>
  <si>
    <t>heat transfer caps</t>
  </si>
  <si>
    <t>/screen-print</t>
  </si>
  <si>
    <t>blank hats for printing</t>
  </si>
  <si>
    <t>/dtg</t>
  </si>
  <si>
    <t>/sublimation</t>
  </si>
  <si>
    <t>caps for sublimation</t>
  </si>
  <si>
    <t>/deboss-foil-laser</t>
  </si>
  <si>
    <t>/caps/cotton</t>
  </si>
  <si>
    <t>wholesale cotton hats</t>
  </si>
  <si>
    <t>/caps/organic</t>
  </si>
  <si>
    <t>organic cotton caps wholesale</t>
  </si>
  <si>
    <t>/caps/recycled</t>
  </si>
  <si>
    <t>recycled hats wholesale</t>
  </si>
  <si>
    <t>/caps/polyester</t>
  </si>
  <si>
    <t>wholesale polyester cap</t>
  </si>
  <si>
    <t>/caps/corduroy</t>
  </si>
  <si>
    <t>corduroy cap blank</t>
  </si>
  <si>
    <t>/caps/polycotton</t>
  </si>
  <si>
    <t>/caps/brushed-cotton</t>
  </si>
  <si>
    <t>/caps/nylon</t>
  </si>
  <si>
    <t>custom nylon cap</t>
  </si>
  <si>
    <t>/caps/fleece</t>
  </si>
  <si>
    <t>fleece hats wholesale</t>
  </si>
  <si>
    <t>/caps/denim</t>
  </si>
  <si>
    <t>denim hats and caps wholesale</t>
  </si>
  <si>
    <t>/caps/microfibre</t>
  </si>
  <si>
    <t>/cap-guides</t>
  </si>
  <si>
    <t>Fit &amp; Profile Guide</t>
  </si>
  <si>
    <t>/cap-guides/fit-profile</t>
  </si>
  <si>
    <t>Construction Guide</t>
  </si>
  <si>
    <t>/cap-guides/construction</t>
  </si>
  <si>
    <t>Fabric Guide</t>
  </si>
  <si>
    <t>/cap-guides/fabric</t>
  </si>
  <si>
    <t>Closure Guide</t>
  </si>
  <si>
    <t>/cap-guides/closure</t>
  </si>
  <si>
    <t>/cap-colours</t>
  </si>
  <si>
    <t>/cap-glossary</t>
  </si>
  <si>
    <t>Ease of Decoration
Stiffness of Front Panel</t>
  </si>
  <si>
    <t xml:space="preserve">And could the guides sit alongside those. So it's like half guide, half PLP?  or is that weird? </t>
  </si>
  <si>
    <t>Lookbooks/Collections</t>
  </si>
  <si>
    <t>Subcategory Lookbooks</t>
  </si>
  <si>
    <t>Subcategories - Visual Collections</t>
  </si>
  <si>
    <t>Current URL</t>
  </si>
  <si>
    <t>/lookbooks</t>
  </si>
  <si>
    <t>NEW</t>
  </si>
  <si>
    <t>/lookbooks/ss26</t>
  </si>
  <si>
    <t>/beechfieldr-aw-lookbook-2526</t>
  </si>
  <si>
    <t>/lookbooks/aw25-26</t>
  </si>
  <si>
    <t>/beechfieldr-mid-year-headwear-lookbook-25</t>
  </si>
  <si>
    <t>/lookbooks/mid-year-headwear-25</t>
  </si>
  <si>
    <t>/decorator-academy</t>
  </si>
  <si>
    <t>/decorator-academy/designed-for-decoration</t>
  </si>
  <si>
    <t>/decorator-academy/techniques</t>
  </si>
  <si>
    <t>Long-form guides related to techniques.</t>
  </si>
  <si>
    <t>Logo Placement Tool</t>
  </si>
  <si>
    <t>TBC</t>
  </si>
  <si>
    <t>/decorator-academy/decoration-protection</t>
  </si>
  <si>
    <t>/beechfield-inspiration-page</t>
  </si>
  <si>
    <t>/decorator-academy/how-to-videos</t>
  </si>
  <si>
    <t>/decorator-academy/join-the-community</t>
  </si>
  <si>
    <t>Support</t>
  </si>
  <si>
    <t>/blog/</t>
  </si>
  <si>
    <t>Media Hub</t>
  </si>
  <si>
    <t>https://mediahub.beechfieldbrands.com/login/redirectToken/3F8C914A-C169-4EFB-B5FE72805708526C/</t>
  </si>
  <si>
    <t>Brochure</t>
  </si>
  <si>
    <t>/brochure</t>
  </si>
  <si>
    <t>/frequently-asked-questions</t>
  </si>
  <si>
    <t>/contact</t>
  </si>
  <si>
    <t>/how-to-buy</t>
  </si>
  <si>
    <t>/find-a-distributor</t>
  </si>
  <si>
    <t>/inventory-finder</t>
  </si>
  <si>
    <t>/about</t>
  </si>
  <si>
    <t>/responsibility-choose-better</t>
  </si>
  <si>
    <t>/about/our-values</t>
  </si>
  <si>
    <t>/about/sustainability</t>
  </si>
  <si>
    <t>Materials</t>
  </si>
  <si>
    <t>/about/sustainability/materials</t>
  </si>
  <si>
    <t>Supply Chain</t>
  </si>
  <si>
    <t>/bf-responsible-manufacturing</t>
  </si>
  <si>
    <t>/about/sustainability/supply-chain</t>
  </si>
  <si>
    <t>Packaging</t>
  </si>
  <si>
    <t>/about/sustainability/packaging</t>
  </si>
  <si>
    <t>Certifications</t>
  </si>
  <si>
    <t>/bf-certifications</t>
  </si>
  <si>
    <t>/about/sustainability/certifications</t>
  </si>
  <si>
    <t>/about-us</t>
  </si>
  <si>
    <t>/login</t>
  </si>
  <si>
    <t>/distributors</t>
  </si>
  <si>
    <t>https://beechfieldbrands.com/</t>
  </si>
  <si>
    <t>/about-us/contact-us</t>
  </si>
  <si>
    <t>/terms-and-conditions</t>
  </si>
  <si>
    <t>/modern-slavery-statement</t>
  </si>
  <si>
    <t>/privacy-policy</t>
  </si>
  <si>
    <t>URL</t>
  </si>
  <si>
    <t>&lt;loc&gt;https://odysia-cruise-uk.client.prod.eu-west.dreamlake.io/cruise-lines/regent-seven-seas-cruises/seven-seas-mariner&lt;/loc&gt;</t>
  </si>
  <si>
    <t>https://odysia-cruise-uk.client.prod.eu-west.dreamlake.io/cruise-lines/regent-seven-seas-cruises/seven-seas-mariner</t>
  </si>
  <si>
    <t>&lt;loc&gt;https://odysia-cruise-uk.client.prod.eu-west.dreamlake.io/cruise-lines/princess-cruises/royal-princess/cruises&lt;/loc&gt;</t>
  </si>
  <si>
    <t>https://odysia-cruise-uk.client.prod.eu-west.dreamlake.io/cruise-lines/princess-cruises/royal-princess/cruises</t>
  </si>
  <si>
    <t>&lt;loc&gt;https://odysia-cruise-uk.client.prod.eu-west.dreamlake.io/cruise-lines/royal-caribbean/anthem-of-the-seas/cruises&lt;/loc&gt;</t>
  </si>
  <si>
    <t>https://odysia-cruise-uk.client.prod.eu-west.dreamlake.io/cruise-lines/royal-caribbean/anthem-of-the-seas/cruises</t>
  </si>
  <si>
    <t>&lt;loc&gt;https://odysia-cruise-uk.client.prod.eu-west.dreamlake.io/cruise-lines/holland-america-line/zaandam&lt;/loc&gt;</t>
  </si>
  <si>
    <t>https://odysia-cruise-uk.client.prod.eu-west.dreamlake.io/cruise-lines/holland-america-line/zaandam</t>
  </si>
  <si>
    <t>&lt;loc&gt;https://odysia-cruise-uk.client.prod.eu-west.dreamlake.io/cruise-lines/regent-seven-seas-cruises/seven-seas-splendor/cruises&lt;/loc&gt;</t>
  </si>
  <si>
    <t>https://odysia-cruise-uk.client.prod.eu-west.dreamlake.io/cruise-lines/regent-seven-seas-cruises/seven-seas-splendor/cruises</t>
  </si>
  <si>
    <t>&lt;loc&gt;https://odysia-cruise-uk.client.prod.eu-west.dreamlake.io&lt;/loc&gt;</t>
  </si>
  <si>
    <t>&lt;loc&gt;https://odysia-cruise-uk.client.prod.eu-west.dreamlake.io/cruise-lines/msc-cruises/msc-armonia&lt;/loc&gt;</t>
  </si>
  <si>
    <t>https://odysia-cruise-uk.client.prod.eu-west.dreamlake.io/cruise-lines/msc-cruises/msc-armonia</t>
  </si>
  <si>
    <t>&lt;loc&gt;https://odysia-cruise-uk.client.prod.eu-west.dreamlake.io/destinations/british-isles-cruises&lt;/loc&gt;</t>
  </si>
  <si>
    <t>&lt;loc&gt;https://odysia-cruise-uk.client.prod.eu-west.dreamlake.io/cruise-lines/costa-cruises/costa-smeralda/cruises&lt;/loc&gt;</t>
  </si>
  <si>
    <t>https://odysia-cruise-uk.client.prod.eu-west.dreamlake.io/cruise-lines/costa-cruises/costa-smeralda/cruises</t>
  </si>
  <si>
    <t>&lt;loc&gt;https://odysia-cruise-uk.client.prod.eu-west.dreamlake.io/cruise-lines/holland-america-line/rotterdam/cruises&lt;/loc&gt;</t>
  </si>
  <si>
    <t>https://odysia-cruise-uk.client.prod.eu-west.dreamlake.io/cruise-lines/holland-america-line/rotterdam/cruises</t>
  </si>
  <si>
    <t>&lt;loc&gt;https://odysia-cruise-uk.client.prod.eu-west.dreamlake.io/cruise-lines/regent-seven-seas-cruises/seven-seas-grandeur/cruises&lt;/loc&gt;</t>
  </si>
  <si>
    <t>https://odysia-cruise-uk.client.prod.eu-west.dreamlake.io/cruise-lines/regent-seven-seas-cruises/seven-seas-grandeur/cruises</t>
  </si>
  <si>
    <t>&lt;loc&gt;https://odysia-cruise-uk.client.prod.eu-west.dreamlake.io/cruise-lines/royal-caribbean/icon-of-the-seas/cruises&lt;/loc&gt;</t>
  </si>
  <si>
    <t>https://odysia-cruise-uk.client.prod.eu-west.dreamlake.io/cruise-lines/royal-caribbean/icon-of-the-seas/cruises</t>
  </si>
  <si>
    <t>&lt;loc&gt;https://odysia-cruise-uk.client.prod.eu-west.dreamlake.io/cruise-lines/virgin-voyages/resilient-lady&lt;/loc&gt;</t>
  </si>
  <si>
    <t>https://odysia-cruise-uk.client.prod.eu-west.dreamlake.io/cruise-lines/virgin-voyages/resilient-lady</t>
  </si>
  <si>
    <t>&lt;loc&gt;https://odysia-cruise-uk.client.prod.eu-west.dreamlake.io/cruise-lines/norwegian-cruise-line/norwegian-jade/cruises&lt;/loc&gt;</t>
  </si>
  <si>
    <t>https://odysia-cruise-uk.client.prod.eu-west.dreamlake.io/cruise-lines/norwegian-cruise-line/norwegian-jade/cruises</t>
  </si>
  <si>
    <t>&lt;loc&gt;https://odysia-cruise-uk.client.prod.eu-west.dreamlake.io/cruise-lines/cunard/cruises&lt;/loc&gt;</t>
  </si>
  <si>
    <t>https://odysia-cruise-uk.client.prod.eu-west.dreamlake.io/cruise-lines/cunard/cruises</t>
  </si>
  <si>
    <t>&lt;loc&gt;https://odysia-cruise-uk.client.prod.eu-west.dreamlake.io/cruise-lines/celebrity-cruises/celebrity-beyond/cruises&lt;/loc&gt;</t>
  </si>
  <si>
    <t>https://odysia-cruise-uk.client.prod.eu-west.dreamlake.io/cruise-lines/celebrity-cruises/celebrity-beyond/cruises</t>
  </si>
  <si>
    <t>&lt;loc&gt;https://odysia-cruise-uk.client.prod.eu-west.dreamlake.io/cruise-lines/royal-caribbean/icon-of-the-seas&lt;/loc&gt;</t>
  </si>
  <si>
    <t>https://odysia-cruise-uk.client.prod.eu-west.dreamlake.io/cruise-lines/royal-caribbean/icon-of-the-seas</t>
  </si>
  <si>
    <t>&lt;loc&gt;https://odysia-cruise-uk.client.prod.eu-west.dreamlake.io/cruise-lines/princess-cruises/regal-princess&lt;/loc&gt;</t>
  </si>
  <si>
    <t>https://odysia-cruise-uk.client.prod.eu-west.dreamlake.io/cruise-lines/princess-cruises/regal-princess</t>
  </si>
  <si>
    <t>&lt;loc&gt;https://odysia-cruise-uk.client.prod.eu-west.dreamlake.io/cruise-lines/royal-caribbean/utopia-of-the-seas/cruises&lt;/loc&gt;</t>
  </si>
  <si>
    <t>https://odysia-cruise-uk.client.prod.eu-west.dreamlake.io/cruise-lines/royal-caribbean/utopia-of-the-seas/cruises</t>
  </si>
  <si>
    <t>&lt;loc&gt;https://odysia-cruise-uk.client.prod.eu-west.dreamlake.io/cruise-lines/oceania-cruises/oceania-riviera/cruises&lt;/loc&gt;</t>
  </si>
  <si>
    <t>https://odysia-cruise-uk.client.prod.eu-west.dreamlake.io/cruise-lines/oceania-cruises/oceania-riviera/cruises</t>
  </si>
  <si>
    <t>&lt;loc&gt;https://odysia-cruise-uk.client.prod.eu-west.dreamlake.io/cruise-lines/cunard/queen-anne/cruises&lt;/loc&gt;</t>
  </si>
  <si>
    <t>https://odysia-cruise-uk.client.prod.eu-west.dreamlake.io/cruise-lines/cunard/queen-anne/cruises</t>
  </si>
  <si>
    <t>&lt;loc&gt;https://odysia-cruise-uk.client.prod.eu-west.dreamlake.io/cruise-lines/norwegian-cruise-line/norwegian-dawn&lt;/loc&gt;</t>
  </si>
  <si>
    <t>https://odysia-cruise-uk.client.prod.eu-west.dreamlake.io/cruise-lines/norwegian-cruise-line/norwegian-dawn</t>
  </si>
  <si>
    <t>&lt;loc&gt;https://odysia-cruise-uk.client.prod.eu-west.dreamlake.io/destinations/mediterranean-cruises&lt;/loc&gt;</t>
  </si>
  <si>
    <t>&lt;loc&gt;https://odysia-cruise-uk.client.prod.eu-west.dreamlake.io/cruise-lines/norwegian-cruise-line/norwegian-epic&lt;/loc&gt;</t>
  </si>
  <si>
    <t>https://odysia-cruise-uk.client.prod.eu-west.dreamlake.io/cruise-lines/norwegian-cruise-line/norwegian-epic</t>
  </si>
  <si>
    <t>&lt;loc&gt;https://odysia-cruise-uk.client.prod.eu-west.dreamlake.io/cruise-lines/celebrity-cruises/celebrity-silhouette&lt;/loc&gt;</t>
  </si>
  <si>
    <t>https://odysia-cruise-uk.client.prod.eu-west.dreamlake.io/cruise-lines/celebrity-cruises/celebrity-silhouette</t>
  </si>
  <si>
    <t>&lt;loc&gt;https://odysia-cruise-uk.client.prod.eu-west.dreamlake.io/destinations/usa-cruises&lt;/loc&gt;</t>
  </si>
  <si>
    <t>&lt;loc&gt;https://odysia-cruise-uk.client.prod.eu-west.dreamlake.io/cruise-lines/royal-caribbean/radiance-of-the-seas/cruises&lt;/loc&gt;</t>
  </si>
  <si>
    <t>https://odysia-cruise-uk.client.prod.eu-west.dreamlake.io/cruise-lines/royal-caribbean/radiance-of-the-seas/cruises</t>
  </si>
  <si>
    <t>&lt;loc&gt;https://odysia-cruise-uk.client.prod.eu-west.dreamlake.io/cruise-lines/holland-america-line/rotterdam&lt;/loc&gt;</t>
  </si>
  <si>
    <t>https://odysia-cruise-uk.client.prod.eu-west.dreamlake.io/cruise-lines/holland-america-line/rotterdam</t>
  </si>
  <si>
    <t>&lt;loc&gt;https://odysia-cruise-uk.client.prod.eu-west.dreamlake.io/cruise-lines/royal-caribbean/anthem-of-the-seas&lt;/loc&gt;</t>
  </si>
  <si>
    <t>https://odysia-cruise-uk.client.prod.eu-west.dreamlake.io/cruise-lines/royal-caribbean/anthem-of-the-seas</t>
  </si>
  <si>
    <t>&lt;loc&gt;https://odysia-cruise-uk.client.prod.eu-west.dreamlake.io/cruise-deals/cruises-from-southampton&lt;/loc&gt;</t>
  </si>
  <si>
    <t>https://odysia-cruise-uk.client.prod.eu-west.dreamlake.io/cruise-deals/cruises-from-southampton</t>
  </si>
  <si>
    <t>&lt;loc&gt;https://odysia-cruise-uk.client.prod.eu-west.dreamlake.io/cruise-lines/celebrity-cruises/celebrity-silhouette/cruises&lt;/loc&gt;</t>
  </si>
  <si>
    <t>https://odysia-cruise-uk.client.prod.eu-west.dreamlake.io/cruise-lines/celebrity-cruises/celebrity-silhouette/cruises</t>
  </si>
  <si>
    <t>&lt;loc&gt;https://odysia-cruise-uk.client.prod.eu-west.dreamlake.io/cruise-lines/royal-caribbean/enchantment-of-the-seas&lt;/loc&gt;</t>
  </si>
  <si>
    <t>https://odysia-cruise-uk.client.prod.eu-west.dreamlake.io/cruise-lines/royal-caribbean/enchantment-of-the-seas</t>
  </si>
  <si>
    <t>&lt;loc&gt;https://odysia-cruise-uk.client.prod.eu-west.dreamlake.io/cruise-lines/norwegian-cruise-line/norwegian-gem/cruises&lt;/loc&gt;</t>
  </si>
  <si>
    <t>https://odysia-cruise-uk.client.prod.eu-west.dreamlake.io/cruise-lines/norwegian-cruise-line/norwegian-gem/cruises</t>
  </si>
  <si>
    <t>&lt;loc&gt;https://odysia-cruise-uk.client.prod.eu-west.dreamlake.io/cruise-lines/virgin-voyages/scarlet-lady/cruises&lt;/loc&gt;</t>
  </si>
  <si>
    <t>https://odysia-cruise-uk.client.prod.eu-west.dreamlake.io/cruise-lines/virgin-voyages/scarlet-lady/cruises</t>
  </si>
  <si>
    <t>&lt;loc&gt;https://odysia-cruise-uk.client.prod.eu-west.dreamlake.io/cruise-lines/msc-cruises/msc-splendida/cruises&lt;/loc&gt;</t>
  </si>
  <si>
    <t>https://odysia-cruise-uk.client.prod.eu-west.dreamlake.io/cruise-lines/msc-cruises/msc-splendida/cruises</t>
  </si>
  <si>
    <t>&lt;loc&gt;https://odysia-cruise-uk.client.prod.eu-west.dreamlake.io/cruise-lines/norwegian-cruise-line/norwegian-dawn/cruises&lt;/loc&gt;</t>
  </si>
  <si>
    <t>https://odysia-cruise-uk.client.prod.eu-west.dreamlake.io/cruise-lines/norwegian-cruise-line/norwegian-dawn/cruises</t>
  </si>
  <si>
    <t>&lt;loc&gt;https://odysia-cruise-uk.client.prod.eu-west.dreamlake.io/cruise-lines/msc-cruises/msc-seascape&lt;/loc&gt;</t>
  </si>
  <si>
    <t>https://odysia-cruise-uk.client.prod.eu-west.dreamlake.io/cruise-lines/msc-cruises/msc-seascape</t>
  </si>
  <si>
    <t>&lt;loc&gt;https://odysia-cruise-uk.client.prod.eu-west.dreamlake.io/cruise-lines/msc-cruises/cruises&lt;/loc&gt;</t>
  </si>
  <si>
    <t>https://odysia-cruise-uk.client.prod.eu-west.dreamlake.io/cruise-lines/msc-cruises/cruises</t>
  </si>
  <si>
    <t>&lt;loc&gt;https://odysia-cruise-uk.client.prod.eu-west.dreamlake.io/cruise-lines/virgin-voyages/valiant-lady/cruises&lt;/loc&gt;</t>
  </si>
  <si>
    <t>https://odysia-cruise-uk.client.prod.eu-west.dreamlake.io/cruise-lines/virgin-voyages/valiant-lady/cruises</t>
  </si>
  <si>
    <t>&lt;loc&gt;https://odysia-cruise-uk.client.prod.eu-west.dreamlake.io/cruise-deals/fly-cruise-deals&lt;/loc&gt;</t>
  </si>
  <si>
    <t>https://odysia-cruise-uk.client.prod.eu-west.dreamlake.io/cruise-deals/fly-cruise-deals</t>
  </si>
  <si>
    <t>&lt;loc&gt;https://odysia-cruise-uk.client.prod.eu-west.dreamlake.io/cruise-lines/virgin-voyages/cruises&lt;/loc&gt;</t>
  </si>
  <si>
    <t>https://odysia-cruise-uk.client.prod.eu-west.dreamlake.io/cruise-lines/virgin-voyages/cruises</t>
  </si>
  <si>
    <t>&lt;loc&gt;https://odysia-cruise-uk.client.prod.eu-west.dreamlake.io/cruise-lines/royal-caribbean/vision-of-the-seas&lt;/loc&gt;</t>
  </si>
  <si>
    <t>https://odysia-cruise-uk.client.prod.eu-west.dreamlake.io/cruise-lines/royal-caribbean/vision-of-the-seas</t>
  </si>
  <si>
    <t>&lt;loc&gt;https://odysia-cruise-uk.client.prod.eu-west.dreamlake.io/cruise-lines/explora-journeys/explora-iii/cruises&lt;/loc&gt;</t>
  </si>
  <si>
    <t>https://odysia-cruise-uk.client.prod.eu-west.dreamlake.io/cruise-lines/explora-journeys/explora-iii/cruises</t>
  </si>
  <si>
    <t>&lt;loc&gt;https://odysia-cruise-uk.client.prod.eu-west.dreamlake.io/cruise-lines/holland-america-line/nieuw-amsterdam/cruises&lt;/loc&gt;</t>
  </si>
  <si>
    <t>https://odysia-cruise-uk.client.prod.eu-west.dreamlake.io/cruise-lines/holland-america-line/nieuw-amsterdam/cruises</t>
  </si>
  <si>
    <t>&lt;loc&gt;https://odysia-cruise-uk.client.prod.eu-west.dreamlake.io/cruise-lines/holland-america-line/eurodam&lt;/loc&gt;</t>
  </si>
  <si>
    <t>https://odysia-cruise-uk.client.prod.eu-west.dreamlake.io/cruise-lines/holland-america-line/eurodam</t>
  </si>
  <si>
    <t>&lt;loc&gt;https://odysia-cruise-uk.client.prod.eu-west.dreamlake.io/cruise-lines/princess-cruises/majestic-princess&lt;/loc&gt;</t>
  </si>
  <si>
    <t>https://odysia-cruise-uk.client.prod.eu-west.dreamlake.io/cruise-lines/princess-cruises/majestic-princess</t>
  </si>
  <si>
    <t>&lt;loc&gt;https://odysia-cruise-uk.client.prod.eu-west.dreamlake.io/cruise-lines/oceania-cruises/oceania-nautica/cruises&lt;/loc&gt;</t>
  </si>
  <si>
    <t>https://odysia-cruise-uk.client.prod.eu-west.dreamlake.io/cruise-lines/oceania-cruises/oceania-nautica/cruises</t>
  </si>
  <si>
    <t>&lt;loc&gt;https://odysia-cruise-uk.client.prod.eu-west.dreamlake.io/cruise-lines/holland-america-line/koningsdam&lt;/loc&gt;</t>
  </si>
  <si>
    <t>https://odysia-cruise-uk.client.prod.eu-west.dreamlake.io/cruise-lines/holland-america-line/koningsdam</t>
  </si>
  <si>
    <t>&lt;loc&gt;https://odysia-cruise-uk.client.prod.eu-west.dreamlake.io/cruise-lines/oceania-cruises/cruises&lt;/loc&gt;</t>
  </si>
  <si>
    <t>https://odysia-cruise-uk.client.prod.eu-west.dreamlake.io/cruise-lines/oceania-cruises/cruises</t>
  </si>
  <si>
    <t>&lt;loc&gt;https://odysia-cruise-uk.client.prod.eu-west.dreamlake.io/cruise-lines/msc-cruises/msc-euribia/cruises&lt;/loc&gt;</t>
  </si>
  <si>
    <t>https://odysia-cruise-uk.client.prod.eu-west.dreamlake.io/cruise-lines/msc-cruises/msc-euribia/cruises</t>
  </si>
  <si>
    <t>&lt;loc&gt;https://odysia-cruise-uk.client.prod.eu-west.dreamlake.io/cruise-calendar/north-america-cruises&lt;/loc&gt;</t>
  </si>
  <si>
    <t>&lt;loc&gt;https://odysia-cruise-uk.client.prod.eu-west.dreamlake.io/destinations/norway-norwegian-fjords-cruises&lt;/loc&gt;</t>
  </si>
  <si>
    <t>&lt;loc&gt;https://odysia-cruise-uk.client.prod.eu-west.dreamlake.io/cruise-lines/msc-cruises/msc-euribia&lt;/loc&gt;</t>
  </si>
  <si>
    <t>https://odysia-cruise-uk.client.prod.eu-west.dreamlake.io/cruise-lines/msc-cruises/msc-euribia</t>
  </si>
  <si>
    <t>&lt;loc&gt;https://odysia-cruise-uk.client.prod.eu-west.dreamlake.io/cruise-deals/cruises-from-the-uk&lt;/loc&gt;</t>
  </si>
  <si>
    <t>https://odysia-cruise-uk.client.prod.eu-west.dreamlake.io/cruise-deals/cruises-from-the-uk</t>
  </si>
  <si>
    <t>&lt;loc&gt;https://odysia-cruise-uk.client.prod.eu-west.dreamlake.io/cruise-lines/norwegian-cruise-line/norwegian-prima/cruises&lt;/loc&gt;</t>
  </si>
  <si>
    <t>https://odysia-cruise-uk.client.prod.eu-west.dreamlake.io/cruise-lines/norwegian-cruise-line/norwegian-prima/cruises</t>
  </si>
  <si>
    <t>&lt;loc&gt;https://odysia-cruise-uk.client.prod.eu-west.dreamlake.io/cruise-lines/princess-cruises/crown-princess/cruises&lt;/loc&gt;</t>
  </si>
  <si>
    <t>https://odysia-cruise-uk.client.prod.eu-west.dreamlake.io/cruise-lines/princess-cruises/crown-princess/cruises</t>
  </si>
  <si>
    <t>&lt;loc&gt;https://odysia-cruise-uk.client.prod.eu-west.dreamlake.io/cruise-lines/royal-caribbean/harmony-of-the-seas/cruises&lt;/loc&gt;</t>
  </si>
  <si>
    <t>https://odysia-cruise-uk.client.prod.eu-west.dreamlake.io/cruise-lines/royal-caribbean/harmony-of-the-seas/cruises</t>
  </si>
  <si>
    <t>&lt;loc&gt;https://odysia-cruise-uk.client.prod.eu-west.dreamlake.io/cruise-calendar/asia-far-east-cruise-dates&lt;/loc&gt;</t>
  </si>
  <si>
    <t>&lt;loc&gt;https://odysia-cruise-uk.client.prod.eu-west.dreamlake.io/cruise-lines/celebrity-cruises/celebrity-edge&lt;/loc&gt;</t>
  </si>
  <si>
    <t>https://odysia-cruise-uk.client.prod.eu-west.dreamlake.io/cruise-lines/celebrity-cruises/celebrity-edge</t>
  </si>
  <si>
    <t>&lt;loc&gt;https://odysia-cruise-uk.client.prod.eu-west.dreamlake.io/cruise-lines/celebrity-cruises/cruises&lt;/loc&gt;</t>
  </si>
  <si>
    <t>https://odysia-cruise-uk.client.prod.eu-west.dreamlake.io/cruise-lines/celebrity-cruises/cruises</t>
  </si>
  <si>
    <t>&lt;loc&gt;https://odysia-cruise-uk.client.prod.eu-west.dreamlake.io/cruise-lines/seabourn/seabourn-pursuit/cruises&lt;/loc&gt;</t>
  </si>
  <si>
    <t>https://odysia-cruise-uk.client.prod.eu-west.dreamlake.io/cruise-lines/seabourn/seabourn-pursuit/cruises</t>
  </si>
  <si>
    <t>&lt;loc&gt;https://odysia-cruise-uk.client.prod.eu-west.dreamlake.io/cruise-lines/msc-cruises/msc-world-europa/cruises&lt;/loc&gt;</t>
  </si>
  <si>
    <t>https://odysia-cruise-uk.client.prod.eu-west.dreamlake.io/cruise-lines/msc-cruises/msc-world-europa/cruises</t>
  </si>
  <si>
    <t>&lt;loc&gt;https://odysia-cruise-uk.client.prod.eu-west.dreamlake.io/cruise-calendar/norwegian-fjord-cruises-dates&lt;/loc&gt;</t>
  </si>
  <si>
    <t>&lt;loc&gt;https://odysia-cruise-uk.client.prod.eu-west.dreamlake.io/cruise-lines/norwegian-cruise-line/norwegian-breakaway/cruises&lt;/loc&gt;</t>
  </si>
  <si>
    <t>https://odysia-cruise-uk.client.prod.eu-west.dreamlake.io/cruise-lines/norwegian-cruise-line/norwegian-breakaway/cruises</t>
  </si>
  <si>
    <t>&lt;loc&gt;https://odysia-cruise-uk.client.prod.eu-west.dreamlake.io/cruise-lines/norwegian-cruise-line/norwegian-bliss&lt;/loc&gt;</t>
  </si>
  <si>
    <t>https://odysia-cruise-uk.client.prod.eu-west.dreamlake.io/cruise-lines/norwegian-cruise-line/norwegian-bliss</t>
  </si>
  <si>
    <t>&lt;loc&gt;https://odysia-cruise-uk.client.prod.eu-west.dreamlake.io/cruise-lines/regent-seven-seas-cruises&lt;/loc&gt;</t>
  </si>
  <si>
    <t>https://odysia-cruise-uk.client.prod.eu-west.dreamlake.io/cruise-lines/regent-seven-seas-cruises</t>
  </si>
  <si>
    <t>&lt;loc&gt;https://odysia-cruise-uk.client.prod.eu-west.dreamlake.io/cruise-lines/royal-caribbean/enchantment-of-the-seas/cruises&lt;/loc&gt;</t>
  </si>
  <si>
    <t>https://odysia-cruise-uk.client.prod.eu-west.dreamlake.io/cruise-lines/royal-caribbean/enchantment-of-the-seas/cruises</t>
  </si>
  <si>
    <t>&lt;loc&gt;https://odysia-cruise-uk.client.prod.eu-west.dreamlake.io/cruise-deals/mini-cruises&lt;/loc&gt;</t>
  </si>
  <si>
    <t>https://odysia-cruise-uk.client.prod.eu-west.dreamlake.io/cruise-deals/mini-cruises</t>
  </si>
  <si>
    <t>&lt;loc&gt;https://odysia-cruise-uk.client.prod.eu-west.dreamlake.io/destinations/africa-cruises&lt;/loc&gt;</t>
  </si>
  <si>
    <t>&lt;loc&gt;https://odysia-cruise-uk.client.prod.eu-west.dreamlake.io/cruise-deals/family-cruise-deals&lt;/loc&gt;</t>
  </si>
  <si>
    <t>https://odysia-cruise-uk.client.prod.eu-west.dreamlake.io/cruise-deals/family-cruise-deals</t>
  </si>
  <si>
    <t>&lt;loc&gt;https://odysia-cruise-uk.client.prod.eu-west.dreamlake.io/cruise-deals/all-inclusive-cruise-deals&lt;/loc&gt;</t>
  </si>
  <si>
    <t>https://odysia-cruise-uk.client.prod.eu-west.dreamlake.io/cruise-deals/all-inclusive-cruise-deals</t>
  </si>
  <si>
    <t>&lt;loc&gt;https://odysia-cruise-uk.client.prod.eu-west.dreamlake.io/cruise-lines/virgin-voyages/scarlet-lady&lt;/loc&gt;</t>
  </si>
  <si>
    <t>https://odysia-cruise-uk.client.prod.eu-west.dreamlake.io/cruise-lines/virgin-voyages/scarlet-lady</t>
  </si>
  <si>
    <t>&lt;loc&gt;https://odysia-cruise-uk.client.prod.eu-west.dreamlake.io/cruise-lines/norwegian-cruise-line/norwegian-spirit&lt;/loc&gt;</t>
  </si>
  <si>
    <t>https://odysia-cruise-uk.client.prod.eu-west.dreamlake.io/cruise-lines/norwegian-cruise-line/norwegian-spirit</t>
  </si>
  <si>
    <t>&lt;loc&gt;https://odysia-cruise-uk.client.prod.eu-west.dreamlake.io/cruise-lines/princess-cruises/emerald-princess&lt;/loc&gt;</t>
  </si>
  <si>
    <t>https://odysia-cruise-uk.client.prod.eu-west.dreamlake.io/cruise-lines/princess-cruises/emerald-princess</t>
  </si>
  <si>
    <t>&lt;loc&gt;https://odysia-cruise-uk.client.prod.eu-west.dreamlake.io/cruise-lines/royal-caribbean/independence-of-the-seas&lt;/loc&gt;</t>
  </si>
  <si>
    <t>https://odysia-cruise-uk.client.prod.eu-west.dreamlake.io/cruise-lines/royal-caribbean/independence-of-the-seas</t>
  </si>
  <si>
    <t>&lt;loc&gt;https://odysia-cruise-uk.client.prod.eu-west.dreamlake.io/destinations/australasia-cruises&lt;/loc&gt;</t>
  </si>
  <si>
    <t>&lt;loc&gt;https://odysia-cruise-uk.client.prod.eu-west.dreamlake.io/cruise-lines/holland-america-line/oosterdam/cruises&lt;/loc&gt;</t>
  </si>
  <si>
    <t>https://odysia-cruise-uk.client.prod.eu-west.dreamlake.io/cruise-lines/holland-america-line/oosterdam/cruises</t>
  </si>
  <si>
    <t>&lt;loc&gt;https://odysia-cruise-uk.client.prod.eu-west.dreamlake.io/cruise-lines/princess-cruises&lt;/loc&gt;</t>
  </si>
  <si>
    <t>https://odysia-cruise-uk.client.prod.eu-west.dreamlake.io/cruise-lines/princess-cruises</t>
  </si>
  <si>
    <t>&lt;loc&gt;https://odysia-cruise-uk.client.prod.eu-west.dreamlake.io/cruise-lines/norwegian-cruise-line/norwegian-prima&lt;/loc&gt;</t>
  </si>
  <si>
    <t>https://odysia-cruise-uk.client.prod.eu-west.dreamlake.io/cruise-lines/norwegian-cruise-line/norwegian-prima</t>
  </si>
  <si>
    <t>&lt;loc&gt;https://odysia-cruise-uk.client.prod.eu-west.dreamlake.io/cruise-lines/holland-america-line/zuiderdam/cruises&lt;/loc&gt;</t>
  </si>
  <si>
    <t>https://odysia-cruise-uk.client.prod.eu-west.dreamlake.io/cruise-lines/holland-america-line/zuiderdam/cruises</t>
  </si>
  <si>
    <t>&lt;loc&gt;https://odysia-cruise-uk.client.prod.eu-west.dreamlake.io/cruise-lines/norwegian-cruise-line/norwegian-aqua&lt;/loc&gt;</t>
  </si>
  <si>
    <t>https://odysia-cruise-uk.client.prod.eu-west.dreamlake.io/cruise-lines/norwegian-cruise-line/norwegian-aqua</t>
  </si>
  <si>
    <t>&lt;loc&gt;https://odysia-cruise-uk.client.prod.eu-west.dreamlake.io/cruise-lines/royal-caribbean/odyssey-of-the-seas&lt;/loc&gt;</t>
  </si>
  <si>
    <t>https://odysia-cruise-uk.client.prod.eu-west.dreamlake.io/cruise-lines/royal-caribbean/odyssey-of-the-seas</t>
  </si>
  <si>
    <t>&lt;loc&gt;https://odysia-cruise-uk.client.prod.eu-west.dreamlake.io/cruise-lines/celebrity-cruises/celebrity-infinity/cruises&lt;/loc&gt;</t>
  </si>
  <si>
    <t>https://odysia-cruise-uk.client.prod.eu-west.dreamlake.io/cruise-lines/celebrity-cruises/celebrity-infinity/cruises</t>
  </si>
  <si>
    <t>&lt;loc&gt;https://odysia-cruise-uk.client.prod.eu-west.dreamlake.io/cruise-lines/norwegian-cruise-line/norwegian-sun&lt;/loc&gt;</t>
  </si>
  <si>
    <t>https://odysia-cruise-uk.client.prod.eu-west.dreamlake.io/cruise-lines/norwegian-cruise-line/norwegian-sun</t>
  </si>
  <si>
    <t>&lt;loc&gt;https://odysia-cruise-uk.client.prod.eu-west.dreamlake.io/cruise-lines/holland-america-line/eurodam/cruises&lt;/loc&gt;</t>
  </si>
  <si>
    <t>https://odysia-cruise-uk.client.prod.eu-west.dreamlake.io/cruise-lines/holland-america-line/eurodam/cruises</t>
  </si>
  <si>
    <t>&lt;loc&gt;https://odysia-cruise-uk.client.prod.eu-west.dreamlake.io/cruise-lines/royal-caribbean/symphony-of-the-seas/cruises&lt;/loc&gt;</t>
  </si>
  <si>
    <t>https://odysia-cruise-uk.client.prod.eu-west.dreamlake.io/cruise-lines/royal-caribbean/symphony-of-the-seas/cruises</t>
  </si>
  <si>
    <t>&lt;loc&gt;https://odysia-cruise-uk.client.prod.eu-west.dreamlake.io/cruise-lines/azamara/azamara-pursuit/cruises&lt;/loc&gt;</t>
  </si>
  <si>
    <t>&lt;loc&gt;https://odysia-cruise-uk.client.prod.eu-west.dreamlake.io/cruise-lines/msc-cruises/msc-musica&lt;/loc&gt;</t>
  </si>
  <si>
    <t>https://odysia-cruise-uk.client.prod.eu-west.dreamlake.io/cruise-lines/msc-cruises/msc-musica</t>
  </si>
  <si>
    <t>&lt;loc&gt;https://odysia-cruise-uk.client.prod.eu-west.dreamlake.io/cruise-lines/fred-olsen-cruises/borealis/cruises&lt;/loc&gt;</t>
  </si>
  <si>
    <t>https://odysia-cruise-uk.client.prod.eu-west.dreamlake.io/cruise-lines/fred-olsen-cruises/borealis/cruises</t>
  </si>
  <si>
    <t>&lt;loc&gt;https://odysia-cruise-uk.client.prod.eu-west.dreamlake.io/cruise-lines/costa-cruises&lt;/loc&gt;</t>
  </si>
  <si>
    <t>https://odysia-cruise-uk.client.prod.eu-west.dreamlake.io/cruise-lines/costa-cruises</t>
  </si>
  <si>
    <t>&lt;loc&gt;https://odysia-cruise-uk.client.prod.eu-west.dreamlake.io/cruise-lines/norwegian-cruise-line/norwegian-escape&lt;/loc&gt;</t>
  </si>
  <si>
    <t>https://odysia-cruise-uk.client.prod.eu-west.dreamlake.io/cruise-lines/norwegian-cruise-line/norwegian-escape</t>
  </si>
  <si>
    <t>&lt;loc&gt;https://odysia-cruise-uk.client.prod.eu-west.dreamlake.io/cruise-lines/costa-cruises/costa-serena/cruises&lt;/loc&gt;</t>
  </si>
  <si>
    <t>https://odysia-cruise-uk.client.prod.eu-west.dreamlake.io/cruise-lines/costa-cruises/costa-serena/cruises</t>
  </si>
  <si>
    <t>&lt;loc&gt;https://odysia-cruise-uk.client.prod.eu-west.dreamlake.io/cruise-lines/msc-cruises&lt;/loc&gt;</t>
  </si>
  <si>
    <t>https://odysia-cruise-uk.client.prod.eu-west.dreamlake.io/cruise-lines/msc-cruises</t>
  </si>
  <si>
    <t>&lt;loc&gt;https://odysia-cruise-uk.client.prod.eu-west.dreamlake.io/cruise-lines/cunard/queen-victoria&lt;/loc&gt;</t>
  </si>
  <si>
    <t>https://odysia-cruise-uk.client.prod.eu-west.dreamlake.io/cruise-lines/cunard/queen-victoria</t>
  </si>
  <si>
    <t>&lt;loc&gt;https://odysia-cruise-uk.client.prod.eu-west.dreamlake.io/cruise-lines/royal-caribbean/freedom-of-the-seas&lt;/loc&gt;</t>
  </si>
  <si>
    <t>https://odysia-cruise-uk.client.prod.eu-west.dreamlake.io/cruise-lines/royal-caribbean/freedom-of-the-seas</t>
  </si>
  <si>
    <t>&lt;loc&gt;https://odysia-cruise-uk.client.prod.eu-west.dreamlake.io/cruise-lines/po-cruises/arvia&lt;/loc&gt;</t>
  </si>
  <si>
    <t>https://odysia-cruise-uk.client.prod.eu-west.dreamlake.io/cruise-lines/po-cruises/arvia</t>
  </si>
  <si>
    <t>&lt;loc&gt;https://odysia-cruise-uk.client.prod.eu-west.dreamlake.io/cruise-lines/oceania-cruises/oceania-allura/cruises&lt;/loc&gt;</t>
  </si>
  <si>
    <t>https://odysia-cruise-uk.client.prod.eu-west.dreamlake.io/cruise-lines/oceania-cruises/oceania-allura/cruises</t>
  </si>
  <si>
    <t>&lt;loc&gt;https://odysia-cruise-uk.client.prod.eu-west.dreamlake.io/cruise-lines/norwegian-cruise-line/norwegian-getaway&lt;/loc&gt;</t>
  </si>
  <si>
    <t>https://odysia-cruise-uk.client.prod.eu-west.dreamlake.io/cruise-lines/norwegian-cruise-line/norwegian-getaway</t>
  </si>
  <si>
    <t>&lt;loc&gt;https://odysia-cruise-uk.client.prod.eu-west.dreamlake.io/cruise-calendar/polar-region-cruises&lt;/loc&gt;</t>
  </si>
  <si>
    <t>&lt;loc&gt;https://odysia-cruise-uk.client.prod.eu-west.dreamlake.io/cruise-lines/oceania-cruises/oceania-regatta/cruises&lt;/loc&gt;</t>
  </si>
  <si>
    <t>https://odysia-cruise-uk.client.prod.eu-west.dreamlake.io/cruise-lines/oceania-cruises/oceania-regatta/cruises</t>
  </si>
  <si>
    <t>&lt;loc&gt;https://odysia-cruise-uk.client.prod.eu-west.dreamlake.io/cruise-lines/royal-caribbean/navigator-of-the-seas&lt;/loc&gt;</t>
  </si>
  <si>
    <t>https://odysia-cruise-uk.client.prod.eu-west.dreamlake.io/cruise-lines/royal-caribbean/navigator-of-the-seas</t>
  </si>
  <si>
    <t>&lt;loc&gt;https://odysia-cruise-uk.client.prod.eu-west.dreamlake.io/cruise-lines/explora-journeys/explora-ii&lt;/loc&gt;</t>
  </si>
  <si>
    <t>https://odysia-cruise-uk.client.prod.eu-west.dreamlake.io/cruise-lines/explora-journeys/explora-ii</t>
  </si>
  <si>
    <t>&lt;loc&gt;https://odysia-cruise-uk.client.prod.eu-west.dreamlake.io/cruise-lines/seabourn/seabourn-venture/cruises&lt;/loc&gt;</t>
  </si>
  <si>
    <t>https://odysia-cruise-uk.client.prod.eu-west.dreamlake.io/cruise-lines/seabourn/seabourn-venture/cruises</t>
  </si>
  <si>
    <t>&lt;loc&gt;https://odysia-cruise-uk.client.prod.eu-west.dreamlake.io/cruise-lines/princess-cruises/discovery-princess&lt;/loc&gt;</t>
  </si>
  <si>
    <t>https://odysia-cruise-uk.client.prod.eu-west.dreamlake.io/cruise-lines/princess-cruises/discovery-princess</t>
  </si>
  <si>
    <t>&lt;loc&gt;https://odysia-cruise-uk.client.prod.eu-west.dreamlake.io/cruise-lines/msc-cruises/msc-virtuosa/cruises&lt;/loc&gt;</t>
  </si>
  <si>
    <t>https://odysia-cruise-uk.client.prod.eu-west.dreamlake.io/cruise-lines/msc-cruises/msc-virtuosa/cruises</t>
  </si>
  <si>
    <t>&lt;loc&gt;https://odysia-cruise-uk.client.prod.eu-west.dreamlake.io/cruise-lines&lt;/loc&gt;</t>
  </si>
  <si>
    <t>&lt;loc&gt;https://odysia-cruise-uk.client.prod.eu-west.dreamlake.io/cruise-lines/costa-cruises/costa-deliziosa/cruises&lt;/loc&gt;</t>
  </si>
  <si>
    <t>https://odysia-cruise-uk.client.prod.eu-west.dreamlake.io/cruise-lines/costa-cruises/costa-deliziosa/cruises</t>
  </si>
  <si>
    <t>&lt;loc&gt;https://odysia-cruise-uk.client.prod.eu-west.dreamlake.io/cruise-lines/holland-america-line/koningsdam/cruises&lt;/loc&gt;</t>
  </si>
  <si>
    <t>https://odysia-cruise-uk.client.prod.eu-west.dreamlake.io/cruise-lines/holland-america-line/koningsdam/cruises</t>
  </si>
  <si>
    <t>&lt;loc&gt;https://odysia-cruise-uk.client.prod.eu-west.dreamlake.io/cruise-lines/costa-cruises/costa-favolosa/cruises&lt;/loc&gt;</t>
  </si>
  <si>
    <t>https://odysia-cruise-uk.client.prod.eu-west.dreamlake.io/cruise-lines/costa-cruises/costa-favolosa/cruises</t>
  </si>
  <si>
    <t>&lt;loc&gt;https://odysia-cruise-uk.client.prod.eu-west.dreamlake.io/cruise-lines/norwegian-cruise-line/norwegian-gem&lt;/loc&gt;</t>
  </si>
  <si>
    <t>https://odysia-cruise-uk.client.prod.eu-west.dreamlake.io/cruise-lines/norwegian-cruise-line/norwegian-gem</t>
  </si>
  <si>
    <t>&lt;loc&gt;https://odysia-cruise-uk.client.prod.eu-west.dreamlake.io/cruise-lines/princess-cruises/star-princess&lt;/loc&gt;</t>
  </si>
  <si>
    <t>https://odysia-cruise-uk.client.prod.eu-west.dreamlake.io/cruise-lines/princess-cruises/star-princess</t>
  </si>
  <si>
    <t>&lt;loc&gt;https://odysia-cruise-uk.client.prod.eu-west.dreamlake.io/cruise-calendar/british-isles-cruises&lt;/loc&gt;</t>
  </si>
  <si>
    <t>&lt;loc&gt;https://odysia-cruise-uk.client.prod.eu-west.dreamlake.io/cruise-lines/celebrity-cruises/celebrity-flora/cruises&lt;/loc&gt;</t>
  </si>
  <si>
    <t>https://odysia-cruise-uk.client.prod.eu-west.dreamlake.io/cruise-lines/celebrity-cruises/celebrity-flora/cruises</t>
  </si>
  <si>
    <t>&lt;loc&gt;https://odysia-cruise-uk.client.prod.eu-west.dreamlake.io/cruise-lines/princess-cruises/island-princess&lt;/loc&gt;</t>
  </si>
  <si>
    <t>https://odysia-cruise-uk.client.prod.eu-west.dreamlake.io/cruise-lines/princess-cruises/island-princess</t>
  </si>
  <si>
    <t>&lt;loc&gt;https://odysia-cruise-uk.client.prod.eu-west.dreamlake.io/cruise-lines/ambassador-cruise-line&lt;/loc&gt;</t>
  </si>
  <si>
    <t>https://odysia-cruise-uk.client.prod.eu-west.dreamlake.io/cruise-lines/ambassador-cruise-line</t>
  </si>
  <si>
    <t>&lt;loc&gt;https://odysia-cruise-uk.client.prod.eu-west.dreamlake.io/cruise-lines/cunard/queen-mary-2/cruises&lt;/loc&gt;</t>
  </si>
  <si>
    <t>https://odysia-cruise-uk.client.prod.eu-west.dreamlake.io/cruise-lines/cunard/queen-mary-2/cruises</t>
  </si>
  <si>
    <t>&lt;loc&gt;https://odysia-cruise-uk.client.prod.eu-west.dreamlake.io/cruise-lines/fred-olsen-cruises/balmoral/cruises&lt;/loc&gt;</t>
  </si>
  <si>
    <t>https://odysia-cruise-uk.client.prod.eu-west.dreamlake.io/cruise-lines/fred-olsen-cruises/balmoral/cruises</t>
  </si>
  <si>
    <t>&lt;loc&gt;https://odysia-cruise-uk.client.prod.eu-west.dreamlake.io/cruise-lines/oceania-cruises/oceania-regatta&lt;/loc&gt;</t>
  </si>
  <si>
    <t>https://odysia-cruise-uk.client.prod.eu-west.dreamlake.io/cruise-lines/oceania-cruises/oceania-regatta</t>
  </si>
  <si>
    <t>&lt;loc&gt;https://odysia-cruise-uk.client.prod.eu-west.dreamlake.io/cruise-lines/po-cruises/iona/cruises&lt;/loc&gt;</t>
  </si>
  <si>
    <t>https://odysia-cruise-uk.client.prod.eu-west.dreamlake.io/cruise-lines/po-cruises/iona/cruises</t>
  </si>
  <si>
    <t>&lt;loc&gt;https://odysia-cruise-uk.client.prod.eu-west.dreamlake.io/cruise-lines/virgin-voyages&lt;/loc&gt;</t>
  </si>
  <si>
    <t>https://odysia-cruise-uk.client.prod.eu-west.dreamlake.io/cruise-lines/virgin-voyages</t>
  </si>
  <si>
    <t>&lt;loc&gt;https://odysia-cruise-uk.client.prod.eu-west.dreamlake.io/cruise-lines/norwegian-cruise-line/norwegian-viva/cruises&lt;/loc&gt;</t>
  </si>
  <si>
    <t>https://odysia-cruise-uk.client.prod.eu-west.dreamlake.io/cruise-lines/norwegian-cruise-line/norwegian-viva/cruises</t>
  </si>
  <si>
    <t>&lt;loc&gt;https://odysia-cruise-uk.client.prod.eu-west.dreamlake.io/cruise-lines/princess-cruises/emerald-princess/cruises&lt;/loc&gt;</t>
  </si>
  <si>
    <t>https://odysia-cruise-uk.client.prod.eu-west.dreamlake.io/cruise-lines/princess-cruises/emerald-princess/cruises</t>
  </si>
  <si>
    <t>&lt;loc&gt;https://odysia-cruise-uk.client.prod.eu-west.dreamlake.io/cruise-lines/costa-cruises/costa-smeralda&lt;/loc&gt;</t>
  </si>
  <si>
    <t>https://odysia-cruise-uk.client.prod.eu-west.dreamlake.io/cruise-lines/costa-cruises/costa-smeralda</t>
  </si>
  <si>
    <t>&lt;loc&gt;https://odysia-cruise-uk.client.prod.eu-west.dreamlake.io/cruise-lines/msc-cruises/msc-seaside/cruises&lt;/loc&gt;</t>
  </si>
  <si>
    <t>https://odysia-cruise-uk.client.prod.eu-west.dreamlake.io/cruise-lines/msc-cruises/msc-seaside/cruises</t>
  </si>
  <si>
    <t>&lt;loc&gt;https://odysia-cruise-uk.client.prod.eu-west.dreamlake.io/cruise-lines/royal-caribbean/serenade-of-the-seas&lt;/loc&gt;</t>
  </si>
  <si>
    <t>https://odysia-cruise-uk.client.prod.eu-west.dreamlake.io/cruise-lines/royal-caribbean/serenade-of-the-seas</t>
  </si>
  <si>
    <t>&lt;loc&gt;https://odysia-cruise-uk.client.prod.eu-west.dreamlake.io/cruise-lines/msc-cruises/msc-opera/cruises&lt;/loc&gt;</t>
  </si>
  <si>
    <t>https://odysia-cruise-uk.client.prod.eu-west.dreamlake.io/cruise-lines/msc-cruises/msc-opera/cruises</t>
  </si>
  <si>
    <t>&lt;loc&gt;https://odysia-cruise-uk.client.prod.eu-west.dreamlake.io/cruise-lines/celebrity-cruises/celebrity-eclipse/cruises&lt;/loc&gt;</t>
  </si>
  <si>
    <t>https://odysia-cruise-uk.client.prod.eu-west.dreamlake.io/cruise-lines/celebrity-cruises/celebrity-eclipse/cruises</t>
  </si>
  <si>
    <t>&lt;loc&gt;https://odysia-cruise-uk.client.prod.eu-west.dreamlake.io/cruise-lines/fred-olsen-cruises/borealis&lt;/loc&gt;</t>
  </si>
  <si>
    <t>https://odysia-cruise-uk.client.prod.eu-west.dreamlake.io/cruise-lines/fred-olsen-cruises/borealis</t>
  </si>
  <si>
    <t>&lt;loc&gt;https://odysia-cruise-uk.client.prod.eu-west.dreamlake.io/cruise-lines/costa-cruises/costa-diadema/cruises&lt;/loc&gt;</t>
  </si>
  <si>
    <t>https://odysia-cruise-uk.client.prod.eu-west.dreamlake.io/cruise-lines/costa-cruises/costa-diadema/cruises</t>
  </si>
  <si>
    <t>&lt;loc&gt;https://odysia-cruise-uk.client.prod.eu-west.dreamlake.io/cruise-lines/norwegian-cruise-line/norwegian-breakaway&lt;/loc&gt;</t>
  </si>
  <si>
    <t>https://odysia-cruise-uk.client.prod.eu-west.dreamlake.io/cruise-lines/norwegian-cruise-line/norwegian-breakaway</t>
  </si>
  <si>
    <t>&lt;loc&gt;https://odysia-cruise-uk.client.prod.eu-west.dreamlake.io/cruise-lines/regent-seven-seas-cruises/cruises&lt;/loc&gt;</t>
  </si>
  <si>
    <t>https://odysia-cruise-uk.client.prod.eu-west.dreamlake.io/cruise-lines/regent-seven-seas-cruises/cruises</t>
  </si>
  <si>
    <t>&lt;loc&gt;https://odysia-cruise-uk.client.prod.eu-west.dreamlake.io/cruise-lines/fred-olsen-cruises/bolette/cruises&lt;/loc&gt;</t>
  </si>
  <si>
    <t>https://odysia-cruise-uk.client.prod.eu-west.dreamlake.io/cruise-lines/fred-olsen-cruises/bolette/cruises</t>
  </si>
  <si>
    <t>&lt;loc&gt;https://odysia-cruise-uk.client.prod.eu-west.dreamlake.io/cruise-lines/msc-cruises/msc-armonia/cruises&lt;/loc&gt;</t>
  </si>
  <si>
    <t>https://odysia-cruise-uk.client.prod.eu-west.dreamlake.io/cruise-lines/msc-cruises/msc-armonia/cruises</t>
  </si>
  <si>
    <t>&lt;loc&gt;https://odysia-cruise-uk.client.prod.eu-west.dreamlake.io/cruise-lines/norwegian-cruise-line/norwegian-encore&lt;/loc&gt;</t>
  </si>
  <si>
    <t>https://odysia-cruise-uk.client.prod.eu-west.dreamlake.io/cruise-lines/norwegian-cruise-line/norwegian-encore</t>
  </si>
  <si>
    <t>&lt;loc&gt;https://odysia-cruise-uk.client.prod.eu-west.dreamlake.io/cruise-lines/po-cruises/azura/cruises&lt;/loc&gt;</t>
  </si>
  <si>
    <t>https://odysia-cruise-uk.client.prod.eu-west.dreamlake.io/cruise-lines/po-cruises/azura/cruises</t>
  </si>
  <si>
    <t>&lt;loc&gt;https://odysia-cruise-uk.client.prod.eu-west.dreamlake.io/cruise-lines/celebrity-cruises/celebrity-flora&lt;/loc&gt;</t>
  </si>
  <si>
    <t>https://odysia-cruise-uk.client.prod.eu-west.dreamlake.io/cruise-lines/celebrity-cruises/celebrity-flora</t>
  </si>
  <si>
    <t>&lt;loc&gt;https://odysia-cruise-uk.client.prod.eu-west.dreamlake.io/cruise-lines/msc-cruises/msc-seashore&lt;/loc&gt;</t>
  </si>
  <si>
    <t>https://odysia-cruise-uk.client.prod.eu-west.dreamlake.io/cruise-lines/msc-cruises/msc-seashore</t>
  </si>
  <si>
    <t>&lt;loc&gt;https://odysia-cruise-uk.client.prod.eu-west.dreamlake.io/cruise-lines/costa-cruises/costa-fascinosa/cruises&lt;/loc&gt;</t>
  </si>
  <si>
    <t>https://odysia-cruise-uk.client.prod.eu-west.dreamlake.io/cruise-lines/costa-cruises/costa-fascinosa/cruises</t>
  </si>
  <si>
    <t>&lt;loc&gt;https://odysia-cruise-uk.client.prod.eu-west.dreamlake.io/cruise-lines/princess-cruises/sun-princess/cruises&lt;/loc&gt;</t>
  </si>
  <si>
    <t>https://odysia-cruise-uk.client.prod.eu-west.dreamlake.io/cruise-lines/princess-cruises/sun-princess/cruises</t>
  </si>
  <si>
    <t>&lt;loc&gt;https://odysia-cruise-uk.client.prod.eu-west.dreamlake.io/cruise-lines/holland-america-line&lt;/loc&gt;</t>
  </si>
  <si>
    <t>https://odysia-cruise-uk.client.prod.eu-west.dreamlake.io/cruise-lines/holland-america-line</t>
  </si>
  <si>
    <t>&lt;loc&gt;https://odysia-cruise-uk.client.prod.eu-west.dreamlake.io/cruise-lines/azamara&lt;/loc&gt;</t>
  </si>
  <si>
    <t>&lt;loc&gt;https://odysia-cruise-uk.client.prod.eu-west.dreamlake.io/cruise-lines/princess-cruises/sun-princess&lt;/loc&gt;</t>
  </si>
  <si>
    <t>https://odysia-cruise-uk.client.prod.eu-west.dreamlake.io/cruise-lines/princess-cruises/sun-princess</t>
  </si>
  <si>
    <t>&lt;loc&gt;https://odysia-cruise-uk.client.prod.eu-west.dreamlake.io/cruise-lines/azamara/azamara-quest/cruises&lt;/loc&gt;</t>
  </si>
  <si>
    <t>&lt;loc&gt;https://odysia-cruise-uk.client.prod.eu-west.dreamlake.io/cruise-lines/msc-cruises/msc-world-europa&lt;/loc&gt;</t>
  </si>
  <si>
    <t>https://odysia-cruise-uk.client.prod.eu-west.dreamlake.io/cruise-lines/msc-cruises/msc-world-europa</t>
  </si>
  <si>
    <t>&lt;loc&gt;https://odysia-cruise-uk.client.prod.eu-west.dreamlake.io/cruise-lines/princess-cruises/regal-princess/cruises&lt;/loc&gt;</t>
  </si>
  <si>
    <t>https://odysia-cruise-uk.client.prod.eu-west.dreamlake.io/cruise-lines/princess-cruises/regal-princess/cruises</t>
  </si>
  <si>
    <t>&lt;loc&gt;https://odysia-cruise-uk.client.prod.eu-west.dreamlake.io/cruise-lines/royal-caribbean/oasis-of-the-seas&lt;/loc&gt;</t>
  </si>
  <si>
    <t>https://odysia-cruise-uk.client.prod.eu-west.dreamlake.io/cruise-lines/royal-caribbean/oasis-of-the-seas</t>
  </si>
  <si>
    <t>&lt;loc&gt;https://odysia-cruise-uk.client.prod.eu-west.dreamlake.io/cruise-lines/seabourn/seabourn-ovation/cruises&lt;/loc&gt;</t>
  </si>
  <si>
    <t>https://odysia-cruise-uk.client.prod.eu-west.dreamlake.io/cruise-lines/seabourn/seabourn-ovation/cruises</t>
  </si>
  <si>
    <t>&lt;loc&gt;https://odysia-cruise-uk.client.prod.eu-west.dreamlake.io/cruise-lines/royal-caribbean/spectrum-of-the-seas/cruises&lt;/loc&gt;</t>
  </si>
  <si>
    <t>https://odysia-cruise-uk.client.prod.eu-west.dreamlake.io/cruise-lines/royal-caribbean/spectrum-of-the-seas/cruises</t>
  </si>
  <si>
    <t>&lt;loc&gt;https://odysia-cruise-uk.client.prod.eu-west.dreamlake.io/cruise-lines/cunard/queen-victoria/cruises&lt;/loc&gt;</t>
  </si>
  <si>
    <t>https://odysia-cruise-uk.client.prod.eu-west.dreamlake.io/cruise-lines/cunard/queen-victoria/cruises</t>
  </si>
  <si>
    <t>&lt;loc&gt;https://odysia-cruise-uk.client.prod.eu-west.dreamlake.io/cruise-lines/royal-caribbean/rhapsody-of-the-seas/cruises&lt;/loc&gt;</t>
  </si>
  <si>
    <t>https://odysia-cruise-uk.client.prod.eu-west.dreamlake.io/cruise-lines/royal-caribbean/rhapsody-of-the-seas/cruises</t>
  </si>
  <si>
    <t>&lt;loc&gt;https://odysia-cruise-uk.client.prod.eu-west.dreamlake.io/cruise-lines/royal-caribbean/ovation-of-the-seas&lt;/loc&gt;</t>
  </si>
  <si>
    <t>https://odysia-cruise-uk.client.prod.eu-west.dreamlake.io/cruise-lines/royal-caribbean/ovation-of-the-seas</t>
  </si>
  <si>
    <t>&lt;loc&gt;https://odysia-cruise-uk.client.prod.eu-west.dreamlake.io/cruise-lines/princess-cruises/caribbean-princess/cruises&lt;/loc&gt;</t>
  </si>
  <si>
    <t>https://odysia-cruise-uk.client.prod.eu-west.dreamlake.io/cruise-lines/princess-cruises/caribbean-princess/cruises</t>
  </si>
  <si>
    <t>&lt;loc&gt;https://odysia-cruise-uk.client.prod.eu-west.dreamlake.io/cruise-lines/norwegian-cruise-line/norwegian-joy/cruises&lt;/loc&gt;</t>
  </si>
  <si>
    <t>https://odysia-cruise-uk.client.prod.eu-west.dreamlake.io/cruise-lines/norwegian-cruise-line/norwegian-joy/cruises</t>
  </si>
  <si>
    <t>&lt;loc&gt;https://odysia-cruise-uk.client.prod.eu-west.dreamlake.io/cruise-lines/cunard/queen-elizabeth/cruises&lt;/loc&gt;</t>
  </si>
  <si>
    <t>https://odysia-cruise-uk.client.prod.eu-west.dreamlake.io/cruise-lines/cunard/queen-elizabeth/cruises</t>
  </si>
  <si>
    <t>&lt;loc&gt;https://odysia-cruise-uk.client.prod.eu-west.dreamlake.io/cruise-lines/seabourn/seabourn-venture&lt;/loc&gt;</t>
  </si>
  <si>
    <t>https://odysia-cruise-uk.client.prod.eu-west.dreamlake.io/cruise-lines/seabourn/seabourn-venture</t>
  </si>
  <si>
    <t>&lt;loc&gt;https://odysia-cruise-uk.client.prod.eu-west.dreamlake.io/cruise-lines/oceania-cruises/oceania-vista&lt;/loc&gt;</t>
  </si>
  <si>
    <t>https://odysia-cruise-uk.client.prod.eu-west.dreamlake.io/cruise-lines/oceania-cruises/oceania-vista</t>
  </si>
  <si>
    <t>&lt;loc&gt;https://odysia-cruise-uk.client.prod.eu-west.dreamlake.io/cruise-lines/royal-caribbean/symphony-of-the-seas&lt;/loc&gt;</t>
  </si>
  <si>
    <t>https://odysia-cruise-uk.client.prod.eu-west.dreamlake.io/cruise-lines/royal-caribbean/symphony-of-the-seas</t>
  </si>
  <si>
    <t>&lt;loc&gt;https://odysia-cruise-uk.client.prod.eu-west.dreamlake.io/cruise-lines/norwegian-cruise-line/norwegian-epic/cruises&lt;/loc&gt;</t>
  </si>
  <si>
    <t>https://odysia-cruise-uk.client.prod.eu-west.dreamlake.io/cruise-lines/norwegian-cruise-line/norwegian-epic/cruises</t>
  </si>
  <si>
    <t>&lt;loc&gt;https://odysia-cruise-uk.client.prod.eu-west.dreamlake.io/cruise-lines/celebrity-cruises/celebrity-apex/cruises&lt;/loc&gt;</t>
  </si>
  <si>
    <t>https://odysia-cruise-uk.client.prod.eu-west.dreamlake.io/cruise-lines/celebrity-cruises/celebrity-apex/cruises</t>
  </si>
  <si>
    <t>&lt;loc&gt;https://odysia-cruise-uk.client.prod.eu-west.dreamlake.io/destinations/canary-islands-cruises&lt;/loc&gt;</t>
  </si>
  <si>
    <t>&lt;loc&gt;https://odysia-cruise-uk.client.prod.eu-west.dreamlake.io/cruise-lines/norwegian-cruise-line/norwegian-bliss/cruises&lt;/loc&gt;</t>
  </si>
  <si>
    <t>https://odysia-cruise-uk.client.prod.eu-west.dreamlake.io/cruise-lines/norwegian-cruise-line/norwegian-bliss/cruises</t>
  </si>
  <si>
    <t>&lt;loc&gt;https://odysia-cruise-uk.client.prod.eu-west.dreamlake.io/cruise-lines/princess-cruises/grand-princess/cruises&lt;/loc&gt;</t>
  </si>
  <si>
    <t>https://odysia-cruise-uk.client.prod.eu-west.dreamlake.io/cruise-lines/princess-cruises/grand-princess/cruises</t>
  </si>
  <si>
    <t>&lt;loc&gt;https://odysia-cruise-uk.client.prod.eu-west.dreamlake.io/cruise-lines/explora-journeys/explora-i/cruises&lt;/loc&gt;</t>
  </si>
  <si>
    <t>https://odysia-cruise-uk.client.prod.eu-west.dreamlake.io/cruise-lines/explora-journeys/explora-i/cruises</t>
  </si>
  <si>
    <t>&lt;loc&gt;https://odysia-cruise-uk.client.prod.eu-west.dreamlake.io/cruise-lines/royal-caribbean/voyager-of-the-seas&lt;/loc&gt;</t>
  </si>
  <si>
    <t>https://odysia-cruise-uk.client.prod.eu-west.dreamlake.io/cruise-lines/royal-caribbean/voyager-of-the-seas</t>
  </si>
  <si>
    <t>&lt;loc&gt;https://odysia-cruise-uk.client.prod.eu-west.dreamlake.io/cruise-deals/cruises-from-portsmouth&lt;/loc&gt;</t>
  </si>
  <si>
    <t>https://odysia-cruise-uk.client.prod.eu-west.dreamlake.io/cruise-deals/cruises-from-portsmouth</t>
  </si>
  <si>
    <t>&lt;loc&gt;https://odysia-cruise-uk.client.prod.eu-west.dreamlake.io/cruise-lines/costa-cruises/cruises&lt;/loc&gt;</t>
  </si>
  <si>
    <t>https://odysia-cruise-uk.client.prod.eu-west.dreamlake.io/cruise-lines/costa-cruises/cruises</t>
  </si>
  <si>
    <t>&lt;loc&gt;https://odysia-cruise-uk.client.prod.eu-west.dreamlake.io/cruise-lines/celebrity-cruises/celebrity-eclipse&lt;/loc&gt;</t>
  </si>
  <si>
    <t>https://odysia-cruise-uk.client.prod.eu-west.dreamlake.io/cruise-lines/celebrity-cruises/celebrity-eclipse</t>
  </si>
  <si>
    <t>&lt;loc&gt;https://odysia-cruise-uk.client.prod.eu-west.dreamlake.io/cruise-lines/celebrity-cruises/celebrity-beyond&lt;/loc&gt;</t>
  </si>
  <si>
    <t>https://odysia-cruise-uk.client.prod.eu-west.dreamlake.io/cruise-lines/celebrity-cruises/celebrity-beyond</t>
  </si>
  <si>
    <t>&lt;loc&gt;https://odysia-cruise-uk.client.prod.eu-west.dreamlake.io/cruise-lines/royal-caribbean/explorer-of-the-seas&lt;/loc&gt;</t>
  </si>
  <si>
    <t>https://odysia-cruise-uk.client.prod.eu-west.dreamlake.io/cruise-lines/royal-caribbean/explorer-of-the-seas</t>
  </si>
  <si>
    <t>&lt;loc&gt;https://odysia-cruise-uk.client.prod.eu-west.dreamlake.io/cruise-lines/celebrity-cruises/celebrity-constellation/cruises&lt;/loc&gt;</t>
  </si>
  <si>
    <t>https://odysia-cruise-uk.client.prod.eu-west.dreamlake.io/cruise-lines/celebrity-cruises/celebrity-constellation/cruises</t>
  </si>
  <si>
    <t>&lt;loc&gt;https://odysia-cruise-uk.client.prod.eu-west.dreamlake.io/cruise-lines/po-cruises/arvia/cruises&lt;/loc&gt;</t>
  </si>
  <si>
    <t>https://odysia-cruise-uk.client.prod.eu-west.dreamlake.io/cruise-lines/po-cruises/arvia/cruises</t>
  </si>
  <si>
    <t>&lt;loc&gt;https://odysia-cruise-uk.client.prod.eu-west.dreamlake.io/cruise-lines/ambassador-cruise-line/ambition&lt;/loc&gt;</t>
  </si>
  <si>
    <t>https://odysia-cruise-uk.client.prod.eu-west.dreamlake.io/cruise-lines/ambassador-cruise-line/ambition</t>
  </si>
  <si>
    <t>&lt;loc&gt;https://odysia-cruise-uk.client.prod.eu-west.dreamlake.io/cruise-lines/msc-cruises/msc-divina/cruises&lt;/loc&gt;</t>
  </si>
  <si>
    <t>https://odysia-cruise-uk.client.prod.eu-west.dreamlake.io/cruise-lines/msc-cruises/msc-divina/cruises</t>
  </si>
  <si>
    <t>&lt;loc&gt;https://odysia-cruise-uk.client.prod.eu-west.dreamlake.io/cruise-lines/seabourn/seabourn-encore&lt;/loc&gt;</t>
  </si>
  <si>
    <t>https://odysia-cruise-uk.client.prod.eu-west.dreamlake.io/cruise-lines/seabourn/seabourn-encore</t>
  </si>
  <si>
    <t>&lt;loc&gt;https://odysia-cruise-uk.client.prod.eu-west.dreamlake.io/cruise-lines/norwegian-cruise-line/norwegian-sun/cruises&lt;/loc&gt;</t>
  </si>
  <si>
    <t>https://odysia-cruise-uk.client.prod.eu-west.dreamlake.io/cruise-lines/norwegian-cruise-line/norwegian-sun/cruises</t>
  </si>
  <si>
    <t>&lt;loc&gt;https://odysia-cruise-uk.client.prod.eu-west.dreamlake.io/cruise-lines/princess-cruises/diamond-princess/cruises&lt;/loc&gt;</t>
  </si>
  <si>
    <t>https://odysia-cruise-uk.client.prod.eu-west.dreamlake.io/cruise-lines/princess-cruises/diamond-princess/cruises</t>
  </si>
  <si>
    <t>&lt;loc&gt;https://odysia-cruise-uk.client.prod.eu-west.dreamlake.io/cruise-lines/princess-cruises/crown-princess&lt;/loc&gt;</t>
  </si>
  <si>
    <t>https://odysia-cruise-uk.client.prod.eu-west.dreamlake.io/cruise-lines/princess-cruises/crown-princess</t>
  </si>
  <si>
    <t>&lt;loc&gt;https://odysia-cruise-uk.client.prod.eu-west.dreamlake.io/cruise-lines/oceania-cruises/oceania-insignia/cruises&lt;/loc&gt;</t>
  </si>
  <si>
    <t>https://odysia-cruise-uk.client.prod.eu-west.dreamlake.io/cruise-lines/oceania-cruises/oceania-insignia/cruises</t>
  </si>
  <si>
    <t>&lt;loc&gt;https://odysia-cruise-uk.client.prod.eu-west.dreamlake.io/cruise-lines/msc-cruises/msc-magnifica&lt;/loc&gt;</t>
  </si>
  <si>
    <t>https://odysia-cruise-uk.client.prod.eu-west.dreamlake.io/cruise-lines/msc-cruises/msc-magnifica</t>
  </si>
  <si>
    <t>&lt;loc&gt;https://odysia-cruise-uk.client.prod.eu-west.dreamlake.io/cruise-lines/seabourn/seabourn-sojourn&lt;/loc&gt;</t>
  </si>
  <si>
    <t>https://odysia-cruise-uk.client.prod.eu-west.dreamlake.io/cruise-lines/seabourn/seabourn-sojourn</t>
  </si>
  <si>
    <t>&lt;loc&gt;https://odysia-cruise-uk.client.prod.eu-west.dreamlake.io/cruise-lines/msc-cruises/msc-splendida&lt;/loc&gt;</t>
  </si>
  <si>
    <t>https://odysia-cruise-uk.client.prod.eu-west.dreamlake.io/cruise-lines/msc-cruises/msc-splendida</t>
  </si>
  <si>
    <t>&lt;loc&gt;https://odysia-cruise-uk.client.prod.eu-west.dreamlake.io/cruise-lines/msc-cruises/msc-poesia&lt;/loc&gt;</t>
  </si>
  <si>
    <t>https://odysia-cruise-uk.client.prod.eu-west.dreamlake.io/cruise-lines/msc-cruises/msc-poesia</t>
  </si>
  <si>
    <t>&lt;loc&gt;https://odysia-cruise-uk.client.prod.eu-west.dreamlake.io/cruise-lines/msc-cruises/msc-sinfonia/cruises&lt;/loc&gt;</t>
  </si>
  <si>
    <t>https://odysia-cruise-uk.client.prod.eu-west.dreamlake.io/cruise-lines/msc-cruises/msc-sinfonia/cruises</t>
  </si>
  <si>
    <t>&lt;loc&gt;https://odysia-cruise-uk.client.prod.eu-west.dreamlake.io/cruise-lines/norwegian-cruise-line/norwegian-getaway/cruises&lt;/loc&gt;</t>
  </si>
  <si>
    <t>https://odysia-cruise-uk.client.prod.eu-west.dreamlake.io/cruise-lines/norwegian-cruise-line/norwegian-getaway/cruises</t>
  </si>
  <si>
    <t>&lt;loc&gt;https://odysia-cruise-uk.client.prod.eu-west.dreamlake.io/cruise-lines/royal-caribbean/oasis-of-the-seas/cruises&lt;/loc&gt;</t>
  </si>
  <si>
    <t>https://odysia-cruise-uk.client.prod.eu-west.dreamlake.io/cruise-lines/royal-caribbean/oasis-of-the-seas/cruises</t>
  </si>
  <si>
    <t>&lt;loc&gt;https://odysia-cruise-uk.client.prod.eu-west.dreamlake.io/cruise-lines/po-cruises/arcadia&lt;/loc&gt;</t>
  </si>
  <si>
    <t>https://odysia-cruise-uk.client.prod.eu-west.dreamlake.io/cruise-lines/po-cruises/arcadia</t>
  </si>
  <si>
    <t>&lt;loc&gt;https://odysia-cruise-uk.client.prod.eu-west.dreamlake.io/cruise-lines/royal-caribbean/ovation-of-the-seas/cruises&lt;/loc&gt;</t>
  </si>
  <si>
    <t>https://odysia-cruise-uk.client.prod.eu-west.dreamlake.io/cruise-lines/royal-caribbean/ovation-of-the-seas/cruises</t>
  </si>
  <si>
    <t>&lt;loc&gt;https://odysia-cruise-uk.client.prod.eu-west.dreamlake.io/cruise-lines/celebrity-cruises/celebrity-constellation&lt;/loc&gt;</t>
  </si>
  <si>
    <t>https://odysia-cruise-uk.client.prod.eu-west.dreamlake.io/cruise-lines/celebrity-cruises/celebrity-constellation</t>
  </si>
  <si>
    <t>&lt;loc&gt;https://odysia-cruise-uk.client.prod.eu-west.dreamlake.io/cruise-lines/holland-america-line/nieuw-statendam&lt;/loc&gt;</t>
  </si>
  <si>
    <t>https://odysia-cruise-uk.client.prod.eu-west.dreamlake.io/cruise-lines/holland-america-line/nieuw-statendam</t>
  </si>
  <si>
    <t>&lt;loc&gt;https://odysia-cruise-uk.client.prod.eu-west.dreamlake.io/cruise-lines/msc-cruises/msc-lirica&lt;/loc&gt;</t>
  </si>
  <si>
    <t>https://odysia-cruise-uk.client.prod.eu-west.dreamlake.io/cruise-lines/msc-cruises/msc-lirica</t>
  </si>
  <si>
    <t>&lt;loc&gt;https://odysia-cruise-uk.client.prod.eu-west.dreamlake.io/cruise-lines/norwegian-cruise-line/norwegian-luna/cruises&lt;/loc&gt;</t>
  </si>
  <si>
    <t>https://odysia-cruise-uk.client.prod.eu-west.dreamlake.io/cruise-lines/norwegian-cruise-line/norwegian-luna/cruises</t>
  </si>
  <si>
    <t>&lt;loc&gt;https://odysia-cruise-uk.client.prod.eu-west.dreamlake.io/cruise-lines/regent-seven-seas-cruises/seven-seas-explorer/cruises&lt;/loc&gt;</t>
  </si>
  <si>
    <t>https://odysia-cruise-uk.client.prod.eu-west.dreamlake.io/cruise-lines/regent-seven-seas-cruises/seven-seas-explorer/cruises</t>
  </si>
  <si>
    <t>&lt;loc&gt;https://odysia-cruise-uk.client.prod.eu-west.dreamlake.io/cruise-lines/msc-cruises/msc-fantasia&lt;/loc&gt;</t>
  </si>
  <si>
    <t>https://odysia-cruise-uk.client.prod.eu-west.dreamlake.io/cruise-lines/msc-cruises/msc-fantasia</t>
  </si>
  <si>
    <t>&lt;loc&gt;https://odysia-cruise-uk.client.prod.eu-west.dreamlake.io/cruise-lines/msc-cruises/msc-preziosa/cruises&lt;/loc&gt;</t>
  </si>
  <si>
    <t>https://odysia-cruise-uk.client.prod.eu-west.dreamlake.io/cruise-lines/msc-cruises/msc-preziosa/cruises</t>
  </si>
  <si>
    <t>&lt;loc&gt;https://odysia-cruise-uk.client.prod.eu-west.dreamlake.io/cruise-lines/azamara/cruises&lt;/loc&gt;</t>
  </si>
  <si>
    <t>&lt;loc&gt;https://odysia-cruise-uk.client.prod.eu-west.dreamlake.io/cruise-lines/royal-caribbean/explorer-of-the-seas/cruises&lt;/loc&gt;</t>
  </si>
  <si>
    <t>https://odysia-cruise-uk.client.prod.eu-west.dreamlake.io/cruise-lines/royal-caribbean/explorer-of-the-seas/cruises</t>
  </si>
  <si>
    <t>&lt;loc&gt;https://odysia-cruise-uk.client.prod.eu-west.dreamlake.io/cruise-lines/celebrity-cruises/celebrity-xcel&lt;/loc&gt;</t>
  </si>
  <si>
    <t>https://odysia-cruise-uk.client.prod.eu-west.dreamlake.io/cruise-lines/celebrity-cruises/celebrity-xcel</t>
  </si>
  <si>
    <t>&lt;loc&gt;https://odysia-cruise-uk.client.prod.eu-west.dreamlake.io/cruise-calendar/canary-islands-cruise-dates&lt;/loc&gt;</t>
  </si>
  <si>
    <t>&lt;loc&gt;https://odysia-cruise-uk.client.prod.eu-west.dreamlake.io/cruise-lines/oceania-cruises/oceania-insignia&lt;/loc&gt;</t>
  </si>
  <si>
    <t>https://odysia-cruise-uk.client.prod.eu-west.dreamlake.io/cruise-lines/oceania-cruises/oceania-insignia</t>
  </si>
  <si>
    <t>&lt;loc&gt;https://odysia-cruise-uk.client.prod.eu-west.dreamlake.io/cruise-deals/cruises-from-newcastle&lt;/loc&gt;</t>
  </si>
  <si>
    <t>https://odysia-cruise-uk.client.prod.eu-west.dreamlake.io/cruise-deals/cruises-from-newcastle</t>
  </si>
  <si>
    <t>&lt;loc&gt;https://odysia-cruise-uk.client.prod.eu-west.dreamlake.io/cruise-lines/princess-cruises/sapphire-princess&lt;/loc&gt;</t>
  </si>
  <si>
    <t>https://odysia-cruise-uk.client.prod.eu-west.dreamlake.io/cruise-lines/princess-cruises/sapphire-princess</t>
  </si>
  <si>
    <t>&lt;loc&gt;https://odysia-cruise-uk.client.prod.eu-west.dreamlake.io/destinations/northern-europe-cruises&lt;/loc&gt;</t>
  </si>
  <si>
    <t>&lt;loc&gt;https://odysia-cruise-uk.client.prod.eu-west.dreamlake.io/cruise-lines/celebrity-cruises/celebrity-millennium/cruises&lt;/loc&gt;</t>
  </si>
  <si>
    <t>https://odysia-cruise-uk.client.prod.eu-west.dreamlake.io/cruise-lines/celebrity-cruises/celebrity-millennium/cruises</t>
  </si>
  <si>
    <t>&lt;loc&gt;https://odysia-cruise-uk.client.prod.eu-west.dreamlake.io/destinations/polar-regions-cruises&lt;/loc&gt;</t>
  </si>
  <si>
    <t>&lt;loc&gt;https://odysia-cruise-uk.client.prod.eu-west.dreamlake.io/cruise-calendar&lt;/loc&gt;</t>
  </si>
  <si>
    <t>&lt;loc&gt;https://odysia-cruise-uk.client.prod.eu-west.dreamlake.io/cruise-lines/celebrity-cruises/celebrity-ascent&lt;/loc&gt;</t>
  </si>
  <si>
    <t>https://odysia-cruise-uk.client.prod.eu-west.dreamlake.io/cruise-lines/celebrity-cruises/celebrity-ascent</t>
  </si>
  <si>
    <t>&lt;loc&gt;https://odysia-cruise-uk.client.prod.eu-west.dreamlake.io/cruise-lines/princess-cruises/island-princess/cruises&lt;/loc&gt;</t>
  </si>
  <si>
    <t>https://odysia-cruise-uk.client.prod.eu-west.dreamlake.io/cruise-lines/princess-cruises/island-princess/cruises</t>
  </si>
  <si>
    <t>&lt;loc&gt;https://odysia-cruise-uk.client.prod.eu-west.dreamlake.io/cruise-lines/celebrity-cruises/celebrity-xcel/cruises&lt;/loc&gt;</t>
  </si>
  <si>
    <t>https://odysia-cruise-uk.client.prod.eu-west.dreamlake.io/cruise-lines/celebrity-cruises/celebrity-xcel/cruises</t>
  </si>
  <si>
    <t>&lt;loc&gt;https://odysia-cruise-uk.client.prod.eu-west.dreamlake.io/cruise-lines/royal-caribbean/legend-of-the-seas/cruises&lt;/loc&gt;</t>
  </si>
  <si>
    <t>https://odysia-cruise-uk.client.prod.eu-west.dreamlake.io/cruise-lines/royal-caribbean/legend-of-the-seas/cruises</t>
  </si>
  <si>
    <t>&lt;loc&gt;https://odysia-cruise-uk.client.prod.eu-west.dreamlake.io/cruise-lines/royal-caribbean/adventure-of-the-seas/cruises&lt;/loc&gt;</t>
  </si>
  <si>
    <t>https://odysia-cruise-uk.client.prod.eu-west.dreamlake.io/cruise-lines/royal-caribbean/adventure-of-the-seas/cruises</t>
  </si>
  <si>
    <t>&lt;loc&gt;https://odysia-cruise-uk.client.prod.eu-west.dreamlake.io/cruise-lines/azamara/azamara-quest&lt;/loc&gt;</t>
  </si>
  <si>
    <t>&lt;loc&gt;https://odysia-cruise-uk.client.prod.eu-west.dreamlake.io/cruise-lines/holland-america-line/nieuw-statendam/cruises&lt;/loc&gt;</t>
  </si>
  <si>
    <t>https://odysia-cruise-uk.client.prod.eu-west.dreamlake.io/cruise-lines/holland-america-line/nieuw-statendam/cruises</t>
  </si>
  <si>
    <t>&lt;loc&gt;https://odysia-cruise-uk.client.prod.eu-west.dreamlake.io/cruise-lines/oceania-cruises&lt;/loc&gt;</t>
  </si>
  <si>
    <t>https://odysia-cruise-uk.client.prod.eu-west.dreamlake.io/cruise-lines/oceania-cruises</t>
  </si>
  <si>
    <t>&lt;loc&gt;https://odysia-cruise-uk.client.prod.eu-west.dreamlake.io/cruise-lines/celebrity-cruises&lt;/loc&gt;</t>
  </si>
  <si>
    <t>https://odysia-cruise-uk.client.prod.eu-west.dreamlake.io/cruise-lines/celebrity-cruises</t>
  </si>
  <si>
    <t>&lt;loc&gt;https://odysia-cruise-uk.client.prod.eu-west.dreamlake.io/cruise-lines/costa-cruises/costa-pacifica&lt;/loc&gt;</t>
  </si>
  <si>
    <t>https://odysia-cruise-uk.client.prod.eu-west.dreamlake.io/cruise-lines/costa-cruises/costa-pacifica</t>
  </si>
  <si>
    <t>&lt;loc&gt;https://odysia-cruise-uk.client.prod.eu-west.dreamlake.io/cruise-lines/royal-caribbean/allure-of-the-seas&lt;/loc&gt;</t>
  </si>
  <si>
    <t>https://odysia-cruise-uk.client.prod.eu-west.dreamlake.io/cruise-lines/royal-caribbean/allure-of-the-seas</t>
  </si>
  <si>
    <t>&lt;loc&gt;https://odysia-cruise-uk.client.prod.eu-west.dreamlake.io/destinations/transatlantic-cruises&lt;/loc&gt;</t>
  </si>
  <si>
    <t>&lt;loc&gt;https://odysia-cruise-uk.client.prod.eu-west.dreamlake.io/cruise-lines/msc-cruises/msc-poesia/cruises&lt;/loc&gt;</t>
  </si>
  <si>
    <t>https://odysia-cruise-uk.client.prod.eu-west.dreamlake.io/cruise-lines/msc-cruises/msc-poesia/cruises</t>
  </si>
  <si>
    <t>&lt;loc&gt;https://odysia-cruise-uk.client.prod.eu-west.dreamlake.io/cruise-lines/msc-cruises/msc-bellissima/cruises&lt;/loc&gt;</t>
  </si>
  <si>
    <t>https://odysia-cruise-uk.client.prod.eu-west.dreamlake.io/cruise-lines/msc-cruises/msc-bellissima/cruises</t>
  </si>
  <si>
    <t>&lt;loc&gt;https://odysia-cruise-uk.client.prod.eu-west.dreamlake.io/cruise-lines/holland-america-line/noordam/cruises&lt;/loc&gt;</t>
  </si>
  <si>
    <t>https://odysia-cruise-uk.client.prod.eu-west.dreamlake.io/cruise-lines/holland-america-line/noordam/cruises</t>
  </si>
  <si>
    <t>&lt;loc&gt;https://odysia-cruise-uk.client.prod.eu-west.dreamlake.io/cruise-lines/azamara/azamara-journey/cruises&lt;/loc&gt;</t>
  </si>
  <si>
    <t>&lt;loc&gt;https://odysia-cruise-uk.client.prod.eu-west.dreamlake.io/cruise-lines/regent-seven-seas-cruises/seven-seas-grandeur&lt;/loc&gt;</t>
  </si>
  <si>
    <t>https://odysia-cruise-uk.client.prod.eu-west.dreamlake.io/cruise-lines/regent-seven-seas-cruises/seven-seas-grandeur</t>
  </si>
  <si>
    <t>&lt;loc&gt;https://odysia-cruise-uk.client.prod.eu-west.dreamlake.io/cruise-lines/cunard&lt;/loc&gt;</t>
  </si>
  <si>
    <t>https://odysia-cruise-uk.client.prod.eu-west.dreamlake.io/cruise-lines/cunard</t>
  </si>
  <si>
    <t>&lt;loc&gt;https://odysia-cruise-uk.client.prod.eu-west.dreamlake.io/cruise-lines/costa-cruises/costa-toscana&lt;/loc&gt;</t>
  </si>
  <si>
    <t>https://odysia-cruise-uk.client.prod.eu-west.dreamlake.io/cruise-lines/costa-cruises/costa-toscana</t>
  </si>
  <si>
    <t>&lt;loc&gt;https://odysia-cruise-uk.client.prod.eu-west.dreamlake.io/cruise-lines/princess-cruises/coral-princess&lt;/loc&gt;</t>
  </si>
  <si>
    <t>https://odysia-cruise-uk.client.prod.eu-west.dreamlake.io/cruise-lines/princess-cruises/coral-princess</t>
  </si>
  <si>
    <t>&lt;loc&gt;https://odysia-cruise-uk.client.prod.eu-west.dreamlake.io/cruise-lines/cunard/queen-elizabeth&lt;/loc&gt;</t>
  </si>
  <si>
    <t>https://odysia-cruise-uk.client.prod.eu-west.dreamlake.io/cruise-lines/cunard/queen-elizabeth</t>
  </si>
  <si>
    <t>&lt;loc&gt;https://odysia-cruise-uk.client.prod.eu-west.dreamlake.io/cruise-lines/msc-cruises/msc-meraviglia/cruises&lt;/loc&gt;</t>
  </si>
  <si>
    <t>https://odysia-cruise-uk.client.prod.eu-west.dreamlake.io/cruise-lines/msc-cruises/msc-meraviglia/cruises</t>
  </si>
  <si>
    <t>&lt;loc&gt;https://odysia-cruise-uk.client.prod.eu-west.dreamlake.io/cruise-lines/norwegian-cruise-line/norwegian-escape/cruises&lt;/loc&gt;</t>
  </si>
  <si>
    <t>https://odysia-cruise-uk.client.prod.eu-west.dreamlake.io/cruise-lines/norwegian-cruise-line/norwegian-escape/cruises</t>
  </si>
  <si>
    <t>&lt;loc&gt;https://odysia-cruise-uk.client.prod.eu-west.dreamlake.io/cruise-lines/msc-cruises/msc-fantasia/cruises&lt;/loc&gt;</t>
  </si>
  <si>
    <t>https://odysia-cruise-uk.client.prod.eu-west.dreamlake.io/cruise-lines/msc-cruises/msc-fantasia/cruises</t>
  </si>
  <si>
    <t>&lt;loc&gt;https://odysia-cruise-uk.client.prod.eu-west.dreamlake.io/cruise-lines/oceania-cruises/oceania-sirena/cruises&lt;/loc&gt;</t>
  </si>
  <si>
    <t>https://odysia-cruise-uk.client.prod.eu-west.dreamlake.io/cruise-lines/oceania-cruises/oceania-sirena/cruises</t>
  </si>
  <si>
    <t>&lt;loc&gt;https://odysia-cruise-uk.client.prod.eu-west.dreamlake.io/cruise-lines/regent-seven-seas-cruises/seven-seas-mariner/cruises&lt;/loc&gt;</t>
  </si>
  <si>
    <t>https://odysia-cruise-uk.client.prod.eu-west.dreamlake.io/cruise-lines/regent-seven-seas-cruises/seven-seas-mariner/cruises</t>
  </si>
  <si>
    <t>&lt;loc&gt;https://odysia-cruise-uk.client.prod.eu-west.dreamlake.io/cruise-lines/po-cruises/iona&lt;/loc&gt;</t>
  </si>
  <si>
    <t>https://odysia-cruise-uk.client.prod.eu-west.dreamlake.io/cruise-lines/po-cruises/iona</t>
  </si>
  <si>
    <t>&lt;loc&gt;https://odysia-cruise-uk.client.prod.eu-west.dreamlake.io/cruise-lines/msc-cruises/msc-virtuosa&lt;/loc&gt;</t>
  </si>
  <si>
    <t>https://odysia-cruise-uk.client.prod.eu-west.dreamlake.io/cruise-lines/msc-cruises/msc-virtuosa</t>
  </si>
  <si>
    <t>&lt;loc&gt;https://odysia-cruise-uk.client.prod.eu-west.dreamlake.io/cruise-lines/msc-cruises/msc-bellissima&lt;/loc&gt;</t>
  </si>
  <si>
    <t>https://odysia-cruise-uk.client.prod.eu-west.dreamlake.io/cruise-lines/msc-cruises/msc-bellissima</t>
  </si>
  <si>
    <t>&lt;loc&gt;https://odysia-cruise-uk.client.prod.eu-west.dreamlake.io/cruise-lines/royal-caribbean/spectrum-of-the-seas&lt;/loc&gt;</t>
  </si>
  <si>
    <t>https://odysia-cruise-uk.client.prod.eu-west.dreamlake.io/cruise-lines/royal-caribbean/spectrum-of-the-seas</t>
  </si>
  <si>
    <t>&lt;loc&gt;https://odysia-cruise-uk.client.prod.eu-west.dreamlake.io/cruise-lines/princess-cruises/coral-princess/cruises&lt;/loc&gt;</t>
  </si>
  <si>
    <t>https://odysia-cruise-uk.client.prod.eu-west.dreamlake.io/cruise-lines/princess-cruises/coral-princess/cruises</t>
  </si>
  <si>
    <t>&lt;loc&gt;https://odysia-cruise-uk.client.prod.eu-west.dreamlake.io/cruise-lines/explora-journeys/explora-i&lt;/loc&gt;</t>
  </si>
  <si>
    <t>https://odysia-cruise-uk.client.prod.eu-west.dreamlake.io/cruise-lines/explora-journeys/explora-i</t>
  </si>
  <si>
    <t>&lt;loc&gt;https://odysia-cruise-uk.client.prod.eu-west.dreamlake.io/cruise-lines/regent-seven-seas-cruises/seven-seas-explorer&lt;/loc&gt;</t>
  </si>
  <si>
    <t>https://odysia-cruise-uk.client.prod.eu-west.dreamlake.io/cruise-lines/regent-seven-seas-cruises/seven-seas-explorer</t>
  </si>
  <si>
    <t>&lt;loc&gt;https://odysia-cruise-uk.client.prod.eu-west.dreamlake.io/cruise-lines/royal-caribbean/navigator-of-the-seas/cruises&lt;/loc&gt;</t>
  </si>
  <si>
    <t>https://odysia-cruise-uk.client.prod.eu-west.dreamlake.io/cruise-lines/royal-caribbean/navigator-of-the-seas/cruises</t>
  </si>
  <si>
    <t>&lt;loc&gt;https://odysia-cruise-uk.client.prod.eu-west.dreamlake.io/cruise-lines/virgin-voyages/valiant-lady&lt;/loc&gt;</t>
  </si>
  <si>
    <t>https://odysia-cruise-uk.client.prod.eu-west.dreamlake.io/cruise-lines/virgin-voyages/valiant-lady</t>
  </si>
  <si>
    <t>&lt;loc&gt;https://odysia-cruise-uk.client.prod.eu-west.dreamlake.io/cruise-lines/norwegian-cruise-line/norwegian-aqua/cruises&lt;/loc&gt;</t>
  </si>
  <si>
    <t>https://odysia-cruise-uk.client.prod.eu-west.dreamlake.io/cruise-lines/norwegian-cruise-line/norwegian-aqua/cruises</t>
  </si>
  <si>
    <t>&lt;loc&gt;https://odysia-cruise-uk.client.prod.eu-west.dreamlake.io/cruise-lines/norwegian-cruise-line/norwegian-jewel&lt;/loc&gt;</t>
  </si>
  <si>
    <t>https://odysia-cruise-uk.client.prod.eu-west.dreamlake.io/cruise-lines/norwegian-cruise-line/norwegian-jewel</t>
  </si>
  <si>
    <t>&lt;loc&gt;https://odysia-cruise-uk.client.prod.eu-west.dreamlake.io/cruise-lines/costa-cruises/costa-diadema&lt;/loc&gt;</t>
  </si>
  <si>
    <t>https://odysia-cruise-uk.client.prod.eu-west.dreamlake.io/cruise-lines/costa-cruises/costa-diadema</t>
  </si>
  <si>
    <t>&lt;loc&gt;https://odysia-cruise-uk.client.prod.eu-west.dreamlake.io/cruise-lines/royal-caribbean/jewel-of-the-seas/cruises&lt;/loc&gt;</t>
  </si>
  <si>
    <t>https://odysia-cruise-uk.client.prod.eu-west.dreamlake.io/cruise-lines/royal-caribbean/jewel-of-the-seas/cruises</t>
  </si>
  <si>
    <t>&lt;loc&gt;https://odysia-cruise-uk.client.prod.eu-west.dreamlake.io/cruise-deals/cruises-from-tilbury&lt;/loc&gt;</t>
  </si>
  <si>
    <t>https://odysia-cruise-uk.client.prod.eu-west.dreamlake.io/cruise-deals/cruises-from-tilbury</t>
  </si>
  <si>
    <t>&lt;loc&gt;https://odysia-cruise-uk.client.prod.eu-west.dreamlake.io/cruise-lines/celebrity-cruises/celebrity-infinity&lt;/loc&gt;</t>
  </si>
  <si>
    <t>https://odysia-cruise-uk.client.prod.eu-west.dreamlake.io/cruise-lines/celebrity-cruises/celebrity-infinity</t>
  </si>
  <si>
    <t>&lt;loc&gt;https://odysia-cruise-uk.client.prod.eu-west.dreamlake.io/cruise-lines/seabourn/seabourn-quest&lt;/loc&gt;</t>
  </si>
  <si>
    <t>https://odysia-cruise-uk.client.prod.eu-west.dreamlake.io/cruise-lines/seabourn/seabourn-quest</t>
  </si>
  <si>
    <t>&lt;loc&gt;https://odysia-cruise-uk.client.prod.eu-west.dreamlake.io/cruise-lines/oceania-cruises/oceania-marina&lt;/loc&gt;</t>
  </si>
  <si>
    <t>https://odysia-cruise-uk.client.prod.eu-west.dreamlake.io/cruise-lines/oceania-cruises/oceania-marina</t>
  </si>
  <si>
    <t>&lt;loc&gt;https://odysia-cruise-uk.client.prod.eu-west.dreamlake.io/cruise-lines/fred-olsen-cruises&lt;/loc&gt;</t>
  </si>
  <si>
    <t>https://odysia-cruise-uk.client.prod.eu-west.dreamlake.io/cruise-lines/fred-olsen-cruises</t>
  </si>
  <si>
    <t>&lt;loc&gt;https://odysia-cruise-uk.client.prod.eu-west.dreamlake.io/cruise-lines/ambassador-cruise-line/cruises&lt;/loc&gt;</t>
  </si>
  <si>
    <t>https://odysia-cruise-uk.client.prod.eu-west.dreamlake.io/cruise-lines/ambassador-cruise-line/cruises</t>
  </si>
  <si>
    <t>&lt;loc&gt;https://odysia-cruise-uk.client.prod.eu-west.dreamlake.io/cruise-lines/royal-caribbean/odyssey-of-the-seas/cruises&lt;/loc&gt;</t>
  </si>
  <si>
    <t>https://odysia-cruise-uk.client.prod.eu-west.dreamlake.io/cruise-lines/royal-caribbean/odyssey-of-the-seas/cruises</t>
  </si>
  <si>
    <t>&lt;loc&gt;https://odysia-cruise-uk.client.prod.eu-west.dreamlake.io/cruise-lines/royal-caribbean&lt;/loc&gt;</t>
  </si>
  <si>
    <t>https://odysia-cruise-uk.client.prod.eu-west.dreamlake.io/cruise-lines/royal-caribbean</t>
  </si>
  <si>
    <t>&lt;loc&gt;https://odysia-cruise-uk.client.prod.eu-west.dreamlake.io/destinations&lt;/loc&gt;</t>
  </si>
  <si>
    <t>&lt;loc&gt;https://odysia-cruise-uk.client.prod.eu-west.dreamlake.io/cruise-lines/royal-caribbean/brilliance-of-the-seas/cruises&lt;/loc&gt;</t>
  </si>
  <si>
    <t>https://odysia-cruise-uk.client.prod.eu-west.dreamlake.io/cruise-lines/royal-caribbean/brilliance-of-the-seas/cruises</t>
  </si>
  <si>
    <t>&lt;loc&gt;https://odysia-cruise-uk.client.prod.eu-west.dreamlake.io/cruise-lines/fred-olsen-cruises/balmoral&lt;/loc&gt;</t>
  </si>
  <si>
    <t>https://odysia-cruise-uk.client.prod.eu-west.dreamlake.io/cruise-lines/fred-olsen-cruises/balmoral</t>
  </si>
  <si>
    <t>&lt;loc&gt;https://odysia-cruise-uk.client.prod.eu-west.dreamlake.io/cruise-lines/seabourn&lt;/loc&gt;</t>
  </si>
  <si>
    <t>https://odysia-cruise-uk.client.prod.eu-west.dreamlake.io/cruise-lines/seabourn</t>
  </si>
  <si>
    <t>&lt;loc&gt;https://odysia-cruise-uk.client.prod.eu-west.dreamlake.io/cruise-lines/ambassador-cruise-line/renaissance&lt;/loc&gt;</t>
  </si>
  <si>
    <t>https://odysia-cruise-uk.client.prod.eu-west.dreamlake.io/cruise-lines/ambassador-cruise-line/renaissance</t>
  </si>
  <si>
    <t>&lt;loc&gt;https://odysia-cruise-uk.client.prod.eu-west.dreamlake.io/cruise-lines/princess-cruises/star-princess/cruises&lt;/loc&gt;</t>
  </si>
  <si>
    <t>https://odysia-cruise-uk.client.prod.eu-west.dreamlake.io/cruise-lines/princess-cruises/star-princess/cruises</t>
  </si>
  <si>
    <t>&lt;loc&gt;https://odysia-cruise-uk.client.prod.eu-west.dreamlake.io/cruise-lines/seabourn/seabourn-ovation&lt;/loc&gt;</t>
  </si>
  <si>
    <t>https://odysia-cruise-uk.client.prod.eu-west.dreamlake.io/cruise-lines/seabourn/seabourn-ovation</t>
  </si>
  <si>
    <t>&lt;loc&gt;https://odysia-cruise-uk.client.prod.eu-west.dreamlake.io/cruise-lines/po-cruises/aurora&lt;/loc&gt;</t>
  </si>
  <si>
    <t>https://odysia-cruise-uk.client.prod.eu-west.dreamlake.io/cruise-lines/po-cruises/aurora</t>
  </si>
  <si>
    <t>&lt;loc&gt;https://odysia-cruise-uk.client.prod.eu-west.dreamlake.io/cruise-lines/royal-caribbean/mariner-of-the-seas&lt;/loc&gt;</t>
  </si>
  <si>
    <t>https://odysia-cruise-uk.client.prod.eu-west.dreamlake.io/cruise-lines/royal-caribbean/mariner-of-the-seas</t>
  </si>
  <si>
    <t>&lt;loc&gt;https://odysia-cruise-uk.client.prod.eu-west.dreamlake.io/cruise-lines/norwegian-cruise-line/pride-of-america&lt;/loc&gt;</t>
  </si>
  <si>
    <t>https://odysia-cruise-uk.client.prod.eu-west.dreamlake.io/cruise-lines/norwegian-cruise-line/pride-of-america</t>
  </si>
  <si>
    <t>&lt;loc&gt;https://odysia-cruise-uk.client.prod.eu-west.dreamlake.io/cruise-lines/celebrity-cruises/celebrity-ascent/cruises&lt;/loc&gt;</t>
  </si>
  <si>
    <t>https://odysia-cruise-uk.client.prod.eu-west.dreamlake.io/cruise-lines/celebrity-cruises/celebrity-ascent/cruises</t>
  </si>
  <si>
    <t>&lt;loc&gt;https://odysia-cruise-uk.client.prod.eu-west.dreamlake.io/cruise-lines/msc-cruises/msc-preziosa&lt;/loc&gt;</t>
  </si>
  <si>
    <t>https://odysia-cruise-uk.client.prod.eu-west.dreamlake.io/cruise-lines/msc-cruises/msc-preziosa</t>
  </si>
  <si>
    <t>&lt;loc&gt;https://odysia-cruise-uk.client.prod.eu-west.dreamlake.io/cruise-lines/holland-america-line/volendam/cruises&lt;/loc&gt;</t>
  </si>
  <si>
    <t>https://odysia-cruise-uk.client.prod.eu-west.dreamlake.io/cruise-lines/holland-america-line/volendam/cruises</t>
  </si>
  <si>
    <t>&lt;loc&gt;https://odysia-cruise-uk.client.prod.eu-west.dreamlake.io/cruise-lines/virgin-voyages/resilient-lady/cruises&lt;/loc&gt;</t>
  </si>
  <si>
    <t>https://odysia-cruise-uk.client.prod.eu-west.dreamlake.io/cruise-lines/virgin-voyages/resilient-lady/cruises</t>
  </si>
  <si>
    <t>&lt;loc&gt;https://odysia-cruise-uk.client.prod.eu-west.dreamlake.io/cruise-lines/msc-cruises/msc-musica/cruises&lt;/loc&gt;</t>
  </si>
  <si>
    <t>https://odysia-cruise-uk.client.prod.eu-west.dreamlake.io/cruise-lines/msc-cruises/msc-musica/cruises</t>
  </si>
  <si>
    <t>&lt;loc&gt;https://odysia-cruise-uk.client.prod.eu-west.dreamlake.io/cruise-lines/norwegian-cruise-line&lt;/loc&gt;</t>
  </si>
  <si>
    <t>https://odysia-cruise-uk.client.prod.eu-west.dreamlake.io/cruise-lines/norwegian-cruise-line</t>
  </si>
  <si>
    <t>&lt;loc&gt;https://odysia-cruise-uk.client.prod.eu-west.dreamlake.io/cruise-deals/cruises-from-dover&lt;/loc&gt;</t>
  </si>
  <si>
    <t>https://odysia-cruise-uk.client.prod.eu-west.dreamlake.io/cruise-deals/cruises-from-dover</t>
  </si>
  <si>
    <t>&lt;loc&gt;https://odysia-cruise-uk.client.prod.eu-west.dreamlake.io/cruise-lines/ambassador-cruise-line/ambience&lt;/loc&gt;</t>
  </si>
  <si>
    <t>https://odysia-cruise-uk.client.prod.eu-west.dreamlake.io/cruise-lines/ambassador-cruise-line/ambience</t>
  </si>
  <si>
    <t>&lt;loc&gt;https://odysia-cruise-uk.client.prod.eu-west.dreamlake.io/cruise-lines/royal-caribbean/freedom-of-the-seas/cruises&lt;/loc&gt;</t>
  </si>
  <si>
    <t>https://odysia-cruise-uk.client.prod.eu-west.dreamlake.io/cruise-lines/royal-caribbean/freedom-of-the-seas/cruises</t>
  </si>
  <si>
    <t>&lt;loc&gt;https://odysia-cruise-uk.client.prod.eu-west.dreamlake.io/cruise-lines/explora-journeys/explora-iii&lt;/loc&gt;</t>
  </si>
  <si>
    <t>https://odysia-cruise-uk.client.prod.eu-west.dreamlake.io/cruise-lines/explora-journeys/explora-iii</t>
  </si>
  <si>
    <t>&lt;loc&gt;https://odysia-cruise-uk.client.prod.eu-west.dreamlake.io/cruise-lines/princess-cruises/sapphire-princess/cruises&lt;/loc&gt;</t>
  </si>
  <si>
    <t>https://odysia-cruise-uk.client.prod.eu-west.dreamlake.io/cruise-lines/princess-cruises/sapphire-princess/cruises</t>
  </si>
  <si>
    <t>&lt;loc&gt;https://odysia-cruise-uk.client.prod.eu-west.dreamlake.io/cruise-lines/costa-cruises/costa-pacifica/cruises&lt;/loc&gt;</t>
  </si>
  <si>
    <t>https://odysia-cruise-uk.client.prod.eu-west.dreamlake.io/cruise-lines/costa-cruises/costa-pacifica/cruises</t>
  </si>
  <si>
    <t>&lt;loc&gt;https://odysia-cruise-uk.client.prod.eu-west.dreamlake.io/cruise-lines/costa-cruises/costa-fascinosa&lt;/loc&gt;</t>
  </si>
  <si>
    <t>https://odysia-cruise-uk.client.prod.eu-west.dreamlake.io/cruise-lines/costa-cruises/costa-fascinosa</t>
  </si>
  <si>
    <t>&lt;loc&gt;https://odysia-cruise-uk.client.prod.eu-west.dreamlake.io/cruise-lines/celebrity-cruises/celebrity-solstice/cruises&lt;/loc&gt;</t>
  </si>
  <si>
    <t>https://odysia-cruise-uk.client.prod.eu-west.dreamlake.io/cruise-lines/celebrity-cruises/celebrity-solstice/cruises</t>
  </si>
  <si>
    <t>&lt;loc&gt;https://odysia-cruise-uk.client.prod.eu-west.dreamlake.io/cruise-lines/princess-cruises/diamond-princess&lt;/loc&gt;</t>
  </si>
  <si>
    <t>https://odysia-cruise-uk.client.prod.eu-west.dreamlake.io/cruise-lines/princess-cruises/diamond-princess</t>
  </si>
  <si>
    <t>&lt;loc&gt;https://odysia-cruise-uk.client.prod.eu-west.dreamlake.io/cruise-lines/norwegian-cruise-line/norwegian-jade&lt;/loc&gt;</t>
  </si>
  <si>
    <t>https://odysia-cruise-uk.client.prod.eu-west.dreamlake.io/cruise-lines/norwegian-cruise-line/norwegian-jade</t>
  </si>
  <si>
    <t>&lt;loc&gt;https://odysia-cruise-uk.client.prod.eu-west.dreamlake.io/cruise-lines/explora-journeys&lt;/loc&gt;</t>
  </si>
  <si>
    <t>https://odysia-cruise-uk.client.prod.eu-west.dreamlake.io/cruise-lines/explora-journeys</t>
  </si>
  <si>
    <t>&lt;loc&gt;https://odysia-cruise-uk.client.prod.eu-west.dreamlake.io/cruise-lines/royal-caribbean/wonder-of-the-seas/cruises&lt;/loc&gt;</t>
  </si>
  <si>
    <t>https://odysia-cruise-uk.client.prod.eu-west.dreamlake.io/cruise-lines/royal-caribbean/wonder-of-the-seas/cruises</t>
  </si>
  <si>
    <t>&lt;loc&gt;https://odysia-cruise-uk.client.prod.eu-west.dreamlake.io/cruise-lines/costa-cruises/costa-fortuna/cruises&lt;/loc&gt;</t>
  </si>
  <si>
    <t>https://odysia-cruise-uk.client.prod.eu-west.dreamlake.io/cruise-lines/costa-cruises/costa-fortuna/cruises</t>
  </si>
  <si>
    <t>&lt;loc&gt;https://odysia-cruise-uk.client.prod.eu-west.dreamlake.io/cruise-lines/virgin-voyages/brilliant-lady/cruises&lt;/loc&gt;</t>
  </si>
  <si>
    <t>https://odysia-cruise-uk.client.prod.eu-west.dreamlake.io/cruise-lines/virgin-voyages/brilliant-lady/cruises</t>
  </si>
  <si>
    <t>&lt;loc&gt;https://odysia-cruise-uk.client.prod.eu-west.dreamlake.io/cruise-lines/celebrity-cruises/celebrity-solstice&lt;/loc&gt;</t>
  </si>
  <si>
    <t>https://odysia-cruise-uk.client.prod.eu-west.dreamlake.io/cruise-lines/celebrity-cruises/celebrity-solstice</t>
  </si>
  <si>
    <t>&lt;loc&gt;https://odysia-cruise-uk.client.prod.eu-west.dreamlake.io/cruise-lines/princess-cruises/sky-princess/cruises&lt;/loc&gt;</t>
  </si>
  <si>
    <t>https://odysia-cruise-uk.client.prod.eu-west.dreamlake.io/cruise-lines/princess-cruises/sky-princess/cruises</t>
  </si>
  <si>
    <t>&lt;loc&gt;https://odysia-cruise-uk.client.prod.eu-west.dreamlake.io/cruise-lines/princess-cruises/grand-princess&lt;/loc&gt;</t>
  </si>
  <si>
    <t>https://odysia-cruise-uk.client.prod.eu-west.dreamlake.io/cruise-lines/princess-cruises/grand-princess</t>
  </si>
  <si>
    <t>&lt;loc&gt;https://odysia-cruise-uk.client.prod.eu-west.dreamlake.io/cruise-lines/costa-cruises/costa-deliziosa&lt;/loc&gt;</t>
  </si>
  <si>
    <t>https://odysia-cruise-uk.client.prod.eu-west.dreamlake.io/cruise-lines/costa-cruises/costa-deliziosa</t>
  </si>
  <si>
    <t>&lt;loc&gt;https://odysia-cruise-uk.client.prod.eu-west.dreamlake.io/cruise-lines/regent-seven-seas-cruises/seven-seas-voyager/cruises&lt;/loc&gt;</t>
  </si>
  <si>
    <t>https://odysia-cruise-uk.client.prod.eu-west.dreamlake.io/cruise-lines/regent-seven-seas-cruises/seven-seas-voyager/cruises</t>
  </si>
  <si>
    <t>&lt;loc&gt;https://odysia-cruise-uk.client.prod.eu-west.dreamlake.io/cruise-lines/norwegian-cruise-line/norwegian-pearl&lt;/loc&gt;</t>
  </si>
  <si>
    <t>https://odysia-cruise-uk.client.prod.eu-west.dreamlake.io/cruise-lines/norwegian-cruise-line/norwegian-pearl</t>
  </si>
  <si>
    <t>&lt;loc&gt;https://odysia-cruise-uk.client.prod.eu-west.dreamlake.io/cruise-lines/royal-caribbean/vision-of-the-seas/cruises&lt;/loc&gt;</t>
  </si>
  <si>
    <t>https://odysia-cruise-uk.client.prod.eu-west.dreamlake.io/cruise-lines/royal-caribbean/vision-of-the-seas/cruises</t>
  </si>
  <si>
    <t>&lt;loc&gt;https://odysia-cruise-uk.client.prod.eu-west.dreamlake.io/cruise-lines/royal-caribbean/star-of-the-seas/cruises&lt;/loc&gt;</t>
  </si>
  <si>
    <t>https://odysia-cruise-uk.client.prod.eu-west.dreamlake.io/cruise-lines/royal-caribbean/star-of-the-seas/cruises</t>
  </si>
  <si>
    <t>&lt;loc&gt;https://odysia-cruise-uk.client.prod.eu-west.dreamlake.io/cruise-calendar/mediterranean-cruise-dates&lt;/loc&gt;</t>
  </si>
  <si>
    <t>&lt;loc&gt;https://odysia-cruise-uk.client.prod.eu-west.dreamlake.io/cruise-lines/msc-cruises/msc-seascape/cruises&lt;/loc&gt;</t>
  </si>
  <si>
    <t>https://odysia-cruise-uk.client.prod.eu-west.dreamlake.io/cruise-lines/msc-cruises/msc-seascape/cruises</t>
  </si>
  <si>
    <t>&lt;loc&gt;https://odysia-cruise-uk.client.prod.eu-west.dreamlake.io/cruise-lines/princess-cruises/discovery-princess/cruises&lt;/loc&gt;</t>
  </si>
  <si>
    <t>https://odysia-cruise-uk.client.prod.eu-west.dreamlake.io/cruise-lines/princess-cruises/discovery-princess/cruises</t>
  </si>
  <si>
    <t>&lt;loc&gt;https://odysia-cruise-uk.client.prod.eu-west.dreamlake.io/cruise-lines/oceania-cruises/oceania-allura&lt;/loc&gt;</t>
  </si>
  <si>
    <t>https://odysia-cruise-uk.client.prod.eu-west.dreamlake.io/cruise-lines/oceania-cruises/oceania-allura</t>
  </si>
  <si>
    <t>&lt;loc&gt;https://odysia-cruise-uk.client.prod.eu-west.dreamlake.io/cruise-lines/po-cruises/azura&lt;/loc&gt;</t>
  </si>
  <si>
    <t>https://odysia-cruise-uk.client.prod.eu-west.dreamlake.io/cruise-lines/po-cruises/azura</t>
  </si>
  <si>
    <t>&lt;loc&gt;https://odysia-cruise-uk.client.prod.eu-west.dreamlake.io/cruise-lines/po-cruises/britannia&lt;/loc&gt;</t>
  </si>
  <si>
    <t>https://odysia-cruise-uk.client.prod.eu-west.dreamlake.io/cruise-lines/po-cruises/britannia</t>
  </si>
  <si>
    <t>&lt;loc&gt;https://odysia-cruise-uk.client.prod.eu-west.dreamlake.io/cruise-lines/explora-journeys/cruises&lt;/loc&gt;</t>
  </si>
  <si>
    <t>https://odysia-cruise-uk.client.prod.eu-west.dreamlake.io/cruise-lines/explora-journeys/cruises</t>
  </si>
  <si>
    <t>&lt;loc&gt;https://odysia-cruise-uk.client.prod.eu-west.dreamlake.io/cruise-lines/celebrity-cruises/celebrity-apex&lt;/loc&gt;</t>
  </si>
  <si>
    <t>https://odysia-cruise-uk.client.prod.eu-west.dreamlake.io/cruise-lines/celebrity-cruises/celebrity-apex</t>
  </si>
  <si>
    <t>&lt;loc&gt;https://odysia-cruise-uk.client.prod.eu-west.dreamlake.io/cruise-lines/po-cruises/ventura&lt;/loc&gt;</t>
  </si>
  <si>
    <t>https://odysia-cruise-uk.client.prod.eu-west.dreamlake.io/cruise-lines/po-cruises/ventura</t>
  </si>
  <si>
    <t>&lt;loc&gt;https://odysia-cruise-uk.client.prod.eu-west.dreamlake.io/destinations/canada-cruises&lt;/loc&gt;</t>
  </si>
  <si>
    <t>&lt;loc&gt;https://odysia-cruise-uk.client.prod.eu-west.dreamlake.io/cruise-lines/princess-cruises/enchanted-princess&lt;/loc&gt;</t>
  </si>
  <si>
    <t>https://odysia-cruise-uk.client.prod.eu-west.dreamlake.io/cruise-lines/princess-cruises/enchanted-princess</t>
  </si>
  <si>
    <t>&lt;loc&gt;https://odysia-cruise-uk.client.prod.eu-west.dreamlake.io/cruise-lines/oceania-cruises/oceania-sirena&lt;/loc&gt;</t>
  </si>
  <si>
    <t>https://odysia-cruise-uk.client.prod.eu-west.dreamlake.io/cruise-lines/oceania-cruises/oceania-sirena</t>
  </si>
  <si>
    <t>&lt;loc&gt;https://odysia-cruise-uk.client.prod.eu-west.dreamlake.io/cruise-lines/msc-cruises/msc-divina&lt;/loc&gt;</t>
  </si>
  <si>
    <t>https://odysia-cruise-uk.client.prod.eu-west.dreamlake.io/cruise-lines/msc-cruises/msc-divina</t>
  </si>
  <si>
    <t>&lt;loc&gt;https://odysia-cruise-uk.client.prod.eu-west.dreamlake.io/cruise-lines/princess-cruises/caribbean-princess&lt;/loc&gt;</t>
  </si>
  <si>
    <t>https://odysia-cruise-uk.client.prod.eu-west.dreamlake.io/cruise-lines/princess-cruises/caribbean-princess</t>
  </si>
  <si>
    <t>&lt;loc&gt;https://odysia-cruise-uk.client.prod.eu-west.dreamlake.io/cruise-lines/msc-cruises/msc-seaview&lt;/loc&gt;</t>
  </si>
  <si>
    <t>https://odysia-cruise-uk.client.prod.eu-west.dreamlake.io/cruise-lines/msc-cruises/msc-seaview</t>
  </si>
  <si>
    <t>&lt;loc&gt;https://odysia-cruise-uk.client.prod.eu-west.dreamlake.io/cruise-lines/royal-caribbean/adventure-of-the-seas&lt;/loc&gt;</t>
  </si>
  <si>
    <t>https://odysia-cruise-uk.client.prod.eu-west.dreamlake.io/cruise-lines/royal-caribbean/adventure-of-the-seas</t>
  </si>
  <si>
    <t>&lt;loc&gt;https://odysia-cruise-uk.client.prod.eu-west.dreamlake.io/cruise-lines/royal-caribbean/liberty-of-the-seas/cruises&lt;/loc&gt;</t>
  </si>
  <si>
    <t>https://odysia-cruise-uk.client.prod.eu-west.dreamlake.io/cruise-lines/royal-caribbean/liberty-of-the-seas/cruises</t>
  </si>
  <si>
    <t>&lt;loc&gt;https://odysia-cruise-uk.client.prod.eu-west.dreamlake.io/cruise-lines/msc-cruises/msc-grandiosa/cruises&lt;/loc&gt;</t>
  </si>
  <si>
    <t>https://odysia-cruise-uk.client.prod.eu-west.dreamlake.io/cruise-lines/msc-cruises/msc-grandiosa/cruises</t>
  </si>
  <si>
    <t>&lt;loc&gt;https://odysia-cruise-uk.client.prod.eu-west.dreamlake.io/cruise-lines/ambassador-cruise-line/ambience/cruises&lt;/loc&gt;</t>
  </si>
  <si>
    <t>https://odysia-cruise-uk.client.prod.eu-west.dreamlake.io/cruise-lines/ambassador-cruise-line/ambience/cruises</t>
  </si>
  <si>
    <t>&lt;loc&gt;https://odysia-cruise-uk.client.prod.eu-west.dreamlake.io/cruise-deals/cruises-from-scotland&lt;/loc&gt;</t>
  </si>
  <si>
    <t>https://odysia-cruise-uk.client.prod.eu-west.dreamlake.io/cruise-deals/cruises-from-scotland</t>
  </si>
  <si>
    <t>&lt;loc&gt;https://odysia-cruise-uk.client.prod.eu-west.dreamlake.io/cruise-lines/royal-caribbean/quantum-of-the-seas&lt;/loc&gt;</t>
  </si>
  <si>
    <t>https://odysia-cruise-uk.client.prod.eu-west.dreamlake.io/cruise-lines/royal-caribbean/quantum-of-the-seas</t>
  </si>
  <si>
    <t>&lt;loc&gt;https://odysia-cruise-uk.client.prod.eu-west.dreamlake.io/cruise-lines/po-cruises/aurora/cruises&lt;/loc&gt;</t>
  </si>
  <si>
    <t>https://odysia-cruise-uk.client.prod.eu-west.dreamlake.io/cruise-lines/po-cruises/aurora/cruises</t>
  </si>
  <si>
    <t>&lt;loc&gt;https://odysia-cruise-uk.client.prod.eu-west.dreamlake.io/cruise-lines/holland-america-line/noordam&lt;/loc&gt;</t>
  </si>
  <si>
    <t>https://odysia-cruise-uk.client.prod.eu-west.dreamlake.io/cruise-lines/holland-america-line/noordam</t>
  </si>
  <si>
    <t>&lt;loc&gt;https://odysia-cruise-uk.client.prod.eu-west.dreamlake.io/cruise-lines/po-cruises/britannia/cruises&lt;/loc&gt;</t>
  </si>
  <si>
    <t>https://odysia-cruise-uk.client.prod.eu-west.dreamlake.io/cruise-lines/po-cruises/britannia/cruises</t>
  </si>
  <si>
    <t>&lt;loc&gt;https://odysia-cruise-uk.client.prod.eu-west.dreamlake.io/cruise-lines/royal-caribbean/grandeur-of-the-seas/cruises&lt;/loc&gt;</t>
  </si>
  <si>
    <t>https://odysia-cruise-uk.client.prod.eu-west.dreamlake.io/cruise-lines/royal-caribbean/grandeur-of-the-seas/cruises</t>
  </si>
  <si>
    <t>&lt;loc&gt;https://odysia-cruise-uk.client.prod.eu-west.dreamlake.io/cruise-lines/costa-cruises/costa-favolosa&lt;/loc&gt;</t>
  </si>
  <si>
    <t>https://odysia-cruise-uk.client.prod.eu-west.dreamlake.io/cruise-lines/costa-cruises/costa-favolosa</t>
  </si>
  <si>
    <t>&lt;loc&gt;https://odysia-cruise-uk.client.prod.eu-west.dreamlake.io/cruise-lines/azamara/azamara-onward&lt;/loc&gt;</t>
  </si>
  <si>
    <t>&lt;loc&gt;https://odysia-cruise-uk.client.prod.eu-west.dreamlake.io/cruise-lines/celebrity-cruises/celebrity-reflection/cruises&lt;/loc&gt;</t>
  </si>
  <si>
    <t>https://odysia-cruise-uk.client.prod.eu-west.dreamlake.io/cruise-lines/celebrity-cruises/celebrity-reflection/cruises</t>
  </si>
  <si>
    <t>&lt;loc&gt;https://odysia-cruise-uk.client.prod.eu-west.dreamlake.io/cruise-lines/norwegian-cruise-line/norwegian-encore/cruises&lt;/loc&gt;</t>
  </si>
  <si>
    <t>https://odysia-cruise-uk.client.prod.eu-west.dreamlake.io/cruise-lines/norwegian-cruise-line/norwegian-encore/cruises</t>
  </si>
  <si>
    <t>&lt;loc&gt;https://odysia-cruise-uk.client.prod.eu-west.dreamlake.io/cruise-lines/royal-caribbean/utopia-of-the-seas&lt;/loc&gt;</t>
  </si>
  <si>
    <t>https://odysia-cruise-uk.client.prod.eu-west.dreamlake.io/cruise-lines/royal-caribbean/utopia-of-the-seas</t>
  </si>
  <si>
    <t>&lt;loc&gt;https://odysia-cruise-uk.client.prod.eu-west.dreamlake.io/cruise-lines/holland-america-line/volendam&lt;/loc&gt;</t>
  </si>
  <si>
    <t>https://odysia-cruise-uk.client.prod.eu-west.dreamlake.io/cruise-lines/holland-america-line/volendam</t>
  </si>
  <si>
    <t>&lt;loc&gt;https://odysia-cruise-uk.client.prod.eu-west.dreamlake.io/cruise-deals/cruises-from-liverpool&lt;/loc&gt;</t>
  </si>
  <si>
    <t>https://odysia-cruise-uk.client.prod.eu-west.dreamlake.io/cruise-deals/cruises-from-liverpool</t>
  </si>
  <si>
    <t>&lt;loc&gt;https://odysia-cruise-uk.client.prod.eu-west.dreamlake.io/cruise-lines/royal-caribbean/rhapsody-of-the-seas&lt;/loc&gt;</t>
  </si>
  <si>
    <t>https://odysia-cruise-uk.client.prod.eu-west.dreamlake.io/cruise-lines/royal-caribbean/rhapsody-of-the-seas</t>
  </si>
  <si>
    <t>&lt;loc&gt;https://odysia-cruise-uk.client.prod.eu-west.dreamlake.io/cruise-lines/po-cruises/arcadia/cruises&lt;/loc&gt;</t>
  </si>
  <si>
    <t>https://odysia-cruise-uk.client.prod.eu-west.dreamlake.io/cruise-lines/po-cruises/arcadia/cruises</t>
  </si>
  <si>
    <t>&lt;loc&gt;https://odysia-cruise-uk.client.prod.eu-west.dreamlake.io/cruise-lines/oceania-cruises/oceania-vista/cruises&lt;/loc&gt;</t>
  </si>
  <si>
    <t>https://odysia-cruise-uk.client.prod.eu-west.dreamlake.io/cruise-lines/oceania-cruises/oceania-vista/cruises</t>
  </si>
  <si>
    <t>&lt;loc&gt;https://odysia-cruise-uk.client.prod.eu-west.dreamlake.io/cruise-lines/seabourn/seabourn-quest/cruises&lt;/loc&gt;</t>
  </si>
  <si>
    <t>https://odysia-cruise-uk.client.prod.eu-west.dreamlake.io/cruise-lines/seabourn/seabourn-quest/cruises</t>
  </si>
  <si>
    <t>&lt;loc&gt;https://odysia-cruise-uk.client.prod.eu-west.dreamlake.io/cruise-calendar/caribbean-cruise-dates&lt;/loc&gt;</t>
  </si>
  <si>
    <t>&lt;loc&gt;https://odysia-cruise-uk.client.prod.eu-west.dreamlake.io/cruise-lines/msc-cruises/msc-sinfonia&lt;/loc&gt;</t>
  </si>
  <si>
    <t>https://odysia-cruise-uk.client.prod.eu-west.dreamlake.io/cruise-lines/msc-cruises/msc-sinfonia</t>
  </si>
  <si>
    <t>&lt;loc&gt;https://odysia-cruise-uk.client.prod.eu-west.dreamlake.io/cruise-lines/seabourn/seabourn-sojourn/cruises&lt;/loc&gt;</t>
  </si>
  <si>
    <t>https://odysia-cruise-uk.client.prod.eu-west.dreamlake.io/cruise-lines/seabourn/seabourn-sojourn/cruises</t>
  </si>
  <si>
    <t>&lt;loc&gt;https://odysia-cruise-uk.client.prod.eu-west.dreamlake.io/cruise-lines/norwegian-cruise-line/norwegian-star&lt;/loc&gt;</t>
  </si>
  <si>
    <t>https://odysia-cruise-uk.client.prod.eu-west.dreamlake.io/cruise-lines/norwegian-cruise-line/norwegian-star</t>
  </si>
  <si>
    <t>&lt;loc&gt;https://odysia-cruise-uk.client.prod.eu-west.dreamlake.io/cruise-lines/royal-caribbean/legend-of-the-seas&lt;/loc&gt;</t>
  </si>
  <si>
    <t>https://odysia-cruise-uk.client.prod.eu-west.dreamlake.io/cruise-lines/royal-caribbean/legend-of-the-seas</t>
  </si>
  <si>
    <t>&lt;loc&gt;https://odysia-cruise-uk.client.prod.eu-west.dreamlake.io/cruise-lines/msc-cruises/msc-opera&lt;/loc&gt;</t>
  </si>
  <si>
    <t>https://odysia-cruise-uk.client.prod.eu-west.dreamlake.io/cruise-lines/msc-cruises/msc-opera</t>
  </si>
  <si>
    <t>&lt;loc&gt;https://odysia-cruise-uk.client.prod.eu-west.dreamlake.io/cruise-lines/ambassador-cruise-line/ambition/cruises&lt;/loc&gt;</t>
  </si>
  <si>
    <t>https://odysia-cruise-uk.client.prod.eu-west.dreamlake.io/cruise-lines/ambassador-cruise-line/ambition/cruises</t>
  </si>
  <si>
    <t>&lt;loc&gt;https://odysia-cruise-uk.client.prod.eu-west.dreamlake.io/cruise-lines/princess-cruises/ruby-princess/cruises&lt;/loc&gt;</t>
  </si>
  <si>
    <t>https://odysia-cruise-uk.client.prod.eu-west.dreamlake.io/cruise-lines/princess-cruises/ruby-princess/cruises</t>
  </si>
  <si>
    <t>&lt;loc&gt;https://odysia-cruise-uk.client.prod.eu-west.dreamlake.io/cruises&lt;/loc&gt;</t>
  </si>
  <si>
    <t>&lt;loc&gt;https://odysia-cruise-uk.client.prod.eu-west.dreamlake.io/cruise-lines/cunard/queen-mary-2&lt;/loc&gt;</t>
  </si>
  <si>
    <t>https://odysia-cruise-uk.client.prod.eu-west.dreamlake.io/cruise-lines/cunard/queen-mary-2</t>
  </si>
  <si>
    <t>&lt;loc&gt;https://odysia-cruise-uk.client.prod.eu-west.dreamlake.io/cruise-lines/fred-olsen-cruises/bolette&lt;/loc&gt;</t>
  </si>
  <si>
    <t>https://odysia-cruise-uk.client.prod.eu-west.dreamlake.io/cruise-lines/fred-olsen-cruises/bolette</t>
  </si>
  <si>
    <t>&lt;loc&gt;https://odysia-cruise-uk.client.prod.eu-west.dreamlake.io/cruise-lines/norwegian-cruise-line/norwegian-spirit/cruises&lt;/loc&gt;</t>
  </si>
  <si>
    <t>https://odysia-cruise-uk.client.prod.eu-west.dreamlake.io/cruise-lines/norwegian-cruise-line/norwegian-spirit/cruises</t>
  </si>
  <si>
    <t>&lt;loc&gt;https://odysia-cruise-uk.client.prod.eu-west.dreamlake.io/cruise-lines/royal-caribbean/grandeur-of-the-seas&lt;/loc&gt;</t>
  </si>
  <si>
    <t>https://odysia-cruise-uk.client.prod.eu-west.dreamlake.io/cruise-lines/royal-caribbean/grandeur-of-the-seas</t>
  </si>
  <si>
    <t>&lt;loc&gt;https://odysia-cruise-uk.client.prod.eu-west.dreamlake.io/destinations/central-south-america-cruises&lt;/loc&gt;</t>
  </si>
  <si>
    <t>&lt;loc&gt;https://odysia-cruise-uk.client.prod.eu-west.dreamlake.io/cruise-lines/norwegian-cruise-line/norwegian-jewel/cruises&lt;/loc&gt;</t>
  </si>
  <si>
    <t>https://odysia-cruise-uk.client.prod.eu-west.dreamlake.io/cruise-lines/norwegian-cruise-line/norwegian-jewel/cruises</t>
  </si>
  <si>
    <t>&lt;loc&gt;https://odysia-cruise-uk.client.prod.eu-west.dreamlake.io/cruise-lines/regent-seven-seas-cruises/seven-seas-voyager&lt;/loc&gt;</t>
  </si>
  <si>
    <t>https://odysia-cruise-uk.client.prod.eu-west.dreamlake.io/cruise-lines/regent-seven-seas-cruises/seven-seas-voyager</t>
  </si>
  <si>
    <t>&lt;loc&gt;https://odysia-cruise-uk.client.prod.eu-west.dreamlake.io/cruise-lines/msc-cruises/msc-meraviglia&lt;/loc&gt;</t>
  </si>
  <si>
    <t>https://odysia-cruise-uk.client.prod.eu-west.dreamlake.io/cruise-lines/msc-cruises/msc-meraviglia</t>
  </si>
  <si>
    <t>&lt;loc&gt;https://odysia-cruise-uk.client.prod.eu-west.dreamlake.io/destinations/middle-east-cruises&lt;/loc&gt;</t>
  </si>
  <si>
    <t>&lt;loc&gt;https://odysia-cruise-uk.client.prod.eu-west.dreamlake.io/cruise-lines/norwegian-cruise-line/norwegian-sky&lt;/loc&gt;</t>
  </si>
  <si>
    <t>https://odysia-cruise-uk.client.prod.eu-west.dreamlake.io/cruise-lines/norwegian-cruise-line/norwegian-sky</t>
  </si>
  <si>
    <t>&lt;loc&gt;https://odysia-cruise-uk.client.prod.eu-west.dreamlake.io/cruise-lines/msc-cruises/msc-orchestra/cruises&lt;/loc&gt;</t>
  </si>
  <si>
    <t>https://odysia-cruise-uk.client.prod.eu-west.dreamlake.io/cruise-lines/msc-cruises/msc-orchestra/cruises</t>
  </si>
  <si>
    <t>&lt;loc&gt;https://odysia-cruise-uk.client.prod.eu-west.dreamlake.io/calendar/northern-europe-cruises&lt;/loc&gt;</t>
  </si>
  <si>
    <t>&lt;loc&gt;https://odysia-cruise-uk.client.prod.eu-west.dreamlake.io/destinations/caribbean-cruises&lt;/loc&gt;</t>
  </si>
  <si>
    <t>&lt;loc&gt;https://odysia-cruise-uk.client.prod.eu-west.dreamlake.io/cruise-deals/last-minute-cruises&lt;/loc&gt;</t>
  </si>
  <si>
    <t>https://odysia-cruise-uk.client.prod.eu-west.dreamlake.io/cruise-deals/last-minute-cruises</t>
  </si>
  <si>
    <t>&lt;loc&gt;https://odysia-cruise-uk.client.prod.eu-west.dreamlake.io/cruise-lines/po-cruises/ventura/cruises&lt;/loc&gt;</t>
  </si>
  <si>
    <t>https://odysia-cruise-uk.client.prod.eu-west.dreamlake.io/cruise-lines/po-cruises/ventura/cruises</t>
  </si>
  <si>
    <t>&lt;loc&gt;https://odysia-cruise-uk.client.prod.eu-west.dreamlake.io/cruise-lines/norwegian-cruise-line/pride-of-america/cruises&lt;/loc&gt;</t>
  </si>
  <si>
    <t>https://odysia-cruise-uk.client.prod.eu-west.dreamlake.io/cruise-lines/norwegian-cruise-line/pride-of-america/cruises</t>
  </si>
  <si>
    <t>&lt;loc&gt;https://odysia-cruise-uk.client.prod.eu-west.dreamlake.io/cruise-lines/royal-caribbean/serenade-of-the-seas/cruises&lt;/loc&gt;</t>
  </si>
  <si>
    <t>https://odysia-cruise-uk.client.prod.eu-west.dreamlake.io/cruise-lines/royal-caribbean/serenade-of-the-seas/cruises</t>
  </si>
  <si>
    <t>&lt;loc&gt;https://odysia-cruise-uk.client.prod.eu-west.dreamlake.io/cruise-lines/holland-america-line/nieuw-amsterdam&lt;/loc&gt;</t>
  </si>
  <si>
    <t>https://odysia-cruise-uk.client.prod.eu-west.dreamlake.io/cruise-lines/holland-america-line/nieuw-amsterdam</t>
  </si>
  <si>
    <t>&lt;loc&gt;https://odysia-cruise-uk.client.prod.eu-west.dreamlake.io/cruise-lines/norwegian-cruise-line/norwegian-luna&lt;/loc&gt;</t>
  </si>
  <si>
    <t>https://odysia-cruise-uk.client.prod.eu-west.dreamlake.io/cruise-lines/norwegian-cruise-line/norwegian-luna</t>
  </si>
  <si>
    <t>&lt;loc&gt;https://odysia-cruise-uk.client.prod.eu-west.dreamlake.io/cruise-lines/holland-america-line/zaandam/cruises&lt;/loc&gt;</t>
  </si>
  <si>
    <t>https://odysia-cruise-uk.client.prod.eu-west.dreamlake.io/cruise-lines/holland-america-line/zaandam/cruises</t>
  </si>
  <si>
    <t>&lt;loc&gt;https://odysia-cruise-uk.client.prod.eu-west.dreamlake.io/cruise-lines/fred-olsen-cruises/cruises&lt;/loc&gt;</t>
  </si>
  <si>
    <t>https://odysia-cruise-uk.client.prod.eu-west.dreamlake.io/cruise-lines/fred-olsen-cruises/cruises</t>
  </si>
  <si>
    <t>&lt;loc&gt;https://odysia-cruise-uk.client.prod.eu-west.dreamlake.io/cruise-lines/msc-cruises/msc-orchestra&lt;/loc&gt;</t>
  </si>
  <si>
    <t>https://odysia-cruise-uk.client.prod.eu-west.dreamlake.io/cruise-lines/msc-cruises/msc-orchestra</t>
  </si>
  <si>
    <t>&lt;loc&gt;https://odysia-cruise-uk.client.prod.eu-west.dreamlake.io/cruise-lines/costa-cruises/costa-toscana/cruises&lt;/loc&gt;</t>
  </si>
  <si>
    <t>https://odysia-cruise-uk.client.prod.eu-west.dreamlake.io/cruise-lines/costa-cruises/costa-toscana/cruises</t>
  </si>
  <si>
    <t>&lt;loc&gt;https://odysia-cruise-uk.client.prod.eu-west.dreamlake.io/cruise-lines/royal-caribbean/liberty-of-the-seas&lt;/loc&gt;</t>
  </si>
  <si>
    <t>https://odysia-cruise-uk.client.prod.eu-west.dreamlake.io/cruise-lines/royal-caribbean/liberty-of-the-seas</t>
  </si>
  <si>
    <t>&lt;loc&gt;https://odysia-cruise-uk.client.prod.eu-west.dreamlake.io/cruise-lines/norwegian-cruise-line/norwegian-viva&lt;/loc&gt;</t>
  </si>
  <si>
    <t>https://odysia-cruise-uk.client.prod.eu-west.dreamlake.io/cruise-lines/norwegian-cruise-line/norwegian-viva</t>
  </si>
  <si>
    <t>&lt;loc&gt;https://odysia-cruise-uk.client.prod.eu-west.dreamlake.io/cruise-lines/norwegian-cruise-line/cruises&lt;/loc&gt;</t>
  </si>
  <si>
    <t>https://odysia-cruise-uk.client.prod.eu-west.dreamlake.io/cruise-lines/norwegian-cruise-line/cruises</t>
  </si>
  <si>
    <t>&lt;loc&gt;https://odysia-cruise-uk.client.prod.eu-west.dreamlake.io/cruise-lines/msc-cruises/msc-seaside&lt;/loc&gt;</t>
  </si>
  <si>
    <t>https://odysia-cruise-uk.client.prod.eu-west.dreamlake.io/cruise-lines/msc-cruises/msc-seaside</t>
  </si>
  <si>
    <t>&lt;loc&gt;https://odysia-cruise-uk.client.prod.eu-west.dreamlake.io/cruise-lines/seabourn/cruises&lt;/loc&gt;</t>
  </si>
  <si>
    <t>https://odysia-cruise-uk.client.prod.eu-west.dreamlake.io/cruise-lines/seabourn/cruises</t>
  </si>
  <si>
    <t>&lt;loc&gt;https://odysia-cruise-uk.client.prod.eu-west.dreamlake.io/cruise-lines/celebrity-cruises/celebrity-summit&lt;/loc&gt;</t>
  </si>
  <si>
    <t>https://odysia-cruise-uk.client.prod.eu-west.dreamlake.io/cruise-lines/celebrity-cruises/celebrity-summit</t>
  </si>
  <si>
    <t>&lt;loc&gt;https://odysia-cruise-uk.client.prod.eu-west.dreamlake.io/cruise-lines/royal-caribbean/radiance-of-the-seas&lt;/loc&gt;</t>
  </si>
  <si>
    <t>https://odysia-cruise-uk.client.prod.eu-west.dreamlake.io/cruise-lines/royal-caribbean/radiance-of-the-seas</t>
  </si>
  <si>
    <t>&lt;loc&gt;https://odysia-cruise-uk.client.prod.eu-west.dreamlake.io/cruise-lines/oceania-cruises/oceania-nautica&lt;/loc&gt;</t>
  </si>
  <si>
    <t>https://odysia-cruise-uk.client.prod.eu-west.dreamlake.io/cruise-lines/oceania-cruises/oceania-nautica</t>
  </si>
  <si>
    <t>&lt;loc&gt;https://odysia-cruise-uk.client.prod.eu-west.dreamlake.io/cruise-lines/royal-caribbean/star-of-the-seas&lt;/loc&gt;</t>
  </si>
  <si>
    <t>https://odysia-cruise-uk.client.prod.eu-west.dreamlake.io/cruise-lines/royal-caribbean/star-of-the-seas</t>
  </si>
  <si>
    <t>&lt;loc&gt;https://odysia-cruise-uk.client.prod.eu-west.dreamlake.io/cruise-lines/celebrity-cruises/celebrity-equinox&lt;/loc&gt;</t>
  </si>
  <si>
    <t>https://odysia-cruise-uk.client.prod.eu-west.dreamlake.io/cruise-lines/celebrity-cruises/celebrity-equinox</t>
  </si>
  <si>
    <t>&lt;loc&gt;https://odysia-cruise-uk.client.prod.eu-west.dreamlake.io/cruise-lines/ambassador-cruise-line/renaissance/cruises&lt;/loc&gt;</t>
  </si>
  <si>
    <t>https://odysia-cruise-uk.client.prod.eu-west.dreamlake.io/cruise-lines/ambassador-cruise-line/renaissance/cruises</t>
  </si>
  <si>
    <t>&lt;loc&gt;https://odysia-cruise-uk.client.prod.eu-west.dreamlake.io/cruise-lines/princess-cruises/sky-princess&lt;/loc&gt;</t>
  </si>
  <si>
    <t>https://odysia-cruise-uk.client.prod.eu-west.dreamlake.io/cruise-lines/princess-cruises/sky-princess</t>
  </si>
  <si>
    <t>&lt;loc&gt;https://odysia-cruise-uk.client.prod.eu-west.dreamlake.io/cruise-lines/celebrity-cruises/celebrity-reflection&lt;/loc&gt;</t>
  </si>
  <si>
    <t>https://odysia-cruise-uk.client.prod.eu-west.dreamlake.io/cruise-lines/celebrity-cruises/celebrity-reflection</t>
  </si>
  <si>
    <t>&lt;loc&gt;https://odysia-cruise-uk.client.prod.eu-west.dreamlake.io/cruise-lines/celebrity-cruises/celebrity-edge/cruises&lt;/loc&gt;</t>
  </si>
  <si>
    <t>https://odysia-cruise-uk.client.prod.eu-west.dreamlake.io/cruise-lines/celebrity-cruises/celebrity-edge/cruises</t>
  </si>
  <si>
    <t>&lt;loc&gt;https://odysia-cruise-uk.client.prod.eu-west.dreamlake.io/cruise-lines/norwegian-cruise-line/norwegian-star/cruises&lt;/loc&gt;</t>
  </si>
  <si>
    <t>https://odysia-cruise-uk.client.prod.eu-west.dreamlake.io/cruise-lines/norwegian-cruise-line/norwegian-star/cruises</t>
  </si>
  <si>
    <t>&lt;loc&gt;https://odysia-cruise-uk.client.prod.eu-west.dreamlake.io/cruise-lines/royal-caribbean/mariner-of-the-seas/cruises&lt;/loc&gt;</t>
  </si>
  <si>
    <t>https://odysia-cruise-uk.client.prod.eu-west.dreamlake.io/cruise-lines/royal-caribbean/mariner-of-the-seas/cruises</t>
  </si>
  <si>
    <t>&lt;loc&gt;https://odysia-cruise-uk.client.prod.eu-west.dreamlake.io/cruise-lines/royal-caribbean/allure-of-the-seas/cruises&lt;/loc&gt;</t>
  </si>
  <si>
    <t>https://odysia-cruise-uk.client.prod.eu-west.dreamlake.io/cruise-lines/royal-caribbean/allure-of-the-seas/cruises</t>
  </si>
  <si>
    <t>&lt;loc&gt;https://odysia-cruise-uk.client.prod.eu-west.dreamlake.io/cruise-lines/po-cruises/cruises&lt;/loc&gt;</t>
  </si>
  <si>
    <t>https://odysia-cruise-uk.client.prod.eu-west.dreamlake.io/cruise-lines/po-cruises/cruises</t>
  </si>
  <si>
    <t>&lt;loc&gt;https://odysia-cruise-uk.client.prod.eu-west.dreamlake.io/cruise-lines/msc-cruises/msc-seaview/cruises&lt;/loc&gt;</t>
  </si>
  <si>
    <t>https://odysia-cruise-uk.client.prod.eu-west.dreamlake.io/cruise-lines/msc-cruises/msc-seaview/cruises</t>
  </si>
  <si>
    <t>&lt;loc&gt;https://odysia-cruise-uk.client.prod.eu-west.dreamlake.io/cruise-lines/norwegian-cruise-line/norwegian-sky/cruises&lt;/loc&gt;</t>
  </si>
  <si>
    <t>https://odysia-cruise-uk.client.prod.eu-west.dreamlake.io/cruise-lines/norwegian-cruise-line/norwegian-sky/cruises</t>
  </si>
  <si>
    <t>&lt;loc&gt;https://odysia-cruise-uk.client.prod.eu-west.dreamlake.io/cruise-lines/royal-caribbean/quantum-of-the-seas/cruises&lt;/loc&gt;</t>
  </si>
  <si>
    <t>https://odysia-cruise-uk.client.prod.eu-west.dreamlake.io/cruise-lines/royal-caribbean/quantum-of-the-seas/cruises</t>
  </si>
  <si>
    <t>&lt;loc&gt;https://odysia-cruise-uk.client.prod.eu-west.dreamlake.io/cruise-calendar/south-america-cruise-dates&lt;/loc&gt;</t>
  </si>
  <si>
    <t>&lt;loc&gt;https://odysia-cruise-uk.client.prod.eu-west.dreamlake.io/cruise-lines/royal-caribbean/independence-of-the-seas/cruises&lt;/loc&gt;</t>
  </si>
  <si>
    <t>https://odysia-cruise-uk.client.prod.eu-west.dreamlake.io/cruise-lines/royal-caribbean/independence-of-the-seas/cruises</t>
  </si>
  <si>
    <t>&lt;loc&gt;https://odysia-cruise-uk.client.prod.eu-west.dreamlake.io/cruise-lines/msc-cruises/msc-magnifica/cruises&lt;/loc&gt;</t>
  </si>
  <si>
    <t>https://odysia-cruise-uk.client.prod.eu-west.dreamlake.io/cruise-lines/msc-cruises/msc-magnifica/cruises</t>
  </si>
  <si>
    <t>&lt;loc&gt;https://odysia-cruise-uk.client.prod.eu-west.dreamlake.io/cruise-lines/regent-seven-seas-cruises/seven-seas-splendor&lt;/loc&gt;</t>
  </si>
  <si>
    <t>https://odysia-cruise-uk.client.prod.eu-west.dreamlake.io/cruise-lines/regent-seven-seas-cruises/seven-seas-splendor</t>
  </si>
  <si>
    <t>&lt;loc&gt;https://odysia-cruise-uk.client.prod.eu-west.dreamlake.io/cruise-lines/celebrity-cruises/celebrity-millennium&lt;/loc&gt;</t>
  </si>
  <si>
    <t>https://odysia-cruise-uk.client.prod.eu-west.dreamlake.io/cruise-lines/celebrity-cruises/celebrity-millennium</t>
  </si>
  <si>
    <t>&lt;loc&gt;https://odysia-cruise-uk.client.prod.eu-west.dreamlake.io/cruise-lines/oceania-cruises/oceania-riviera&lt;/loc&gt;</t>
  </si>
  <si>
    <t>https://odysia-cruise-uk.client.prod.eu-west.dreamlake.io/cruise-lines/oceania-cruises/oceania-riviera</t>
  </si>
  <si>
    <t>&lt;loc&gt;https://odysia-cruise-uk.client.prod.eu-west.dreamlake.io/cruise-lines/holland-america-line/zuiderdam&lt;/loc&gt;</t>
  </si>
  <si>
    <t>https://odysia-cruise-uk.client.prod.eu-west.dreamlake.io/cruise-lines/holland-america-line/zuiderdam</t>
  </si>
  <si>
    <t>&lt;loc&gt;https://odysia-cruise-uk.client.prod.eu-west.dreamlake.io/cruise-lines/royal-caribbean/brilliance-of-the-seas&lt;/loc&gt;</t>
  </si>
  <si>
    <t>https://odysia-cruise-uk.client.prod.eu-west.dreamlake.io/cruise-lines/royal-caribbean/brilliance-of-the-seas</t>
  </si>
  <si>
    <t>&lt;loc&gt;https://odysia-cruise-uk.client.prod.eu-west.dreamlake.io/cruise-lines/cunard/queen-anne&lt;/loc&gt;</t>
  </si>
  <si>
    <t>https://odysia-cruise-uk.client.prod.eu-west.dreamlake.io/cruise-lines/cunard/queen-anne</t>
  </si>
  <si>
    <t>&lt;loc&gt;https://odysia-cruise-uk.client.prod.eu-west.dreamlake.io/destinations/scandinavia-baltic-cruises&lt;/loc&gt;</t>
  </si>
  <si>
    <t>&lt;loc&gt;https://odysia-cruise-uk.client.prod.eu-west.dreamlake.io/cruise-lines/princess-cruises/majestic-princess/cruises&lt;/loc&gt;</t>
  </si>
  <si>
    <t>https://odysia-cruise-uk.client.prod.eu-west.dreamlake.io/cruise-lines/princess-cruises/majestic-princess/cruises</t>
  </si>
  <si>
    <t>&lt;loc&gt;https://odysia-cruise-uk.client.prod.eu-west.dreamlake.io/cruise-lines/msc-cruises/msc-seashore/cruises&lt;/loc&gt;</t>
  </si>
  <si>
    <t>https://odysia-cruise-uk.client.prod.eu-west.dreamlake.io/cruise-lines/msc-cruises/msc-seashore/cruises</t>
  </si>
  <si>
    <t>&lt;loc&gt;https://odysia-cruise-uk.client.prod.eu-west.dreamlake.io/cruise-lines/princess-cruises/ruby-princess&lt;/loc&gt;</t>
  </si>
  <si>
    <t>https://odysia-cruise-uk.client.prod.eu-west.dreamlake.io/cruise-lines/princess-cruises/ruby-princess</t>
  </si>
  <si>
    <t>&lt;loc&gt;https://odysia-cruise-uk.client.prod.eu-west.dreamlake.io/cruise-lines/holland-america-line/westerdam/cruises&lt;/loc&gt;</t>
  </si>
  <si>
    <t>https://odysia-cruise-uk.client.prod.eu-west.dreamlake.io/cruise-lines/holland-america-line/westerdam/cruises</t>
  </si>
  <si>
    <t>&lt;loc&gt;https://odysia-cruise-uk.client.prod.eu-west.dreamlake.io/cruise-lines/royal-caribbean/jewel-of-the-seas&lt;/loc&gt;</t>
  </si>
  <si>
    <t>https://odysia-cruise-uk.client.prod.eu-west.dreamlake.io/cruise-lines/royal-caribbean/jewel-of-the-seas</t>
  </si>
  <si>
    <t>&lt;loc&gt;https://odysia-cruise-uk.client.prod.eu-west.dreamlake.io/cruise-lines/azamara/azamara-journey&lt;/loc&gt;</t>
  </si>
  <si>
    <t>&lt;loc&gt;https://odysia-cruise-uk.client.prod.eu-west.dreamlake.io/cruise-lines/oceania-cruises/oceania-marina/cruises&lt;/loc&gt;</t>
  </si>
  <si>
    <t>https://odysia-cruise-uk.client.prod.eu-west.dreamlake.io/cruise-lines/oceania-cruises/oceania-marina/cruises</t>
  </si>
  <si>
    <t>&lt;loc&gt;https://odysia-cruise-uk.client.prod.eu-west.dreamlake.io/cruise-lines/norwegian-cruise-line/norwegian-joy&lt;/loc&gt;</t>
  </si>
  <si>
    <t>https://odysia-cruise-uk.client.prod.eu-west.dreamlake.io/cruise-lines/norwegian-cruise-line/norwegian-joy</t>
  </si>
  <si>
    <t>&lt;loc&gt;https://odysia-cruise-uk.client.prod.eu-west.dreamlake.io/cruise-lines/costa-cruises/costa-serena&lt;/loc&gt;</t>
  </si>
  <si>
    <t>https://odysia-cruise-uk.client.prod.eu-west.dreamlake.io/cruise-lines/costa-cruises/costa-serena</t>
  </si>
  <si>
    <t>&lt;loc&gt;https://odysia-cruise-uk.client.prod.eu-west.dreamlake.io/cruise-lines/royal-caribbean/cruises&lt;/loc&gt;</t>
  </si>
  <si>
    <t>https://odysia-cruise-uk.client.prod.eu-west.dreamlake.io/cruise-lines/royal-caribbean/cruises</t>
  </si>
  <si>
    <t>&lt;loc&gt;https://odysia-cruise-uk.client.prod.eu-west.dreamlake.io/cruise-lines/celebrity-cruises/celebrity-equinox/cruises&lt;/loc&gt;</t>
  </si>
  <si>
    <t>https://odysia-cruise-uk.client.prod.eu-west.dreamlake.io/cruise-lines/celebrity-cruises/celebrity-equinox/cruises</t>
  </si>
  <si>
    <t>&lt;loc&gt;https://odysia-cruise-uk.client.prod.eu-west.dreamlake.io/cruise-lines/msc-cruises/msc-world-america&lt;/loc&gt;</t>
  </si>
  <si>
    <t>https://odysia-cruise-uk.client.prod.eu-west.dreamlake.io/cruise-lines/msc-cruises/msc-world-america</t>
  </si>
  <si>
    <t>&lt;loc&gt;https://odysia-cruise-uk.client.prod.eu-west.dreamlake.io/cruise-lines/msc-cruises/msc-grandiosa&lt;/loc&gt;</t>
  </si>
  <si>
    <t>https://odysia-cruise-uk.client.prod.eu-west.dreamlake.io/cruise-lines/msc-cruises/msc-grandiosa</t>
  </si>
  <si>
    <t>&lt;loc&gt;https://odysia-cruise-uk.client.prod.eu-west.dreamlake.io/cruise-lines/celebrity-cruises/celebrity-summit/cruises&lt;/loc&gt;</t>
  </si>
  <si>
    <t>https://odysia-cruise-uk.client.prod.eu-west.dreamlake.io/cruise-lines/celebrity-cruises/celebrity-summit/cruises</t>
  </si>
  <si>
    <t>&lt;loc&gt;https://odysia-cruise-uk.client.prod.eu-west.dreamlake.io/cruise-lines/norwegian-cruise-line/norwegian-pearl/cruises&lt;/loc&gt;</t>
  </si>
  <si>
    <t>https://odysia-cruise-uk.client.prod.eu-west.dreamlake.io/cruise-lines/norwegian-cruise-line/norwegian-pearl/cruises</t>
  </si>
  <si>
    <t>&lt;loc&gt;https://odysia-cruise-uk.client.prod.eu-west.dreamlake.io/cruise-lines/princess-cruises/royal-princess&lt;/loc&gt;</t>
  </si>
  <si>
    <t>https://odysia-cruise-uk.client.prod.eu-west.dreamlake.io/cruise-lines/princess-cruises/royal-princess</t>
  </si>
  <si>
    <t>&lt;loc&gt;https://odysia-cruise-uk.client.prod.eu-west.dreamlake.io/cruise-lines/virgin-voyages/brilliant-lady&lt;/loc&gt;</t>
  </si>
  <si>
    <t>https://odysia-cruise-uk.client.prod.eu-west.dreamlake.io/cruise-lines/virgin-voyages/brilliant-lady</t>
  </si>
  <si>
    <t>&lt;loc&gt;https://odysia-cruise-uk.client.prod.eu-west.dreamlake.io/cruise-lines/royal-caribbean/wonder-of-the-seas&lt;/loc&gt;</t>
  </si>
  <si>
    <t>https://odysia-cruise-uk.client.prod.eu-west.dreamlake.io/cruise-lines/royal-caribbean/wonder-of-the-seas</t>
  </si>
  <si>
    <t>&lt;loc&gt;https://odysia-cruise-uk.client.prod.eu-west.dreamlake.io/cruise-lines/azamara/azamara-pursuit&lt;/loc&gt;</t>
  </si>
  <si>
    <t>&lt;loc&gt;https://odysia-cruise-uk.client.prod.eu-west.dreamlake.io/cruise-lines/po-cruises&lt;/loc&gt;</t>
  </si>
  <si>
    <t>https://odysia-cruise-uk.client.prod.eu-west.dreamlake.io/cruise-lines/po-cruises</t>
  </si>
  <si>
    <t>&lt;loc&gt;https://odysia-cruise-uk.client.prod.eu-west.dreamlake.io/cruise-lines/seabourn/seabourn-encore/cruises&lt;/loc&gt;</t>
  </si>
  <si>
    <t>https://odysia-cruise-uk.client.prod.eu-west.dreamlake.io/cruise-lines/seabourn/seabourn-encore/cruises</t>
  </si>
  <si>
    <t>&lt;loc&gt;https://odysia-cruise-uk.client.prod.eu-west.dreamlake.io/cruise-lines/regent-seven-seas-cruises/seven-seas-navigator&lt;/loc&gt;</t>
  </si>
  <si>
    <t>https://odysia-cruise-uk.client.prod.eu-west.dreamlake.io/cruise-lines/regent-seven-seas-cruises/seven-seas-navigator</t>
  </si>
  <si>
    <t>&lt;loc&gt;https://odysia-cruise-uk.client.prod.eu-west.dreamlake.io/cruise-deals&lt;/loc&gt;</t>
  </si>
  <si>
    <t>https://odysia-cruise-uk.client.prod.eu-west.dreamlake.io/cruise-deals</t>
  </si>
  <si>
    <t>&lt;loc&gt;https://odysia-cruise-uk.client.prod.eu-west.dreamlake.io/cruise-lines/princess-cruises/enchanted-princess/cruises&lt;/loc&gt;</t>
  </si>
  <si>
    <t>https://odysia-cruise-uk.client.prod.eu-west.dreamlake.io/cruise-lines/princess-cruises/enchanted-princess/cruises</t>
  </si>
  <si>
    <t>&lt;loc&gt;https://odysia-cruise-uk.client.prod.eu-west.dreamlake.io/cruise-lines/royal-caribbean/harmony-of-the-seas&lt;/loc&gt;</t>
  </si>
  <si>
    <t>https://odysia-cruise-uk.client.prod.eu-west.dreamlake.io/cruise-lines/royal-caribbean/harmony-of-the-seas</t>
  </si>
  <si>
    <t>&lt;loc&gt;https://odysia-cruise-uk.client.prod.eu-west.dreamlake.io/destinations/world-cruise&lt;/loc&gt;</t>
  </si>
  <si>
    <t>&lt;loc&gt;https://odysia-cruise-uk.client.prod.eu-west.dreamlake.io/cruise-lines/princess-cruises/cruises&lt;/loc&gt;</t>
  </si>
  <si>
    <t>https://odysia-cruise-uk.client.prod.eu-west.dreamlake.io/cruise-lines/princess-cruises/cruises</t>
  </si>
  <si>
    <t>&lt;loc&gt;https://odysia-cruise-uk.client.prod.eu-west.dreamlake.io/cruise-lines/msc-cruises/msc-lirica/cruises&lt;/loc&gt;</t>
  </si>
  <si>
    <t>https://odysia-cruise-uk.client.prod.eu-west.dreamlake.io/cruise-lines/msc-cruises/msc-lirica/cruises</t>
  </si>
  <si>
    <t>&lt;loc&gt;https://odysia-cruise-uk.client.prod.eu-west.dreamlake.io/cruise-lines/msc-cruises/msc-world-america/cruises&lt;/loc&gt;</t>
  </si>
  <si>
    <t>https://odysia-cruise-uk.client.prod.eu-west.dreamlake.io/cruise-lines/msc-cruises/msc-world-america/cruises</t>
  </si>
  <si>
    <t>&lt;loc&gt;https://odysia-cruise-uk.client.prod.eu-west.dreamlake.io/cruise-lines/holland-america-line/westerdam&lt;/loc&gt;</t>
  </si>
  <si>
    <t>https://odysia-cruise-uk.client.prod.eu-west.dreamlake.io/cruise-lines/holland-america-line/westerdam</t>
  </si>
  <si>
    <t>&lt;loc&gt;https://odysia-cruise-uk.client.prod.eu-west.dreamlake.io/cruise-lines/seabourn/seabourn-pursuit&lt;/loc&gt;</t>
  </si>
  <si>
    <t>https://odysia-cruise-uk.client.prod.eu-west.dreamlake.io/cruise-lines/seabourn/seabourn-pursuit</t>
  </si>
  <si>
    <t>&lt;loc&gt;https://odysia-cruise-uk.client.prod.eu-west.dreamlake.io/cruise-lines/explora-journeys/explora-ii/cruises&lt;/loc&gt;</t>
  </si>
  <si>
    <t>https://odysia-cruise-uk.client.prod.eu-west.dreamlake.io/cruise-lines/explora-journeys/explora-ii/cruises</t>
  </si>
  <si>
    <t>&lt;loc&gt;https://odysia-cruise-uk.client.prod.eu-west.dreamlake.io/cruise-lines/holland-america-line/oosterdam&lt;/loc&gt;</t>
  </si>
  <si>
    <t>https://odysia-cruise-uk.client.prod.eu-west.dreamlake.io/cruise-lines/holland-america-line/oosterdam</t>
  </si>
  <si>
    <t>&lt;loc&gt;https://odysia-cruise-uk.client.prod.eu-west.dreamlake.io/destinations/far-east-cruises&lt;/loc&gt;</t>
  </si>
  <si>
    <t>&lt;loc&gt;https://odysia-cruise-uk.client.prod.eu-west.dreamlake.io/cruise-lines/costa-cruises/costa-fortuna&lt;/loc&gt;</t>
  </si>
  <si>
    <t>https://odysia-cruise-uk.client.prod.eu-west.dreamlake.io/cruise-lines/costa-cruises/costa-fortuna</t>
  </si>
  <si>
    <t>https://prod.odysiacruise.com</t>
  </si>
  <si>
    <t>https://prod.odysiacruise.com/about-us</t>
  </si>
  <si>
    <t>https://prod.odysiacruise.com/cruise-calendar</t>
  </si>
  <si>
    <t>https://prod.odysiacruise.com/cruise-deals</t>
  </si>
  <si>
    <t>https://prod.odysiacruise.com/cruise-deals/2025</t>
  </si>
  <si>
    <t>https://prod.odysiacruise.com/cruise-deals/2026</t>
  </si>
  <si>
    <t>https://prod.odysiacruise.com/cruise-deals/2027</t>
  </si>
  <si>
    <t>https://prod.odysiacruise.com/cruise-deals/all-inclusive-cruise-deals</t>
  </si>
  <si>
    <t>https://prod.odysiacruise.com/cruise-deals/cruises-from-dover</t>
  </si>
  <si>
    <t>https://prod.odysiacruise.com/cruise-deals/cruises-from-liverpool</t>
  </si>
  <si>
    <t>https://prod.odysiacruise.com/cruise-deals/cruises-from-newcastle</t>
  </si>
  <si>
    <t>https://prod.odysiacruise.com/cruise-deals/cruises-from-portsmouth</t>
  </si>
  <si>
    <t>https://prod.odysiacruise.com/cruise-deals/cruises-from-scotland</t>
  </si>
  <si>
    <t>https://prod.odysiacruise.com/cruise-deals/cruises-from-southampton</t>
  </si>
  <si>
    <t>https://prod.odysiacruise.com/cruise-deals/cruises-from-the-uk</t>
  </si>
  <si>
    <t>https://prod.odysiacruise.com/cruise-deals/cruises-from-tilbury</t>
  </si>
  <si>
    <t>https://prod.odysiacruise.com/cruise-deals/family-cruise-deals</t>
  </si>
  <si>
    <t>https://prod.odysiacruise.com/cruise-deals/fly-cruise-deals</t>
  </si>
  <si>
    <t>https://prod.odysiacruise.com/cruise-deals/last-minute-cruises</t>
  </si>
  <si>
    <t>https://prod.odysiacruise.com/cruise-deals/mini-cruises</t>
  </si>
  <si>
    <t>https://prod.odysiacruise.com/cruise-lines</t>
  </si>
  <si>
    <t>https://prod.odysiacruise.com/cruise-lines/ambassador-cruise-line</t>
  </si>
  <si>
    <t>https://prod.odysiacruise.com/cruise-lines/ambassador-cruise-line/ambience</t>
  </si>
  <si>
    <t>https://prod.odysiacruise.com/cruise-lines/ambassador-cruise-line/ambience/cruises</t>
  </si>
  <si>
    <t>https://prod.odysiacruise.com/cruise-lines/ambassador-cruise-line/ambition</t>
  </si>
  <si>
    <t>https://prod.odysiacruise.com/cruise-lines/ambassador-cruise-line/ambition/cruises</t>
  </si>
  <si>
    <t>https://prod.odysiacruise.com/cruise-lines/ambassador-cruise-line/cruises</t>
  </si>
  <si>
    <t>https://prod.odysiacruise.com/cruise-lines/ambassador-cruise-line/renaissance</t>
  </si>
  <si>
    <t>https://prod.odysiacruise.com/cruise-lines/ambassador-cruise-line/renaissance/cruises</t>
  </si>
  <si>
    <t>https://prod.odysiacruise.com/cruise-lines/azamara</t>
  </si>
  <si>
    <t>https://prod.odysiacruise.com/cruise-lines/azamara/azamara-journey</t>
  </si>
  <si>
    <t>https://prod.odysiacruise.com/cruise-lines/azamara/azamara-journey/cruises</t>
  </si>
  <si>
    <t>https://prod.odysiacruise.com/cruise-lines/azamara/azamara-onward</t>
  </si>
  <si>
    <t>https://prod.odysiacruise.com/cruise-lines/azamara/azamara-pursuit</t>
  </si>
  <si>
    <t>https://prod.odysiacruise.com/cruise-lines/azamara/azamara-pursuit/cruises</t>
  </si>
  <si>
    <t>https://prod.odysiacruise.com/cruise-lines/azamara/azamara-quest</t>
  </si>
  <si>
    <t>https://prod.odysiacruise.com/cruise-lines/azamara/azamara-quest/cruises</t>
  </si>
  <si>
    <t>https://prod.odysiacruise.com/cruise-lines/azamara/cruises</t>
  </si>
  <si>
    <t>https://prod.odysiacruise.com/cruise-lines/celebrity-cruises</t>
  </si>
  <si>
    <t>https://prod.odysiacruise.com/cruise-lines/celebrity-cruises/celebrity-apex</t>
  </si>
  <si>
    <t>https://prod.odysiacruise.com/cruise-lines/celebrity-cruises/celebrity-apex/cruises</t>
  </si>
  <si>
    <t>https://prod.odysiacruise.com/cruise-lines/celebrity-cruises/celebrity-ascent</t>
  </si>
  <si>
    <t>https://prod.odysiacruise.com/cruise-lines/celebrity-cruises/celebrity-ascent/cruises</t>
  </si>
  <si>
    <t>https://prod.odysiacruise.com/cruise-lines/celebrity-cruises/celebrity-beyond</t>
  </si>
  <si>
    <t>https://prod.odysiacruise.com/cruise-lines/celebrity-cruises/celebrity-beyond/cruises</t>
  </si>
  <si>
    <t>https://prod.odysiacruise.com/cruise-lines/celebrity-cruises/celebrity-constellation</t>
  </si>
  <si>
    <t>https://prod.odysiacruise.com/cruise-lines/celebrity-cruises/celebrity-constellation/cruises</t>
  </si>
  <si>
    <t>https://prod.odysiacruise.com/cruise-lines/celebrity-cruises/celebrity-eclipse</t>
  </si>
  <si>
    <t>https://prod.odysiacruise.com/cruise-lines/celebrity-cruises/celebrity-eclipse/cruises</t>
  </si>
  <si>
    <t>https://prod.odysiacruise.com/cruise-lines/celebrity-cruises/celebrity-edge</t>
  </si>
  <si>
    <t>https://prod.odysiacruise.com/cruise-lines/celebrity-cruises/celebrity-edge/cruises</t>
  </si>
  <si>
    <t>https://prod.odysiacruise.com/cruise-lines/celebrity-cruises/celebrity-equinox</t>
  </si>
  <si>
    <t>https://prod.odysiacruise.com/cruise-lines/celebrity-cruises/celebrity-equinox/cruises</t>
  </si>
  <si>
    <t>https://prod.odysiacruise.com/cruise-lines/celebrity-cruises/celebrity-flora</t>
  </si>
  <si>
    <t>https://prod.odysiacruise.com/cruise-lines/celebrity-cruises/celebrity-flora/cruises</t>
  </si>
  <si>
    <t>https://prod.odysiacruise.com/cruise-lines/celebrity-cruises/celebrity-infinity</t>
  </si>
  <si>
    <t>https://prod.odysiacruise.com/cruise-lines/celebrity-cruises/celebrity-infinity/cruises</t>
  </si>
  <si>
    <t>https://prod.odysiacruise.com/cruise-lines/celebrity-cruises/celebrity-millennium</t>
  </si>
  <si>
    <t>https://prod.odysiacruise.com/cruise-lines/celebrity-cruises/celebrity-millennium/cruises</t>
  </si>
  <si>
    <t>https://prod.odysiacruise.com/cruise-lines/celebrity-cruises/celebrity-reflection</t>
  </si>
  <si>
    <t>https://prod.odysiacruise.com/cruise-lines/celebrity-cruises/celebrity-reflection/cruises</t>
  </si>
  <si>
    <t>https://prod.odysiacruise.com/cruise-lines/celebrity-cruises/celebrity-silhouette</t>
  </si>
  <si>
    <t>https://prod.odysiacruise.com/cruise-lines/celebrity-cruises/celebrity-silhouette/cruises</t>
  </si>
  <si>
    <t>https://prod.odysiacruise.com/cruise-lines/celebrity-cruises/celebrity-solstice</t>
  </si>
  <si>
    <t>https://prod.odysiacruise.com/cruise-lines/celebrity-cruises/celebrity-solstice/cruises</t>
  </si>
  <si>
    <t>https://prod.odysiacruise.com/cruise-lines/celebrity-cruises/celebrity-summit</t>
  </si>
  <si>
    <t>https://prod.odysiacruise.com/cruise-lines/celebrity-cruises/celebrity-summit/cruises</t>
  </si>
  <si>
    <t>https://prod.odysiacruise.com/cruise-lines/celebrity-cruises/celebrity-xcel</t>
  </si>
  <si>
    <t>https://prod.odysiacruise.com/cruise-lines/celebrity-cruises/celebrity-xcel/cruises</t>
  </si>
  <si>
    <t>https://prod.odysiacruise.com/cruise-lines/celebrity-cruises/cruises</t>
  </si>
  <si>
    <t>https://prod.odysiacruise.com/cruise-lines/costa-cruises</t>
  </si>
  <si>
    <t>https://prod.odysiacruise.com/cruise-lines/costa-cruises/costa-deliziosa</t>
  </si>
  <si>
    <t>https://prod.odysiacruise.com/cruise-lines/costa-cruises/costa-deliziosa/cruises</t>
  </si>
  <si>
    <t>https://prod.odysiacruise.com/cruise-lines/costa-cruises/costa-diadema</t>
  </si>
  <si>
    <t>https://prod.odysiacruise.com/cruise-lines/costa-cruises/costa-diadema/cruises</t>
  </si>
  <si>
    <t>https://prod.odysiacruise.com/cruise-lines/costa-cruises/costa-fascinosa</t>
  </si>
  <si>
    <t>https://prod.odysiacruise.com/cruise-lines/costa-cruises/costa-fascinosa/cruises</t>
  </si>
  <si>
    <t>https://prod.odysiacruise.com/cruise-lines/costa-cruises/costa-favolosa</t>
  </si>
  <si>
    <t>https://prod.odysiacruise.com/cruise-lines/costa-cruises/costa-favolosa/cruises</t>
  </si>
  <si>
    <t>https://prod.odysiacruise.com/cruise-lines/costa-cruises/costa-fortuna</t>
  </si>
  <si>
    <t>https://prod.odysiacruise.com/cruise-lines/costa-cruises/costa-fortuna/cruises</t>
  </si>
  <si>
    <t>https://prod.odysiacruise.com/cruise-lines/costa-cruises/costa-pacifica</t>
  </si>
  <si>
    <t>https://prod.odysiacruise.com/cruise-lines/costa-cruises/costa-pacifica/cruises</t>
  </si>
  <si>
    <t>https://prod.odysiacruise.com/cruise-lines/costa-cruises/costa-serena</t>
  </si>
  <si>
    <t>https://prod.odysiacruise.com/cruise-lines/costa-cruises/costa-serena/cruises</t>
  </si>
  <si>
    <t>https://prod.odysiacruise.com/cruise-lines/costa-cruises/costa-smeralda</t>
  </si>
  <si>
    <t>https://prod.odysiacruise.com/cruise-lines/costa-cruises/costa-smeralda/cruises</t>
  </si>
  <si>
    <t>https://prod.odysiacruise.com/cruise-lines/costa-cruises/costa-toscana</t>
  </si>
  <si>
    <t>https://prod.odysiacruise.com/cruise-lines/costa-cruises/costa-toscana/cruises</t>
  </si>
  <si>
    <t>https://prod.odysiacruise.com/cruise-lines/costa-cruises/cruises</t>
  </si>
  <si>
    <t>https://prod.odysiacruise.com/cruise-lines/cunard</t>
  </si>
  <si>
    <t>https://prod.odysiacruise.com/cruise-lines/cunard/cruises</t>
  </si>
  <si>
    <t>https://prod.odysiacruise.com/cruise-lines/cunard/queen-anne</t>
  </si>
  <si>
    <t>https://prod.odysiacruise.com/cruise-lines/cunard/queen-anne/cruises</t>
  </si>
  <si>
    <t>https://prod.odysiacruise.com/cruise-lines/cunard/queen-elizabeth</t>
  </si>
  <si>
    <t>https://prod.odysiacruise.com/cruise-lines/cunard/queen-elizabeth/cruises</t>
  </si>
  <si>
    <t>https://prod.odysiacruise.com/cruise-lines/cunard/queen-mary-2</t>
  </si>
  <si>
    <t>https://prod.odysiacruise.com/cruise-lines/cunard/queen-mary-2/cruises</t>
  </si>
  <si>
    <t>https://prod.odysiacruise.com/cruise-lines/cunard/queen-victoria</t>
  </si>
  <si>
    <t>https://prod.odysiacruise.com/cruise-lines/cunard/queen-victoria/cruises</t>
  </si>
  <si>
    <t>https://prod.odysiacruise.com/cruise-lines/explora-journeys</t>
  </si>
  <si>
    <t>https://prod.odysiacruise.com/cruise-lines/explora-journeys/cruises</t>
  </si>
  <si>
    <t>https://prod.odysiacruise.com/cruise-lines/explora-journeys/explora-i</t>
  </si>
  <si>
    <t>https://prod.odysiacruise.com/cruise-lines/explora-journeys/explora-i/cruises</t>
  </si>
  <si>
    <t>https://prod.odysiacruise.com/cruise-lines/explora-journeys/explora-ii</t>
  </si>
  <si>
    <t>https://prod.odysiacruise.com/cruise-lines/explora-journeys/explora-ii/cruises</t>
  </si>
  <si>
    <t>https://prod.odysiacruise.com/cruise-lines/explora-journeys/explora-iii</t>
  </si>
  <si>
    <t>https://prod.odysiacruise.com/cruise-lines/explora-journeys/explora-iii/cruises</t>
  </si>
  <si>
    <t>https://prod.odysiacruise.com/cruise-lines/fred-olsen-cruises</t>
  </si>
  <si>
    <t>https://prod.odysiacruise.com/cruise-lines/fred-olsen-cruises/balmoral</t>
  </si>
  <si>
    <t>https://prod.odysiacruise.com/cruise-lines/fred-olsen-cruises/balmoral/cruises</t>
  </si>
  <si>
    <t>https://prod.odysiacruise.com/cruise-lines/fred-olsen-cruises/bolette</t>
  </si>
  <si>
    <t>https://prod.odysiacruise.com/cruise-lines/fred-olsen-cruises/bolette/cruises</t>
  </si>
  <si>
    <t>https://prod.odysiacruise.com/cruise-lines/fred-olsen-cruises/borealis</t>
  </si>
  <si>
    <t>https://prod.odysiacruise.com/cruise-lines/fred-olsen-cruises/borealis/cruises</t>
  </si>
  <si>
    <t>https://prod.odysiacruise.com/cruise-lines/fred-olsen-cruises/cruises</t>
  </si>
  <si>
    <t>https://prod.odysiacruise.com/cruise-lines/holland-america-line</t>
  </si>
  <si>
    <t>https://prod.odysiacruise.com/cruise-lines/holland-america-line/eurodam</t>
  </si>
  <si>
    <t>https://prod.odysiacruise.com/cruise-lines/holland-america-line/eurodam/cruises</t>
  </si>
  <si>
    <t>https://prod.odysiacruise.com/cruise-lines/holland-america-line/koningsdam</t>
  </si>
  <si>
    <t>https://prod.odysiacruise.com/cruise-lines/holland-america-line/koningsdam/cruises</t>
  </si>
  <si>
    <t>https://prod.odysiacruise.com/cruise-lines/holland-america-line/nieuw-amsterdam</t>
  </si>
  <si>
    <t>https://prod.odysiacruise.com/cruise-lines/holland-america-line/nieuw-amsterdam/cruises</t>
  </si>
  <si>
    <t>https://prod.odysiacruise.com/cruise-lines/holland-america-line/nieuw-statendam</t>
  </si>
  <si>
    <t>https://prod.odysiacruise.com/cruise-lines/holland-america-line/nieuw-statendam/cruises</t>
  </si>
  <si>
    <t>https://prod.odysiacruise.com/cruise-lines/holland-america-line/noordam</t>
  </si>
  <si>
    <t>https://prod.odysiacruise.com/cruise-lines/holland-america-line/noordam/cruises</t>
  </si>
  <si>
    <t>https://prod.odysiacruise.com/cruise-lines/holland-america-line/oosterdam</t>
  </si>
  <si>
    <t>https://prod.odysiacruise.com/cruise-lines/holland-america-line/oosterdam/cruises</t>
  </si>
  <si>
    <t>https://prod.odysiacruise.com/cruise-lines/holland-america-line/rotterdam</t>
  </si>
  <si>
    <t>https://prod.odysiacruise.com/cruise-lines/holland-america-line/rotterdam/cruises</t>
  </si>
  <si>
    <t>https://prod.odysiacruise.com/cruise-lines/holland-america-line/volendam</t>
  </si>
  <si>
    <t>https://prod.odysiacruise.com/cruise-lines/holland-america-line/volendam/cruises</t>
  </si>
  <si>
    <t>https://prod.odysiacruise.com/cruise-lines/holland-america-line/westerdam</t>
  </si>
  <si>
    <t>https://prod.odysiacruise.com/cruise-lines/holland-america-line/westerdam/cruises</t>
  </si>
  <si>
    <t>https://prod.odysiacruise.com/cruise-lines/holland-america-line/zaandam</t>
  </si>
  <si>
    <t>https://prod.odysiacruise.com/cruise-lines/holland-america-line/zaandam/cruises</t>
  </si>
  <si>
    <t>https://prod.odysiacruise.com/cruise-lines/holland-america-line/zuiderdam</t>
  </si>
  <si>
    <t>https://prod.odysiacruise.com/cruise-lines/holland-america-line/zuiderdam/cruises</t>
  </si>
  <si>
    <t>https://prod.odysiacruise.com/cruise-lines/msc-cruises</t>
  </si>
  <si>
    <t>https://prod.odysiacruise.com/cruise-lines/msc-cruises/cruises</t>
  </si>
  <si>
    <t>https://prod.odysiacruise.com/cruise-lines/msc-cruises/msc-armonia</t>
  </si>
  <si>
    <t>https://prod.odysiacruise.com/cruise-lines/msc-cruises/msc-armonia/cruises</t>
  </si>
  <si>
    <t>https://prod.odysiacruise.com/cruise-lines/msc-cruises/msc-bellissima</t>
  </si>
  <si>
    <t>https://prod.odysiacruise.com/cruise-lines/msc-cruises/msc-bellissima/cruises</t>
  </si>
  <si>
    <t>https://prod.odysiacruise.com/cruise-lines/msc-cruises/msc-divina</t>
  </si>
  <si>
    <t>https://prod.odysiacruise.com/cruise-lines/msc-cruises/msc-divina/cruises</t>
  </si>
  <si>
    <t>https://prod.odysiacruise.com/cruise-lines/msc-cruises/msc-euribia</t>
  </si>
  <si>
    <t>https://prod.odysiacruise.com/cruise-lines/msc-cruises/msc-euribia/cruises</t>
  </si>
  <si>
    <t>https://prod.odysiacruise.com/cruise-lines/msc-cruises/msc-fantasia</t>
  </si>
  <si>
    <t>https://prod.odysiacruise.com/cruise-lines/msc-cruises/msc-fantasia/cruises</t>
  </si>
  <si>
    <t>https://prod.odysiacruise.com/cruise-lines/msc-cruises/msc-grandiosa</t>
  </si>
  <si>
    <t>https://prod.odysiacruise.com/cruise-lines/msc-cruises/msc-grandiosa/cruises</t>
  </si>
  <si>
    <t>https://prod.odysiacruise.com/cruise-lines/msc-cruises/msc-lirica</t>
  </si>
  <si>
    <t>https://prod.odysiacruise.com/cruise-lines/msc-cruises/msc-lirica/cruises</t>
  </si>
  <si>
    <t>https://prod.odysiacruise.com/cruise-lines/msc-cruises/msc-magnifica</t>
  </si>
  <si>
    <t>https://prod.odysiacruise.com/cruise-lines/msc-cruises/msc-magnifica/cruises</t>
  </si>
  <si>
    <t>https://prod.odysiacruise.com/cruise-lines/msc-cruises/msc-meraviglia</t>
  </si>
  <si>
    <t>https://prod.odysiacruise.com/cruise-lines/msc-cruises/msc-meraviglia/cruises</t>
  </si>
  <si>
    <t>https://prod.odysiacruise.com/cruise-lines/msc-cruises/msc-musica</t>
  </si>
  <si>
    <t>https://prod.odysiacruise.com/cruise-lines/msc-cruises/msc-musica/cruises</t>
  </si>
  <si>
    <t>https://prod.odysiacruise.com/cruise-lines/msc-cruises/msc-opera</t>
  </si>
  <si>
    <t>https://prod.odysiacruise.com/cruise-lines/msc-cruises/msc-opera/cruises</t>
  </si>
  <si>
    <t>https://prod.odysiacruise.com/cruise-lines/msc-cruises/msc-orchestra</t>
  </si>
  <si>
    <t>https://prod.odysiacruise.com/cruise-lines/msc-cruises/msc-orchestra/cruises</t>
  </si>
  <si>
    <t>https://prod.odysiacruise.com/cruise-lines/msc-cruises/msc-poesia</t>
  </si>
  <si>
    <t>https://prod.odysiacruise.com/cruise-lines/msc-cruises/msc-poesia/cruises</t>
  </si>
  <si>
    <t>https://prod.odysiacruise.com/cruise-lines/msc-cruises/msc-preziosa</t>
  </si>
  <si>
    <t>https://prod.odysiacruise.com/cruise-lines/msc-cruises/msc-preziosa/cruises</t>
  </si>
  <si>
    <t>https://prod.odysiacruise.com/cruise-lines/msc-cruises/msc-seascape</t>
  </si>
  <si>
    <t>https://prod.odysiacruise.com/cruise-lines/msc-cruises/msc-seascape/cruises</t>
  </si>
  <si>
    <t>https://prod.odysiacruise.com/cruise-lines/msc-cruises/msc-seashore</t>
  </si>
  <si>
    <t>https://prod.odysiacruise.com/cruise-lines/msc-cruises/msc-seashore/cruises</t>
  </si>
  <si>
    <t>https://prod.odysiacruise.com/cruise-lines/msc-cruises/msc-seaside</t>
  </si>
  <si>
    <t>https://prod.odysiacruise.com/cruise-lines/msc-cruises/msc-seaside/cruises</t>
  </si>
  <si>
    <t>https://prod.odysiacruise.com/cruise-lines/msc-cruises/msc-seaview</t>
  </si>
  <si>
    <t>https://prod.odysiacruise.com/cruise-lines/msc-cruises/msc-seaview/cruises</t>
  </si>
  <si>
    <t>https://prod.odysiacruise.com/cruise-lines/msc-cruises/msc-sinfonia</t>
  </si>
  <si>
    <t>https://prod.odysiacruise.com/cruise-lines/msc-cruises/msc-sinfonia/cruises</t>
  </si>
  <si>
    <t>https://prod.odysiacruise.com/cruise-lines/msc-cruises/msc-splendida</t>
  </si>
  <si>
    <t>https://prod.odysiacruise.com/cruise-lines/msc-cruises/msc-splendida/cruises</t>
  </si>
  <si>
    <t>https://prod.odysiacruise.com/cruise-lines/msc-cruises/msc-virtuosa</t>
  </si>
  <si>
    <t>https://prod.odysiacruise.com/cruise-lines/msc-cruises/msc-virtuosa/cruises</t>
  </si>
  <si>
    <t>https://prod.odysiacruise.com/cruise-lines/msc-cruises/msc-world-america</t>
  </si>
  <si>
    <t>https://prod.odysiacruise.com/cruise-lines/msc-cruises/msc-world-america/cruises</t>
  </si>
  <si>
    <t>https://prod.odysiacruise.com/cruise-lines/msc-cruises/msc-world-europa</t>
  </si>
  <si>
    <t>https://prod.odysiacruise.com/cruise-lines/msc-cruises/msc-world-europa/cruises</t>
  </si>
  <si>
    <t>https://prod.odysiacruise.com/cruise-lines/norwegian-cruise-line</t>
  </si>
  <si>
    <t>https://prod.odysiacruise.com/cruise-lines/norwegian-cruise-line/cruises</t>
  </si>
  <si>
    <t>https://prod.odysiacruise.com/cruise-lines/norwegian-cruise-line/norwegian-aqua</t>
  </si>
  <si>
    <t>https://prod.odysiacruise.com/cruise-lines/norwegian-cruise-line/norwegian-aqua/cruises</t>
  </si>
  <si>
    <t>https://prod.odysiacruise.com/cruise-lines/norwegian-cruise-line/norwegian-bliss</t>
  </si>
  <si>
    <t>https://prod.odysiacruise.com/cruise-lines/norwegian-cruise-line/norwegian-bliss/cruises</t>
  </si>
  <si>
    <t>https://prod.odysiacruise.com/cruise-lines/norwegian-cruise-line/norwegian-breakaway</t>
  </si>
  <si>
    <t>https://prod.odysiacruise.com/cruise-lines/norwegian-cruise-line/norwegian-breakaway/cruises</t>
  </si>
  <si>
    <t>https://prod.odysiacruise.com/cruise-lines/norwegian-cruise-line/norwegian-dawn</t>
  </si>
  <si>
    <t>https://prod.odysiacruise.com/cruise-lines/norwegian-cruise-line/norwegian-dawn/cruises</t>
  </si>
  <si>
    <t>https://prod.odysiacruise.com/cruise-lines/norwegian-cruise-line/norwegian-encore</t>
  </si>
  <si>
    <t>https://prod.odysiacruise.com/cruise-lines/norwegian-cruise-line/norwegian-encore/cruises</t>
  </si>
  <si>
    <t>https://prod.odysiacruise.com/cruise-lines/norwegian-cruise-line/norwegian-epic</t>
  </si>
  <si>
    <t>https://prod.odysiacruise.com/cruise-lines/norwegian-cruise-line/norwegian-epic/cruises</t>
  </si>
  <si>
    <t>https://prod.odysiacruise.com/cruise-lines/norwegian-cruise-line/norwegian-escape</t>
  </si>
  <si>
    <t>https://prod.odysiacruise.com/cruise-lines/norwegian-cruise-line/norwegian-escape/cruises</t>
  </si>
  <si>
    <t>https://prod.odysiacruise.com/cruise-lines/norwegian-cruise-line/norwegian-gem</t>
  </si>
  <si>
    <t>https://prod.odysiacruise.com/cruise-lines/norwegian-cruise-line/norwegian-gem/cruises</t>
  </si>
  <si>
    <t>https://prod.odysiacruise.com/cruise-lines/norwegian-cruise-line/norwegian-getaway</t>
  </si>
  <si>
    <t>https://prod.odysiacruise.com/cruise-lines/norwegian-cruise-line/norwegian-getaway/cruises</t>
  </si>
  <si>
    <t>https://prod.odysiacruise.com/cruise-lines/norwegian-cruise-line/norwegian-jade</t>
  </si>
  <si>
    <t>https://prod.odysiacruise.com/cruise-lines/norwegian-cruise-line/norwegian-jade/cruises</t>
  </si>
  <si>
    <t>https://prod.odysiacruise.com/cruise-lines/norwegian-cruise-line/norwegian-jewel</t>
  </si>
  <si>
    <t>https://prod.odysiacruise.com/cruise-lines/norwegian-cruise-line/norwegian-jewel/cruises</t>
  </si>
  <si>
    <t>https://prod.odysiacruise.com/cruise-lines/norwegian-cruise-line/norwegian-joy</t>
  </si>
  <si>
    <t>https://prod.odysiacruise.com/cruise-lines/norwegian-cruise-line/norwegian-joy/cruises</t>
  </si>
  <si>
    <t>https://prod.odysiacruise.com/cruise-lines/norwegian-cruise-line/norwegian-luna</t>
  </si>
  <si>
    <t>https://prod.odysiacruise.com/cruise-lines/norwegian-cruise-line/norwegian-luna/cruises</t>
  </si>
  <si>
    <t>https://prod.odysiacruise.com/cruise-lines/norwegian-cruise-line/norwegian-pearl</t>
  </si>
  <si>
    <t>https://prod.odysiacruise.com/cruise-lines/norwegian-cruise-line/norwegian-pearl/cruises</t>
  </si>
  <si>
    <t>https://prod.odysiacruise.com/cruise-lines/norwegian-cruise-line/norwegian-prima</t>
  </si>
  <si>
    <t>https://prod.odysiacruise.com/cruise-lines/norwegian-cruise-line/norwegian-prima/cruises</t>
  </si>
  <si>
    <t>https://prod.odysiacruise.com/cruise-lines/norwegian-cruise-line/norwegian-sky</t>
  </si>
  <si>
    <t>https://prod.odysiacruise.com/cruise-lines/norwegian-cruise-line/norwegian-sky/cruises</t>
  </si>
  <si>
    <t>https://prod.odysiacruise.com/cruise-lines/norwegian-cruise-line/norwegian-spirit</t>
  </si>
  <si>
    <t>https://prod.odysiacruise.com/cruise-lines/norwegian-cruise-line/norwegian-spirit/cruises</t>
  </si>
  <si>
    <t>https://prod.odysiacruise.com/cruise-lines/norwegian-cruise-line/norwegian-star</t>
  </si>
  <si>
    <t>https://prod.odysiacruise.com/cruise-lines/norwegian-cruise-line/norwegian-star/cruises</t>
  </si>
  <si>
    <t>https://prod.odysiacruise.com/cruise-lines/norwegian-cruise-line/norwegian-sun</t>
  </si>
  <si>
    <t>https://prod.odysiacruise.com/cruise-lines/norwegian-cruise-line/norwegian-sun/cruises</t>
  </si>
  <si>
    <t>https://prod.odysiacruise.com/cruise-lines/norwegian-cruise-line/norwegian-viva</t>
  </si>
  <si>
    <t>https://prod.odysiacruise.com/cruise-lines/norwegian-cruise-line/norwegian-viva/cruises</t>
  </si>
  <si>
    <t>https://prod.odysiacruise.com/cruise-lines/norwegian-cruise-line/pride-of-america</t>
  </si>
  <si>
    <t>https://prod.odysiacruise.com/cruise-lines/norwegian-cruise-line/pride-of-america/cruises</t>
  </si>
  <si>
    <t>https://prod.odysiacruise.com/cruise-lines/oceania-cruises</t>
  </si>
  <si>
    <t>https://prod.odysiacruise.com/cruise-lines/oceania-cruises/cruises</t>
  </si>
  <si>
    <t>https://prod.odysiacruise.com/cruise-lines/oceania-cruises/oceania-allura</t>
  </si>
  <si>
    <t>https://prod.odysiacruise.com/cruise-lines/oceania-cruises/oceania-allura/cruises</t>
  </si>
  <si>
    <t>https://prod.odysiacruise.com/cruise-lines/oceania-cruises/oceania-insignia</t>
  </si>
  <si>
    <t>https://prod.odysiacruise.com/cruise-lines/oceania-cruises/oceania-insignia/cruises</t>
  </si>
  <si>
    <t>https://prod.odysiacruise.com/cruise-lines/oceania-cruises/oceania-marina</t>
  </si>
  <si>
    <t>https://prod.odysiacruise.com/cruise-lines/oceania-cruises/oceania-marina/cruises</t>
  </si>
  <si>
    <t>https://prod.odysiacruise.com/cruise-lines/oceania-cruises/oceania-nautica</t>
  </si>
  <si>
    <t>https://prod.odysiacruise.com/cruise-lines/oceania-cruises/oceania-nautica/cruises</t>
  </si>
  <si>
    <t>https://prod.odysiacruise.com/cruise-lines/oceania-cruises/oceania-regatta</t>
  </si>
  <si>
    <t>https://prod.odysiacruise.com/cruise-lines/oceania-cruises/oceania-regatta/cruises</t>
  </si>
  <si>
    <t>https://prod.odysiacruise.com/cruise-lines/oceania-cruises/oceania-riviera</t>
  </si>
  <si>
    <t>https://prod.odysiacruise.com/cruise-lines/oceania-cruises/oceania-riviera/cruises</t>
  </si>
  <si>
    <t>https://prod.odysiacruise.com/cruise-lines/oceania-cruises/oceania-sirena</t>
  </si>
  <si>
    <t>https://prod.odysiacruise.com/cruise-lines/oceania-cruises/oceania-sirena/cruises</t>
  </si>
  <si>
    <t>https://prod.odysiacruise.com/cruise-lines/oceania-cruises/oceania-vista</t>
  </si>
  <si>
    <t>https://prod.odysiacruise.com/cruise-lines/oceania-cruises/oceania-vista/cruises</t>
  </si>
  <si>
    <t>https://prod.odysiacruise.com/cruise-lines/po-cruises</t>
  </si>
  <si>
    <t>https://prod.odysiacruise.com/cruise-lines/po-cruises/arcadia</t>
  </si>
  <si>
    <t>https://prod.odysiacruise.com/cruise-lines/po-cruises/arcadia/cruises</t>
  </si>
  <si>
    <t>https://prod.odysiacruise.com/cruise-lines/po-cruises/arvia</t>
  </si>
  <si>
    <t>https://prod.odysiacruise.com/cruise-lines/po-cruises/arvia/cruises</t>
  </si>
  <si>
    <t>https://prod.odysiacruise.com/cruise-lines/po-cruises/aurora</t>
  </si>
  <si>
    <t>https://prod.odysiacruise.com/cruise-lines/po-cruises/aurora/cruises</t>
  </si>
  <si>
    <t>https://prod.odysiacruise.com/cruise-lines/po-cruises/azura</t>
  </si>
  <si>
    <t>https://prod.odysiacruise.com/cruise-lines/po-cruises/azura/cruises</t>
  </si>
  <si>
    <t>https://prod.odysiacruise.com/cruise-lines/po-cruises/britannia</t>
  </si>
  <si>
    <t>https://prod.odysiacruise.com/cruise-lines/po-cruises/britannia/cruises</t>
  </si>
  <si>
    <t>https://prod.odysiacruise.com/cruise-lines/po-cruises/cruises</t>
  </si>
  <si>
    <t>https://prod.odysiacruise.com/cruise-lines/po-cruises/iona</t>
  </si>
  <si>
    <t>https://prod.odysiacruise.com/cruise-lines/po-cruises/iona/cruises</t>
  </si>
  <si>
    <t>https://prod.odysiacruise.com/cruise-lines/po-cruises/ventura</t>
  </si>
  <si>
    <t>https://prod.odysiacruise.com/cruise-lines/po-cruises/ventura/cruises</t>
  </si>
  <si>
    <t>https://prod.odysiacruise.com/cruise-lines/princess-cruises</t>
  </si>
  <si>
    <t>https://prod.odysiacruise.com/cruise-lines/princess-cruises/caribbean-princess</t>
  </si>
  <si>
    <t>https://prod.odysiacruise.com/cruise-lines/princess-cruises/caribbean-princess/cruises</t>
  </si>
  <si>
    <t>https://prod.odysiacruise.com/cruise-lines/princess-cruises/coral-princess</t>
  </si>
  <si>
    <t>https://prod.odysiacruise.com/cruise-lines/princess-cruises/coral-princess/cruises</t>
  </si>
  <si>
    <t>https://prod.odysiacruise.com/cruise-lines/princess-cruises/crown-princess</t>
  </si>
  <si>
    <t>https://prod.odysiacruise.com/cruise-lines/princess-cruises/crown-princess/cruises</t>
  </si>
  <si>
    <t>https://prod.odysiacruise.com/cruise-lines/princess-cruises/cruises</t>
  </si>
  <si>
    <t>https://prod.odysiacruise.com/cruise-lines/princess-cruises/diamond-princess</t>
  </si>
  <si>
    <t>https://prod.odysiacruise.com/cruise-lines/princess-cruises/diamond-princess/cruises</t>
  </si>
  <si>
    <t>https://prod.odysiacruise.com/cruise-lines/princess-cruises/discovery-princess</t>
  </si>
  <si>
    <t>https://prod.odysiacruise.com/cruise-lines/princess-cruises/discovery-princess/cruises</t>
  </si>
  <si>
    <t>https://prod.odysiacruise.com/cruise-lines/princess-cruises/emerald-princess</t>
  </si>
  <si>
    <t>https://prod.odysiacruise.com/cruise-lines/princess-cruises/emerald-princess/cruises</t>
  </si>
  <si>
    <t>https://prod.odysiacruise.com/cruise-lines/princess-cruises/enchanted-princess</t>
  </si>
  <si>
    <t>https://prod.odysiacruise.com/cruise-lines/princess-cruises/enchanted-princess/cruises</t>
  </si>
  <si>
    <t>https://prod.odysiacruise.com/cruise-lines/princess-cruises/grand-princess</t>
  </si>
  <si>
    <t>https://prod.odysiacruise.com/cruise-lines/princess-cruises/grand-princess/cruises</t>
  </si>
  <si>
    <t>https://prod.odysiacruise.com/cruise-lines/princess-cruises/island-princess</t>
  </si>
  <si>
    <t>https://prod.odysiacruise.com/cruise-lines/princess-cruises/island-princess/cruises</t>
  </si>
  <si>
    <t>https://prod.odysiacruise.com/cruise-lines/princess-cruises/majestic-princess</t>
  </si>
  <si>
    <t>https://prod.odysiacruise.com/cruise-lines/princess-cruises/majestic-princess/cruises</t>
  </si>
  <si>
    <t>https://prod.odysiacruise.com/cruise-lines/princess-cruises/regal-princess</t>
  </si>
  <si>
    <t>https://prod.odysiacruise.com/cruise-lines/princess-cruises/regal-princess/cruises</t>
  </si>
  <si>
    <t>https://prod.odysiacruise.com/cruise-lines/princess-cruises/royal-princess</t>
  </si>
  <si>
    <t>https://prod.odysiacruise.com/cruise-lines/princess-cruises/royal-princess/cruises</t>
  </si>
  <si>
    <t>https://prod.odysiacruise.com/cruise-lines/princess-cruises/ruby-princess</t>
  </si>
  <si>
    <t>https://prod.odysiacruise.com/cruise-lines/princess-cruises/ruby-princess/cruises</t>
  </si>
  <si>
    <t>https://prod.odysiacruise.com/cruise-lines/princess-cruises/sapphire-princess</t>
  </si>
  <si>
    <t>https://prod.odysiacruise.com/cruise-lines/princess-cruises/sapphire-princess/cruises</t>
  </si>
  <si>
    <t>https://prod.odysiacruise.com/cruise-lines/princess-cruises/sky-princess</t>
  </si>
  <si>
    <t>https://prod.odysiacruise.com/cruise-lines/princess-cruises/sky-princess/cruises</t>
  </si>
  <si>
    <t>https://prod.odysiacruise.com/cruise-lines/princess-cruises/star-princess</t>
  </si>
  <si>
    <t>https://prod.odysiacruise.com/cruise-lines/princess-cruises/star-princess/cruises</t>
  </si>
  <si>
    <t>https://prod.odysiacruise.com/cruise-lines/princess-cruises/sun-princess</t>
  </si>
  <si>
    <t>https://prod.odysiacruise.com/cruise-lines/princess-cruises/sun-princess/cruises</t>
  </si>
  <si>
    <t>https://prod.odysiacruise.com/cruise-lines/regent-seven-seas-cruises</t>
  </si>
  <si>
    <t>https://prod.odysiacruise.com/cruise-lines/regent-seven-seas-cruises/cruises</t>
  </si>
  <si>
    <t>https://prod.odysiacruise.com/cruise-lines/regent-seven-seas-cruises/seven-seas-explorer</t>
  </si>
  <si>
    <t>https://prod.odysiacruise.com/cruise-lines/regent-seven-seas-cruises/seven-seas-explorer/cruises</t>
  </si>
  <si>
    <t>https://prod.odysiacruise.com/cruise-lines/regent-seven-seas-cruises/seven-seas-grandeur</t>
  </si>
  <si>
    <t>https://prod.odysiacruise.com/cruise-lines/regent-seven-seas-cruises/seven-seas-grandeur/cruises</t>
  </si>
  <si>
    <t>https://prod.odysiacruise.com/cruise-lines/regent-seven-seas-cruises/seven-seas-mariner</t>
  </si>
  <si>
    <t>https://prod.odysiacruise.com/cruise-lines/regent-seven-seas-cruises/seven-seas-mariner/cruises</t>
  </si>
  <si>
    <t>https://prod.odysiacruise.com/cruise-lines/regent-seven-seas-cruises/seven-seas-navigator</t>
  </si>
  <si>
    <t>https://prod.odysiacruise.com/cruise-lines/regent-seven-seas-cruises/seven-seas-splendor</t>
  </si>
  <si>
    <t>https://prod.odysiacruise.com/cruise-lines/regent-seven-seas-cruises/seven-seas-splendor/cruises</t>
  </si>
  <si>
    <t>https://prod.odysiacruise.com/cruise-lines/regent-seven-seas-cruises/seven-seas-voyager</t>
  </si>
  <si>
    <t>https://prod.odysiacruise.com/cruise-lines/regent-seven-seas-cruises/seven-seas-voyager/cruises</t>
  </si>
  <si>
    <t>https://prod.odysiacruise.com/cruise-lines/royal-caribbean</t>
  </si>
  <si>
    <t>https://prod.odysiacruise.com/cruise-lines/royal-caribbean/adventure-of-the-seas</t>
  </si>
  <si>
    <t>https://prod.odysiacruise.com/cruise-lines/royal-caribbean/adventure-of-the-seas/cruises</t>
  </si>
  <si>
    <t>https://prod.odysiacruise.com/cruise-lines/royal-caribbean/allure-of-the-seas</t>
  </si>
  <si>
    <t>https://prod.odysiacruise.com/cruise-lines/royal-caribbean/allure-of-the-seas/cruises</t>
  </si>
  <si>
    <t>https://prod.odysiacruise.com/cruise-lines/royal-caribbean/anthem-of-the-seas</t>
  </si>
  <si>
    <t>https://prod.odysiacruise.com/cruise-lines/royal-caribbean/anthem-of-the-seas/cruises</t>
  </si>
  <si>
    <t>https://prod.odysiacruise.com/cruise-lines/royal-caribbean/brilliance-of-the-seas</t>
  </si>
  <si>
    <t>https://prod.odysiacruise.com/cruise-lines/royal-caribbean/brilliance-of-the-seas/cruises</t>
  </si>
  <si>
    <t>https://prod.odysiacruise.com/cruise-lines/royal-caribbean/cruises</t>
  </si>
  <si>
    <t>https://prod.odysiacruise.com/cruise-lines/royal-caribbean/enchantment-of-the-seas</t>
  </si>
  <si>
    <t>https://prod.odysiacruise.com/cruise-lines/royal-caribbean/enchantment-of-the-seas/cruises</t>
  </si>
  <si>
    <t>https://prod.odysiacruise.com/cruise-lines/royal-caribbean/explorer-of-the-seas</t>
  </si>
  <si>
    <t>https://prod.odysiacruise.com/cruise-lines/royal-caribbean/explorer-of-the-seas/cruises</t>
  </si>
  <si>
    <t>https://prod.odysiacruise.com/cruise-lines/royal-caribbean/freedom-of-the-seas</t>
  </si>
  <si>
    <t>https://prod.odysiacruise.com/cruise-lines/royal-caribbean/freedom-of-the-seas/cruises</t>
  </si>
  <si>
    <t>https://prod.odysiacruise.com/cruise-lines/royal-caribbean/grandeur-of-the-seas</t>
  </si>
  <si>
    <t>https://prod.odysiacruise.com/cruise-lines/royal-caribbean/grandeur-of-the-seas/cruises</t>
  </si>
  <si>
    <t>https://prod.odysiacruise.com/cruise-lines/royal-caribbean/harmony-of-the-seas</t>
  </si>
  <si>
    <t>https://prod.odysiacruise.com/cruise-lines/royal-caribbean/harmony-of-the-seas/cruises</t>
  </si>
  <si>
    <t>https://prod.odysiacruise.com/cruise-lines/royal-caribbean/icon-of-the-seas</t>
  </si>
  <si>
    <t>https://prod.odysiacruise.com/cruise-lines/royal-caribbean/icon-of-the-seas/cruises</t>
  </si>
  <si>
    <t>https://prod.odysiacruise.com/cruise-lines/royal-caribbean/independence-of-the-seas</t>
  </si>
  <si>
    <t>https://prod.odysiacruise.com/cruise-lines/royal-caribbean/independence-of-the-seas/cruises</t>
  </si>
  <si>
    <t>https://prod.odysiacruise.com/cruise-lines/royal-caribbean/jewel-of-the-seas</t>
  </si>
  <si>
    <t>https://prod.odysiacruise.com/cruise-lines/royal-caribbean/jewel-of-the-seas/cruises</t>
  </si>
  <si>
    <t>https://prod.odysiacruise.com/cruise-lines/royal-caribbean/legend-of-the-seas</t>
  </si>
  <si>
    <t>https://prod.odysiacruise.com/cruise-lines/royal-caribbean/legend-of-the-seas/cruises</t>
  </si>
  <si>
    <t>https://prod.odysiacruise.com/cruise-lines/royal-caribbean/liberty-of-the-seas</t>
  </si>
  <si>
    <t>https://prod.odysiacruise.com/cruise-lines/royal-caribbean/liberty-of-the-seas/cruises</t>
  </si>
  <si>
    <t>https://prod.odysiacruise.com/cruise-lines/royal-caribbean/mariner-of-the-seas</t>
  </si>
  <si>
    <t>https://prod.odysiacruise.com/cruise-lines/royal-caribbean/mariner-of-the-seas/cruises</t>
  </si>
  <si>
    <t>https://prod.odysiacruise.com/cruise-lines/royal-caribbean/navigator-of-the-seas</t>
  </si>
  <si>
    <t>https://prod.odysiacruise.com/cruise-lines/royal-caribbean/navigator-of-the-seas/cruises</t>
  </si>
  <si>
    <t>https://prod.odysiacruise.com/cruise-lines/royal-caribbean/oasis-of-the-seas</t>
  </si>
  <si>
    <t>https://prod.odysiacruise.com/cruise-lines/royal-caribbean/oasis-of-the-seas/cruises</t>
  </si>
  <si>
    <t>https://prod.odysiacruise.com/cruise-lines/royal-caribbean/odyssey-of-the-seas</t>
  </si>
  <si>
    <t>https://prod.odysiacruise.com/cruise-lines/royal-caribbean/odyssey-of-the-seas/cruises</t>
  </si>
  <si>
    <t>https://prod.odysiacruise.com/cruise-lines/royal-caribbean/ovation-of-the-seas</t>
  </si>
  <si>
    <t>https://prod.odysiacruise.com/cruise-lines/royal-caribbean/ovation-of-the-seas/cruises</t>
  </si>
  <si>
    <t>https://prod.odysiacruise.com/cruise-lines/royal-caribbean/quantum-of-the-seas</t>
  </si>
  <si>
    <t>https://prod.odysiacruise.com/cruise-lines/royal-caribbean/quantum-of-the-seas/cruises</t>
  </si>
  <si>
    <t>https://prod.odysiacruise.com/cruise-lines/royal-caribbean/radiance-of-the-seas</t>
  </si>
  <si>
    <t>https://prod.odysiacruise.com/cruise-lines/royal-caribbean/radiance-of-the-seas/cruises</t>
  </si>
  <si>
    <t>https://prod.odysiacruise.com/cruise-lines/royal-caribbean/rhapsody-of-the-seas</t>
  </si>
  <si>
    <t>https://prod.odysiacruise.com/cruise-lines/royal-caribbean/rhapsody-of-the-seas/cruises</t>
  </si>
  <si>
    <t>https://prod.odysiacruise.com/cruise-lines/royal-caribbean/serenade-of-the-seas</t>
  </si>
  <si>
    <t>https://prod.odysiacruise.com/cruise-lines/royal-caribbean/serenade-of-the-seas/cruises</t>
  </si>
  <si>
    <t>https://prod.odysiacruise.com/cruise-lines/royal-caribbean/spectrum-of-the-seas</t>
  </si>
  <si>
    <t>https://prod.odysiacruise.com/cruise-lines/royal-caribbean/spectrum-of-the-seas/cruises</t>
  </si>
  <si>
    <t>https://prod.odysiacruise.com/cruise-lines/royal-caribbean/star-of-the-seas</t>
  </si>
  <si>
    <t>https://prod.odysiacruise.com/cruise-lines/royal-caribbean/star-of-the-seas/cruises</t>
  </si>
  <si>
    <t>https://prod.odysiacruise.com/cruise-lines/royal-caribbean/symphony-of-the-seas</t>
  </si>
  <si>
    <t>https://prod.odysiacruise.com/cruise-lines/royal-caribbean/symphony-of-the-seas/cruises</t>
  </si>
  <si>
    <t>https://prod.odysiacruise.com/cruise-lines/royal-caribbean/utopia-of-the-seas</t>
  </si>
  <si>
    <t>https://prod.odysiacruise.com/cruise-lines/royal-caribbean/utopia-of-the-seas/cruises</t>
  </si>
  <si>
    <t>https://prod.odysiacruise.com/cruise-lines/royal-caribbean/vision-of-the-seas</t>
  </si>
  <si>
    <t>https://prod.odysiacruise.com/cruise-lines/royal-caribbean/vision-of-the-seas/cruises</t>
  </si>
  <si>
    <t>https://prod.odysiacruise.com/cruise-lines/royal-caribbean/voyager-of-the-seas</t>
  </si>
  <si>
    <t>https://prod.odysiacruise.com/cruise-lines/royal-caribbean/wonder-of-the-seas</t>
  </si>
  <si>
    <t>https://prod.odysiacruise.com/cruise-lines/royal-caribbean/wonder-of-the-seas/cruises</t>
  </si>
  <si>
    <t>https://prod.odysiacruise.com/cruise-lines/seabourn</t>
  </si>
  <si>
    <t>https://prod.odysiacruise.com/cruise-lines/seabourn/cruises</t>
  </si>
  <si>
    <t>https://prod.odysiacruise.com/cruise-lines/seabourn/seabourn-encore</t>
  </si>
  <si>
    <t>https://prod.odysiacruise.com/cruise-lines/seabourn/seabourn-encore/cruises</t>
  </si>
  <si>
    <t>https://prod.odysiacruise.com/cruise-lines/seabourn/seabourn-ovation</t>
  </si>
  <si>
    <t>https://prod.odysiacruise.com/cruise-lines/seabourn/seabourn-ovation/cruises</t>
  </si>
  <si>
    <t>https://prod.odysiacruise.com/cruise-lines/seabourn/seabourn-pursuit</t>
  </si>
  <si>
    <t>https://prod.odysiacruise.com/cruise-lines/seabourn/seabourn-pursuit/cruises</t>
  </si>
  <si>
    <t>https://prod.odysiacruise.com/cruise-lines/seabourn/seabourn-quest</t>
  </si>
  <si>
    <t>https://prod.odysiacruise.com/cruise-lines/seabourn/seabourn-quest/cruises</t>
  </si>
  <si>
    <t>https://prod.odysiacruise.com/cruise-lines/seabourn/seabourn-sojourn</t>
  </si>
  <si>
    <t>https://prod.odysiacruise.com/cruise-lines/seabourn/seabourn-sojourn/cruises</t>
  </si>
  <si>
    <t>https://prod.odysiacruise.com/cruise-lines/seabourn/seabourn-venture</t>
  </si>
  <si>
    <t>https://prod.odysiacruise.com/cruise-lines/seabourn/seabourn-venture/cruises</t>
  </si>
  <si>
    <t>https://prod.odysiacruise.com/cruise-lines/virgin-voyages</t>
  </si>
  <si>
    <t>https://prod.odysiacruise.com/cruise-lines/virgin-voyages/brilliant-lady</t>
  </si>
  <si>
    <t>https://prod.odysiacruise.com/cruise-lines/virgin-voyages/brilliant-lady/cruises</t>
  </si>
  <si>
    <t>https://prod.odysiacruise.com/cruise-lines/virgin-voyages/cruises</t>
  </si>
  <si>
    <t>https://prod.odysiacruise.com/cruise-lines/virgin-voyages/resilient-lady</t>
  </si>
  <si>
    <t>https://prod.odysiacruise.com/cruise-lines/virgin-voyages/resilient-lady/cruises</t>
  </si>
  <si>
    <t>https://prod.odysiacruise.com/cruise-lines/virgin-voyages/scarlet-lady</t>
  </si>
  <si>
    <t>https://prod.odysiacruise.com/cruise-lines/virgin-voyages/scarlet-lady/cruises</t>
  </si>
  <si>
    <t>https://prod.odysiacruise.com/cruise-lines/virgin-voyages/valiant-lady</t>
  </si>
  <si>
    <t>https://prod.odysiacruise.com/cruise-lines/virgin-voyages/valiant-lady/cruises</t>
  </si>
  <si>
    <t>https://prod.odysiacruise.com/cruises</t>
  </si>
  <si>
    <t>https://prod.odysiacruise.com/destinations</t>
  </si>
  <si>
    <t>https://prod.odysiacruise.com/destinations/africa</t>
  </si>
  <si>
    <t>https://prod.odysiacruise.com/destinations/africa/cruises</t>
  </si>
  <si>
    <t>https://prod.odysiacruise.com/destinations/australasia</t>
  </si>
  <si>
    <t>https://prod.odysiacruise.com/destinations/australasia/cruises</t>
  </si>
  <si>
    <t>https://prod.odysiacruise.com/destinations/british-isles</t>
  </si>
  <si>
    <t>https://prod.odysiacruise.com/destinations/british-isles/cruises</t>
  </si>
  <si>
    <t>https://prod.odysiacruise.com/destinations/canada</t>
  </si>
  <si>
    <t>https://prod.odysiacruise.com/destinations/canary-islands</t>
  </si>
  <si>
    <t>https://prod.odysiacruise.com/destinations/canary-islands/cruises</t>
  </si>
  <si>
    <t>https://prod.odysiacruise.com/destinations/caribbean</t>
  </si>
  <si>
    <t>https://prod.odysiacruise.com/destinations/caribbean/cruises</t>
  </si>
  <si>
    <t>https://prod.odysiacruise.com/destinations/central-south-america</t>
  </si>
  <si>
    <t>https://prod.odysiacruise.com/destinations/central-south-america/cruises</t>
  </si>
  <si>
    <t>https://prod.odysiacruise.com/destinations/far-east</t>
  </si>
  <si>
    <t>https://prod.odysiacruise.com/destinations/far-east/cruises</t>
  </si>
  <si>
    <t>https://prod.odysiacruise.com/destinations/mediterranean</t>
  </si>
  <si>
    <t>https://prod.odysiacruise.com/destinations/mediterranean/cruises</t>
  </si>
  <si>
    <t>https://prod.odysiacruise.com/destinations/middle-east</t>
  </si>
  <si>
    <t>https://prod.odysiacruise.com/destinations/middle-east/cruises</t>
  </si>
  <si>
    <t>https://prod.odysiacruise.com/destinations/north-america</t>
  </si>
  <si>
    <t>https://prod.odysiacruise.com/destinations/north-america/cruises</t>
  </si>
  <si>
    <t>https://prod.odysiacruise.com/destinations/northern-europe</t>
  </si>
  <si>
    <t>https://prod.odysiacruise.com/destinations/northern-europe/cruises</t>
  </si>
  <si>
    <t>https://prod.odysiacruise.com/destinations/norway-norwegian-fjords</t>
  </si>
  <si>
    <t>https://prod.odysiacruise.com/destinations/norway-norwegian-fjords/cruises</t>
  </si>
  <si>
    <t>https://prod.odysiacruise.com/destinations/pacific-island-cruises</t>
  </si>
  <si>
    <t>https://prod.odysiacruise.com/destinations/polar-regions</t>
  </si>
  <si>
    <t>https://prod.odysiacruise.com/destinations/polar-regions/cruises</t>
  </si>
  <si>
    <t>https://prod.odysiacruise.com/destinations/scandinavia-baltic</t>
  </si>
  <si>
    <t>https://prod.odysiacruise.com/destinations/transatlantic</t>
  </si>
  <si>
    <t>https://prod.odysiacruise.com/destinations/transatlantic/cruises</t>
  </si>
  <si>
    <t>https://prod.odysiacruise.com/destinations/world</t>
  </si>
  <si>
    <t>https://prod.odysiacruise.com/destinations/world/cruises</t>
  </si>
  <si>
    <t>/cruise-lines/virgin-voyages/resilient-lady</t>
  </si>
  <si>
    <t>/cruises</t>
  </si>
  <si>
    <t>/cruise-lines/virgin-voyages/scarlet-lady</t>
  </si>
  <si>
    <t>/cruise-lines/virgin-voyages/valiant-lady</t>
  </si>
  <si>
    <t>/cruise-lines/virgin-voyages/brilliant-lady</t>
  </si>
  <si>
    <t>/cruise-lines/seabourn/seabourn-sojourn</t>
  </si>
  <si>
    <t>/cruise-lines/seabourn/seabourn-venture</t>
  </si>
  <si>
    <t>/cruise-lines/royal-caribbean/freedom-of-the-seas</t>
  </si>
  <si>
    <t>/cruise-lines/royal-caribbean/grandeur-of-the-seas</t>
  </si>
  <si>
    <t>/cruise-lines/royal-caribbean/harmony-of-the-seas</t>
  </si>
  <si>
    <t>/cruise-lines/royal-caribbean/icon-of-the-seas</t>
  </si>
  <si>
    <t>/cruise-lines/royal-caribbean/independence-of-the-seas</t>
  </si>
  <si>
    <t>/cruise-lines/royal-caribbean/jewel-of-the-seas</t>
  </si>
  <si>
    <t>/cruise-lines/royal-caribbean/legend-of-the-seas</t>
  </si>
  <si>
    <t>/cruise-lines/royal-caribbean/liberty-of-the-seas</t>
  </si>
  <si>
    <t>/cruise-lines/royal-caribbean/mariner-of-the-seas</t>
  </si>
  <si>
    <t>/cruise-lines/royal-caribbean/navigator-of-the-seas</t>
  </si>
  <si>
    <t>/cruise-lines/royal-caribbean/oasis-of-the-seas</t>
  </si>
  <si>
    <t>/cruise-lines/royal-caribbean/odyssey-of-the-seas</t>
  </si>
  <si>
    <t>/cruise-lines/royal-caribbean/ovation-of-the-seas</t>
  </si>
  <si>
    <t>/cruise-lines/royal-caribbean/quantum-of-the-seas</t>
  </si>
  <si>
    <t>/cruise-lines/royal-caribbean/radiance-of-the-seas</t>
  </si>
  <si>
    <t>/cruise-lines/royal-caribbean/rhapsody-of-the-seas</t>
  </si>
  <si>
    <t>/cruise-lines/royal-caribbean/serenade-of-the-seas</t>
  </si>
  <si>
    <t>/cruise-lines/royal-caribbean/spectrum-of-the-seas</t>
  </si>
  <si>
    <t>/cruise-lines/royal-caribbean/star-of-the-seas</t>
  </si>
  <si>
    <t>/cruise-lines/royal-caribbean/symphony-of-the-seas</t>
  </si>
  <si>
    <t>/cruise-lines/royal-caribbean/utopia-of-the-seas</t>
  </si>
  <si>
    <t>/cruise-lines/royal-caribbean/vision-of-the-seas</t>
  </si>
  <si>
    <t>/cruise-lines/royal-caribbean/voyager-of-the-seas</t>
  </si>
  <si>
    <t>/cruise-lines/royal-caribbean/wonder-of-the-seas</t>
  </si>
  <si>
    <t>Resilient Lady</t>
  </si>
  <si>
    <t xml:space="preserve"> Cruises</t>
  </si>
  <si>
    <t>Scarlet Lady</t>
  </si>
  <si>
    <t>Valiant Lady</t>
  </si>
  <si>
    <t>Brilliant Lady</t>
  </si>
  <si>
    <t>Seabourn Sojourn</t>
  </si>
  <si>
    <t>Seabourn Venture</t>
  </si>
  <si>
    <t>Freedom Of The Seas</t>
  </si>
  <si>
    <t>Grandeur Of The Seas</t>
  </si>
  <si>
    <t>Harmony Of The Seas</t>
  </si>
  <si>
    <t>Icon Of The Seas</t>
  </si>
  <si>
    <t>Independence Of The Seas</t>
  </si>
  <si>
    <t>Jewel Of The Seas</t>
  </si>
  <si>
    <t>Legend Of The Seas</t>
  </si>
  <si>
    <t>Liberty Of The Seas</t>
  </si>
  <si>
    <t>Mariner Of The Seas</t>
  </si>
  <si>
    <t>Navigator Of The Seas</t>
  </si>
  <si>
    <t>Oasis Of The Seas</t>
  </si>
  <si>
    <t>Odyssey Of The Seas</t>
  </si>
  <si>
    <t>Ovation Of The Seas</t>
  </si>
  <si>
    <t>Quantum Of The Seas</t>
  </si>
  <si>
    <t>Radiance Of The Seas</t>
  </si>
  <si>
    <t>Rhapsody Of The Seas</t>
  </si>
  <si>
    <t>Serenade Of The Seas</t>
  </si>
  <si>
    <t>Spectrum Of The Seas</t>
  </si>
  <si>
    <t>Star Of The Seas</t>
  </si>
  <si>
    <t>Symphony Of The Seas</t>
  </si>
  <si>
    <t>Utopia Of The Seas</t>
  </si>
  <si>
    <t>Vision Of The Seas</t>
  </si>
  <si>
    <t>Voyager Of The Seas</t>
  </si>
  <si>
    <t>Wonder Of The Seas</t>
  </si>
  <si>
    <t>Cruise Lines</t>
  </si>
  <si>
    <t>resilient-lady</t>
  </si>
  <si>
    <t>scarlet-lady</t>
  </si>
  <si>
    <t>valiant-lady</t>
  </si>
  <si>
    <t>brilliant-lady</t>
  </si>
  <si>
    <t>ovation-of-the-seas</t>
  </si>
  <si>
    <t>quantum-of-the-seas</t>
  </si>
  <si>
    <t>radiance-of-the-seas</t>
  </si>
  <si>
    <t>rhapsody-of-the-seas</t>
  </si>
  <si>
    <t>serenade-of-the-seas</t>
  </si>
  <si>
    <t>spectrum-of-the-seas</t>
  </si>
  <si>
    <t>star-of-the-seas</t>
  </si>
  <si>
    <t>symphony-of-the-seas</t>
  </si>
  <si>
    <t>utopia-of-the-seas</t>
  </si>
  <si>
    <t>vision-of-the-seas</t>
  </si>
  <si>
    <t>voyager-of-the-seas</t>
  </si>
  <si>
    <t>wonder-of-the-seas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</si>
</sst>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color theme="1"/>
      <name val="DM Sans"/>
    </font>
    <font>
      <b/>
      <sz val="11.0"/>
      <color rgb="FFFFFFFF"/>
      <name val="DM Sans"/>
    </font>
    <font>
      <b/>
      <color rgb="FFFFFFFF"/>
      <name val="DM Sans"/>
    </font>
    <font>
      <b/>
      <color theme="1"/>
      <name val="DM Sans"/>
    </font>
    <font>
      <b/>
      <color rgb="FF000000"/>
      <name val="DM Sans"/>
    </font>
    <font/>
    <font>
      <color theme="1"/>
      <name val="Arial"/>
    </font>
    <font>
      <b/>
      <sz val="11.0"/>
      <color rgb="FFFFFFFF"/>
      <name val="&quot;DM Sans&quot;"/>
    </font>
    <font>
      <color rgb="FFFFFFFF"/>
      <name val="Arial"/>
    </font>
    <font>
      <u/>
      <color rgb="FF0000FF"/>
      <name val="DM Sans"/>
    </font>
    <font>
      <color rgb="FF000000"/>
      <name val="DM Sans"/>
    </font>
    <font>
      <u/>
      <color rgb="FF1155CC"/>
      <name val="DM Sans"/>
    </font>
    <font>
      <u/>
      <color rgb="FF1155CC"/>
      <name val="DM Sans"/>
    </font>
    <font>
      <color rgb="FF000000"/>
      <name val="Arial"/>
    </font>
    <font>
      <color theme="1"/>
      <name val="Arial"/>
      <scheme val="minor"/>
    </font>
    <font>
      <color rgb="FF000000"/>
      <name val="Monospace"/>
    </font>
    <font>
      <u/>
      <color rgb="FF0000FF"/>
    </font>
    <font>
      <u/>
      <color rgb="FF0000FF"/>
    </font>
    <font>
      <b/>
      <color theme="1"/>
      <name val="Arial"/>
      <scheme val="minor"/>
    </font>
    <font>
      <u/>
      <color rgb="FF0000FF"/>
    </font>
    <font>
      <u/>
      <color rgb="FF0000FF"/>
    </font>
  </fonts>
  <fills count="10">
    <fill>
      <patternFill patternType="none"/>
    </fill>
    <fill>
      <patternFill patternType="lightGray"/>
    </fill>
    <fill>
      <patternFill patternType="solid">
        <fgColor rgb="FFFCF7F0"/>
        <bgColor rgb="FFFCF7F0"/>
      </patternFill>
    </fill>
    <fill>
      <patternFill patternType="solid">
        <fgColor rgb="FF2F3D4D"/>
        <bgColor rgb="FF2F3D4D"/>
      </patternFill>
    </fill>
    <fill>
      <patternFill patternType="solid">
        <fgColor rgb="FFC5864A"/>
        <bgColor rgb="FFC5864A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3F3F3"/>
        <bgColor rgb="FFF3F3F3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</fills>
  <borders count="23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left style="thick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ck">
        <color rgb="FFFFFFFF"/>
      </bottom>
    </border>
    <border>
      <top style="thick">
        <color rgb="FF000000"/>
      </top>
      <bottom style="thick">
        <color rgb="FFFFFFFF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ck">
        <color rgb="FF000000"/>
      </top>
      <bottom style="thick">
        <color rgb="FFFFFFFF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</border>
  </borders>
  <cellStyleXfs count="1">
    <xf borderId="0" fillId="0" fontId="0" numFmtId="0" applyAlignment="1" applyFont="1"/>
  </cellStyleXfs>
  <cellXfs count="19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1" fillId="3" fontId="1" numFmtId="0" xfId="0" applyAlignment="1" applyBorder="1" applyFill="1" applyFont="1">
      <alignment vertical="bottom"/>
    </xf>
    <xf borderId="2" fillId="3" fontId="1" numFmtId="0" xfId="0" applyAlignment="1" applyBorder="1" applyFont="1">
      <alignment vertical="bottom"/>
    </xf>
    <xf borderId="0" fillId="3" fontId="1" numFmtId="0" xfId="0" applyAlignment="1" applyFont="1">
      <alignment vertical="bottom"/>
    </xf>
    <xf borderId="0" fillId="2" fontId="2" numFmtId="0" xfId="0" applyAlignment="1" applyFont="1">
      <alignment horizontal="center" readingOrder="0"/>
    </xf>
    <xf borderId="3" fillId="4" fontId="2" numFmtId="0" xfId="0" applyAlignment="1" applyBorder="1" applyFill="1" applyFont="1">
      <alignment horizontal="center" readingOrder="0"/>
    </xf>
    <xf borderId="0" fillId="4" fontId="2" numFmtId="0" xfId="0" applyAlignment="1" applyFont="1">
      <alignment horizontal="center" readingOrder="0"/>
    </xf>
    <xf borderId="0" fillId="2" fontId="3" numFmtId="0" xfId="0" applyAlignment="1" applyFont="1">
      <alignment horizontal="center" readingOrder="0" shrinkToFit="0" wrapText="1"/>
    </xf>
    <xf borderId="3" fillId="3" fontId="3" numFmtId="0" xfId="0" applyAlignment="1" applyBorder="1" applyFont="1">
      <alignment horizontal="center" readingOrder="0" shrinkToFit="0" vertical="center" wrapText="1"/>
    </xf>
    <xf borderId="0" fillId="3" fontId="3" numFmtId="0" xfId="0" applyAlignment="1" applyFont="1">
      <alignment horizontal="center" readingOrder="0" shrinkToFit="0" vertical="center" wrapText="1"/>
    </xf>
    <xf borderId="0" fillId="2" fontId="1" numFmtId="0" xfId="0" applyAlignment="1" applyFont="1">
      <alignment horizontal="center" readingOrder="0" vertical="bottom"/>
    </xf>
    <xf borderId="4" fillId="2" fontId="4" numFmtId="0" xfId="0" applyAlignment="1" applyBorder="1" applyFont="1">
      <alignment horizontal="center" readingOrder="0" vertical="bottom"/>
    </xf>
    <xf borderId="4" fillId="2" fontId="5" numFmtId="0" xfId="0" applyAlignment="1" applyBorder="1" applyFont="1">
      <alignment horizontal="center" readingOrder="0"/>
    </xf>
    <xf borderId="4" fillId="2" fontId="4" numFmtId="0" xfId="0" applyAlignment="1" applyBorder="1" applyFont="1">
      <alignment horizontal="center" vertical="bottom"/>
    </xf>
    <xf borderId="5" fillId="2" fontId="4" numFmtId="0" xfId="0" applyAlignment="1" applyBorder="1" applyFont="1">
      <alignment horizontal="center" readingOrder="0" vertical="bottom"/>
    </xf>
    <xf borderId="5" fillId="5" fontId="4" numFmtId="0" xfId="0" applyAlignment="1" applyBorder="1" applyFill="1" applyFont="1">
      <alignment horizontal="center" readingOrder="0" vertical="bottom"/>
    </xf>
    <xf borderId="0" fillId="2" fontId="1" numFmtId="0" xfId="0" applyAlignment="1" applyFont="1">
      <alignment horizontal="center" readingOrder="0" vertical="center"/>
    </xf>
    <xf borderId="4" fillId="2" fontId="1" numFmtId="0" xfId="0" applyAlignment="1" applyBorder="1" applyFont="1">
      <alignment horizontal="center" readingOrder="0" vertical="center"/>
    </xf>
    <xf borderId="6" fillId="2" fontId="1" numFmtId="0" xfId="0" applyAlignment="1" applyBorder="1" applyFont="1">
      <alignment horizontal="center" readingOrder="0" vertical="center"/>
    </xf>
    <xf borderId="7" fillId="2" fontId="1" numFmtId="0" xfId="0" applyAlignment="1" applyBorder="1" applyFont="1">
      <alignment horizontal="center" readingOrder="0" vertical="center"/>
    </xf>
    <xf borderId="4" fillId="2" fontId="1" numFmtId="3" xfId="0" applyAlignment="1" applyBorder="1" applyFont="1" applyNumberFormat="1">
      <alignment horizontal="center"/>
    </xf>
    <xf borderId="7" fillId="2" fontId="1" numFmtId="0" xfId="0" applyAlignment="1" applyBorder="1" applyFont="1">
      <alignment horizontal="center" readingOrder="0" shrinkToFit="0" vertical="center" wrapText="0"/>
    </xf>
    <xf borderId="4" fillId="2" fontId="1" numFmtId="0" xfId="0" applyAlignment="1" applyBorder="1" applyFont="1">
      <alignment horizontal="center" readingOrder="0" shrinkToFit="0" vertical="center" wrapText="0"/>
    </xf>
    <xf borderId="8" fillId="5" fontId="1" numFmtId="0" xfId="0" applyAlignment="1" applyBorder="1" applyFont="1">
      <alignment horizontal="center" readingOrder="0" vertical="bottom"/>
    </xf>
    <xf borderId="4" fillId="5" fontId="1" numFmtId="0" xfId="0" applyAlignment="1" applyBorder="1" applyFont="1">
      <alignment horizontal="center" readingOrder="0" vertical="center"/>
    </xf>
    <xf borderId="9" fillId="2" fontId="1" numFmtId="0" xfId="0" applyAlignment="1" applyBorder="1" applyFont="1">
      <alignment horizontal="center" vertical="center"/>
    </xf>
    <xf borderId="9" fillId="2" fontId="1" numFmtId="0" xfId="0" applyAlignment="1" applyBorder="1" applyFont="1">
      <alignment horizontal="center" readingOrder="0" vertical="center"/>
    </xf>
    <xf borderId="8" fillId="2" fontId="1" numFmtId="0" xfId="0" applyAlignment="1" applyBorder="1" applyFont="1">
      <alignment horizontal="center" readingOrder="0" vertical="center"/>
    </xf>
    <xf borderId="10" fillId="2" fontId="1" numFmtId="0" xfId="0" applyAlignment="1" applyBorder="1" applyFont="1">
      <alignment horizontal="center" readingOrder="0"/>
    </xf>
    <xf borderId="10" fillId="2" fontId="1" numFmtId="0" xfId="0" applyAlignment="1" applyBorder="1" applyFont="1">
      <alignment horizontal="center" readingOrder="0" vertical="center"/>
    </xf>
    <xf borderId="8" fillId="2" fontId="1" numFmtId="0" xfId="0" applyAlignment="1" applyBorder="1" applyFont="1">
      <alignment horizontal="center"/>
    </xf>
    <xf borderId="10" fillId="2" fontId="1" numFmtId="0" xfId="0" applyAlignment="1" applyBorder="1" applyFont="1">
      <alignment horizontal="center" readingOrder="0" shrinkToFit="0" vertical="center" wrapText="0"/>
    </xf>
    <xf borderId="8" fillId="2" fontId="1" numFmtId="0" xfId="0" applyAlignment="1" applyBorder="1" applyFont="1">
      <alignment horizontal="center" readingOrder="0" shrinkToFit="0" vertical="center" wrapText="0"/>
    </xf>
    <xf borderId="0" fillId="2" fontId="1" numFmtId="0" xfId="0" applyAlignment="1" applyFont="1">
      <alignment horizontal="center" readingOrder="0"/>
    </xf>
    <xf borderId="11" fillId="2" fontId="1" numFmtId="0" xfId="0" applyAlignment="1" applyBorder="1" applyFont="1">
      <alignment horizontal="center" readingOrder="0" vertical="center"/>
    </xf>
    <xf borderId="8" fillId="5" fontId="1" numFmtId="0" xfId="0" applyAlignment="1" applyBorder="1" applyFont="1">
      <alignment horizontal="center" vertical="bottom"/>
    </xf>
    <xf borderId="12" fillId="2" fontId="1" numFmtId="0" xfId="0" applyAlignment="1" applyBorder="1" applyFont="1">
      <alignment horizontal="center" readingOrder="0"/>
    </xf>
    <xf borderId="8" fillId="2" fontId="1" numFmtId="0" xfId="0" applyAlignment="1" applyBorder="1" applyFont="1">
      <alignment horizontal="center" readingOrder="0"/>
    </xf>
    <xf borderId="11" fillId="2" fontId="1" numFmtId="0" xfId="0" applyAlignment="1" applyBorder="1" applyFont="1">
      <alignment horizontal="center" vertical="center"/>
    </xf>
    <xf borderId="8" fillId="6" fontId="1" numFmtId="0" xfId="0" applyAlignment="1" applyBorder="1" applyFill="1" applyFont="1">
      <alignment horizontal="center" readingOrder="0"/>
    </xf>
    <xf borderId="13" fillId="5" fontId="1" numFmtId="0" xfId="0" applyAlignment="1" applyBorder="1" applyFont="1">
      <alignment horizontal="center" vertical="bottom"/>
    </xf>
    <xf borderId="10" fillId="6" fontId="1" numFmtId="0" xfId="0" applyAlignment="1" applyBorder="1" applyFont="1">
      <alignment horizontal="center" readingOrder="0" vertical="center"/>
    </xf>
    <xf borderId="13" fillId="2" fontId="1" numFmtId="0" xfId="0" applyAlignment="1" applyBorder="1" applyFont="1">
      <alignment horizontal="center" readingOrder="0" vertical="center"/>
    </xf>
    <xf borderId="12" fillId="2" fontId="1" numFmtId="0" xfId="0" applyAlignment="1" applyBorder="1" applyFont="1">
      <alignment horizontal="center" readingOrder="0" vertical="center"/>
    </xf>
    <xf borderId="0" fillId="2" fontId="1" numFmtId="0" xfId="0" applyAlignment="1" applyFont="1">
      <alignment horizontal="center" readingOrder="0" shrinkToFit="0" vertical="center" wrapText="0"/>
    </xf>
    <xf borderId="14" fillId="2" fontId="1" numFmtId="0" xfId="0" applyAlignment="1" applyBorder="1" applyFont="1">
      <alignment horizontal="center" readingOrder="0"/>
    </xf>
    <xf borderId="8" fillId="2" fontId="1" numFmtId="0" xfId="0" applyAlignment="1" applyBorder="1" applyFont="1">
      <alignment horizontal="center" vertical="center"/>
    </xf>
    <xf borderId="13" fillId="2" fontId="1" numFmtId="0" xfId="0" applyAlignment="1" applyBorder="1" applyFont="1">
      <alignment horizontal="center" readingOrder="0"/>
    </xf>
    <xf borderId="13" fillId="2" fontId="1" numFmtId="0" xfId="0" applyAlignment="1" applyBorder="1" applyFont="1">
      <alignment horizontal="center" vertical="bottom"/>
    </xf>
    <xf borderId="0" fillId="2" fontId="1" numFmtId="3" xfId="0" applyAlignment="1" applyFont="1" applyNumberFormat="1">
      <alignment horizontal="center" readingOrder="0"/>
    </xf>
    <xf borderId="13" fillId="2" fontId="1" numFmtId="0" xfId="0" applyAlignment="1" applyBorder="1" applyFont="1">
      <alignment horizontal="center" readingOrder="0" shrinkToFit="0" vertical="center" wrapText="0"/>
    </xf>
    <xf borderId="0" fillId="2" fontId="4" numFmtId="0" xfId="0" applyAlignment="1" applyFont="1">
      <alignment horizontal="center" readingOrder="0"/>
    </xf>
    <xf borderId="0" fillId="2" fontId="1" numFmtId="0" xfId="0" applyAlignment="1" applyFont="1">
      <alignment horizontal="center" readingOrder="0" shrinkToFit="0" wrapText="1"/>
    </xf>
    <xf borderId="15" fillId="4" fontId="2" numFmtId="0" xfId="0" applyAlignment="1" applyBorder="1" applyFont="1">
      <alignment horizontal="center" vertical="bottom"/>
    </xf>
    <xf borderId="16" fillId="0" fontId="6" numFmtId="0" xfId="0" applyBorder="1" applyFont="1"/>
    <xf borderId="0" fillId="2" fontId="1" numFmtId="0" xfId="0" applyAlignment="1" applyFont="1">
      <alignment horizontal="center"/>
    </xf>
    <xf borderId="5" fillId="2" fontId="1" numFmtId="0" xfId="0" applyAlignment="1" applyBorder="1" applyFont="1">
      <alignment horizontal="center" vertical="bottom"/>
    </xf>
    <xf borderId="4" fillId="2" fontId="1" numFmtId="0" xfId="0" applyAlignment="1" applyBorder="1" applyFont="1">
      <alignment horizontal="center" vertical="bottom"/>
    </xf>
    <xf borderId="0" fillId="2" fontId="1" numFmtId="0" xfId="0" applyAlignment="1" applyFont="1">
      <alignment horizontal="center"/>
    </xf>
    <xf borderId="8" fillId="2" fontId="1" numFmtId="0" xfId="0" applyAlignment="1" applyBorder="1" applyFont="1">
      <alignment horizontal="center" vertical="bottom"/>
    </xf>
    <xf borderId="0" fillId="2" fontId="7" numFmtId="0" xfId="0" applyAlignment="1" applyFont="1">
      <alignment vertical="bottom"/>
    </xf>
    <xf borderId="8" fillId="2" fontId="1" numFmtId="0" xfId="0" applyAlignment="1" applyBorder="1" applyFont="1">
      <alignment horizontal="center" vertical="bottom"/>
    </xf>
    <xf borderId="13" fillId="2" fontId="1" numFmtId="0" xfId="0" applyAlignment="1" applyBorder="1" applyFont="1">
      <alignment horizontal="center" vertical="bottom"/>
    </xf>
    <xf borderId="0" fillId="2" fontId="7" numFmtId="0" xfId="0" applyFont="1"/>
    <xf borderId="17" fillId="3" fontId="7" numFmtId="0" xfId="0" applyAlignment="1" applyBorder="1" applyFont="1">
      <alignment vertical="bottom"/>
    </xf>
    <xf borderId="18" fillId="0" fontId="6" numFmtId="0" xfId="0" applyBorder="1" applyFont="1"/>
    <xf borderId="18" fillId="3" fontId="7" numFmtId="0" xfId="0" applyBorder="1" applyFont="1"/>
    <xf borderId="10" fillId="4" fontId="8" numFmtId="0" xfId="0" applyAlignment="1" applyBorder="1" applyFont="1">
      <alignment horizontal="center" readingOrder="0"/>
    </xf>
    <xf borderId="10" fillId="3" fontId="3" numFmtId="0" xfId="0" applyAlignment="1" applyBorder="1" applyFont="1">
      <alignment horizontal="center" readingOrder="0" shrinkToFit="0" vertical="center" wrapText="1"/>
    </xf>
    <xf borderId="9" fillId="0" fontId="6" numFmtId="0" xfId="0" applyBorder="1" applyFont="1"/>
    <xf borderId="10" fillId="7" fontId="4" numFmtId="0" xfId="0" applyAlignment="1" applyBorder="1" applyFill="1" applyFont="1">
      <alignment horizontal="center" shrinkToFit="0" vertical="center" wrapText="1"/>
    </xf>
    <xf borderId="0" fillId="7" fontId="4" numFmtId="0" xfId="0" applyAlignment="1" applyFont="1">
      <alignment horizontal="center" readingOrder="0" shrinkToFit="0" vertical="center" wrapText="1"/>
    </xf>
    <xf borderId="0" fillId="7" fontId="4" numFmtId="0" xfId="0" applyAlignment="1" applyFont="1">
      <alignment horizontal="center" shrinkToFit="0" vertical="center" wrapText="1"/>
    </xf>
    <xf borderId="9" fillId="7" fontId="4" numFmtId="0" xfId="0" applyAlignment="1" applyBorder="1" applyFont="1">
      <alignment horizontal="center" shrinkToFit="0" vertical="center" wrapText="1"/>
    </xf>
    <xf borderId="6" fillId="2" fontId="1" numFmtId="0" xfId="0" applyAlignment="1" applyBorder="1" applyFont="1">
      <alignment horizontal="center" readingOrder="0" shrinkToFit="0" vertical="center" wrapText="0"/>
    </xf>
    <xf borderId="19" fillId="2" fontId="1" numFmtId="0" xfId="0" applyAlignment="1" applyBorder="1" applyFont="1">
      <alignment horizontal="center" readingOrder="0" vertical="center"/>
    </xf>
    <xf borderId="0" fillId="2" fontId="1" numFmtId="0" xfId="0" applyAlignment="1" applyFont="1">
      <alignment horizontal="center" vertical="center"/>
    </xf>
    <xf borderId="9" fillId="2" fontId="1" numFmtId="0" xfId="0" applyAlignment="1" applyBorder="1" applyFont="1">
      <alignment horizontal="center" vertical="center"/>
    </xf>
    <xf borderId="14" fillId="2" fontId="1" numFmtId="0" xfId="0" applyAlignment="1" applyBorder="1" applyFont="1">
      <alignment horizontal="center"/>
    </xf>
    <xf borderId="12" fillId="2" fontId="1" numFmtId="0" xfId="0" applyAlignment="1" applyBorder="1" applyFont="1">
      <alignment horizontal="center"/>
    </xf>
    <xf borderId="11" fillId="2" fontId="1" numFmtId="0" xfId="0" applyAlignment="1" applyBorder="1" applyFont="1">
      <alignment horizontal="center"/>
    </xf>
    <xf borderId="0" fillId="2" fontId="1" numFmtId="0" xfId="0" applyAlignment="1" applyFont="1">
      <alignment horizontal="center" readingOrder="0" shrinkToFit="0" vertical="center" wrapText="1"/>
    </xf>
    <xf borderId="0" fillId="2" fontId="7" numFmtId="0" xfId="0" applyFont="1"/>
    <xf borderId="18" fillId="3" fontId="9" numFmtId="0" xfId="0" applyAlignment="1" applyBorder="1" applyFont="1">
      <alignment readingOrder="0"/>
    </xf>
    <xf borderId="20" fillId="0" fontId="6" numFmtId="0" xfId="0" applyBorder="1" applyFont="1"/>
    <xf borderId="6" fillId="2" fontId="1" numFmtId="0" xfId="0" applyAlignment="1" applyBorder="1" applyFont="1">
      <alignment horizontal="center" readingOrder="0" vertical="center"/>
    </xf>
    <xf borderId="19" fillId="2" fontId="1" numFmtId="3" xfId="0" applyAlignment="1" applyBorder="1" applyFont="1" applyNumberFormat="1">
      <alignment horizontal="center" readingOrder="0" vertical="center"/>
    </xf>
    <xf borderId="10" fillId="0" fontId="6" numFmtId="0" xfId="0" applyBorder="1" applyFont="1"/>
    <xf borderId="9" fillId="2" fontId="1" numFmtId="3" xfId="0" applyAlignment="1" applyBorder="1" applyFont="1" applyNumberFormat="1">
      <alignment horizontal="center" readingOrder="0" vertical="center"/>
    </xf>
    <xf borderId="14" fillId="0" fontId="6" numFmtId="0" xfId="0" applyBorder="1" applyFont="1"/>
    <xf borderId="12" fillId="0" fontId="6" numFmtId="0" xfId="0" applyBorder="1" applyFont="1"/>
    <xf borderId="11" fillId="0" fontId="6" numFmtId="0" xfId="0" applyBorder="1" applyFont="1"/>
    <xf borderId="0" fillId="2" fontId="1" numFmtId="3" xfId="0" applyAlignment="1" applyFont="1" applyNumberFormat="1">
      <alignment horizontal="center" readingOrder="0" vertical="center"/>
    </xf>
    <xf borderId="14" fillId="2" fontId="1" numFmtId="0" xfId="0" applyAlignment="1" applyBorder="1" applyFont="1">
      <alignment horizontal="center" readingOrder="0" vertical="center"/>
    </xf>
    <xf borderId="15" fillId="2" fontId="1" numFmtId="0" xfId="0" applyAlignment="1" applyBorder="1" applyFont="1">
      <alignment horizontal="center" readingOrder="0" vertical="center"/>
    </xf>
    <xf borderId="21" fillId="2" fontId="1" numFmtId="0" xfId="0" applyAlignment="1" applyBorder="1" applyFont="1">
      <alignment horizontal="center" readingOrder="0" vertical="center"/>
    </xf>
    <xf borderId="16" fillId="2" fontId="1" numFmtId="0" xfId="0" applyAlignment="1" applyBorder="1" applyFont="1">
      <alignment horizontal="center" readingOrder="0" vertical="center"/>
    </xf>
    <xf borderId="0" fillId="2" fontId="1" numFmtId="0" xfId="0" applyAlignment="1" applyFont="1">
      <alignment horizontal="center" readingOrder="0" shrinkToFit="0" wrapText="1"/>
    </xf>
    <xf borderId="0" fillId="2" fontId="10" numFmtId="0" xfId="0" applyAlignment="1" applyFont="1">
      <alignment horizontal="center" readingOrder="0" shrinkToFit="0" wrapText="1"/>
    </xf>
    <xf borderId="10" fillId="2" fontId="4" numFmtId="0" xfId="0" applyAlignment="1" applyBorder="1" applyFont="1">
      <alignment horizontal="center" shrinkToFit="0" vertical="center" wrapText="1"/>
    </xf>
    <xf borderId="0" fillId="2" fontId="4" numFmtId="0" xfId="0" applyAlignment="1" applyFont="1">
      <alignment horizontal="center" readingOrder="0" shrinkToFit="0" vertical="center" wrapText="1"/>
    </xf>
    <xf borderId="0" fillId="2" fontId="4" numFmtId="0" xfId="0" applyAlignment="1" applyFont="1">
      <alignment horizontal="center" shrinkToFit="0" vertical="center" wrapText="1"/>
    </xf>
    <xf borderId="9" fillId="2" fontId="4" numFmtId="0" xfId="0" applyAlignment="1" applyBorder="1" applyFont="1">
      <alignment horizontal="center" shrinkToFit="0" vertical="center" wrapText="1"/>
    </xf>
    <xf borderId="14" fillId="7" fontId="4" numFmtId="0" xfId="0" applyAlignment="1" applyBorder="1" applyFont="1">
      <alignment horizontal="center" shrinkToFit="0" vertical="center" wrapText="1"/>
    </xf>
    <xf borderId="12" fillId="7" fontId="4" numFmtId="0" xfId="0" applyAlignment="1" applyBorder="1" applyFont="1">
      <alignment horizontal="center" readingOrder="0" shrinkToFit="0" vertical="center" wrapText="1"/>
    </xf>
    <xf borderId="12" fillId="7" fontId="4" numFmtId="0" xfId="0" applyAlignment="1" applyBorder="1" applyFont="1">
      <alignment horizontal="center" shrinkToFit="0" vertical="center" wrapText="1"/>
    </xf>
    <xf borderId="11" fillId="7" fontId="4" numFmtId="0" xfId="0" applyAlignment="1" applyBorder="1" applyFont="1">
      <alignment horizontal="center" shrinkToFit="0" vertical="center" wrapText="1"/>
    </xf>
    <xf borderId="6" fillId="0" fontId="6" numFmtId="0" xfId="0" applyBorder="1" applyFont="1"/>
    <xf borderId="19" fillId="0" fontId="6" numFmtId="0" xfId="0" applyBorder="1" applyFont="1"/>
    <xf borderId="6" fillId="2" fontId="1" numFmtId="0" xfId="0" applyAlignment="1" applyBorder="1" applyFont="1">
      <alignment horizontal="center"/>
    </xf>
    <xf borderId="19" fillId="2" fontId="1" numFmtId="0" xfId="0" applyAlignment="1" applyBorder="1" applyFont="1">
      <alignment horizontal="center"/>
    </xf>
    <xf borderId="0" fillId="2" fontId="1" numFmtId="0" xfId="0" applyAlignment="1" applyFont="1">
      <alignment horizontal="center" shrinkToFit="0" vertical="center" wrapText="0"/>
    </xf>
    <xf borderId="0" fillId="2" fontId="1" numFmtId="3" xfId="0" applyAlignment="1" applyFont="1" applyNumberFormat="1">
      <alignment horizontal="center" shrinkToFit="0" vertical="center" wrapText="0"/>
    </xf>
    <xf borderId="0" fillId="2" fontId="1" numFmtId="3" xfId="0" applyAlignment="1" applyFont="1" applyNumberFormat="1">
      <alignment horizontal="center" vertical="center"/>
    </xf>
    <xf borderId="9" fillId="2" fontId="1" numFmtId="3" xfId="0" applyAlignment="1" applyBorder="1" applyFont="1" applyNumberFormat="1">
      <alignment horizontal="center" vertical="center"/>
    </xf>
    <xf borderId="14" fillId="2" fontId="1" numFmtId="0" xfId="0" applyAlignment="1" applyBorder="1" applyFont="1">
      <alignment horizontal="center" readingOrder="0" shrinkToFit="0" vertical="center" wrapText="0"/>
    </xf>
    <xf borderId="12" fillId="2" fontId="1" numFmtId="0" xfId="0" applyAlignment="1" applyBorder="1" applyFont="1">
      <alignment horizontal="center" shrinkToFit="0" vertical="center" wrapText="0"/>
    </xf>
    <xf borderId="12" fillId="2" fontId="1" numFmtId="0" xfId="0" applyAlignment="1" applyBorder="1" applyFont="1">
      <alignment horizontal="center" vertical="center"/>
    </xf>
    <xf borderId="11" fillId="2" fontId="1" numFmtId="0" xfId="0" applyAlignment="1" applyBorder="1" applyFont="1">
      <alignment horizontal="center" vertical="center"/>
    </xf>
    <xf borderId="10" fillId="8" fontId="1" numFmtId="0" xfId="0" applyAlignment="1" applyBorder="1" applyFill="1" applyFont="1">
      <alignment horizontal="center" readingOrder="0" shrinkToFit="0" vertical="center" wrapText="0"/>
    </xf>
    <xf borderId="0" fillId="2" fontId="1" numFmtId="0" xfId="0" applyAlignment="1" applyFont="1">
      <alignment horizontal="center" readingOrder="0" vertical="center"/>
    </xf>
    <xf borderId="7" fillId="2" fontId="1" numFmtId="0" xfId="0" applyAlignment="1" applyBorder="1" applyFont="1">
      <alignment horizontal="center" shrinkToFit="0" vertical="center" wrapText="0"/>
    </xf>
    <xf borderId="6" fillId="2" fontId="1" numFmtId="0" xfId="0" applyAlignment="1" applyBorder="1" applyFont="1">
      <alignment horizontal="center" vertical="center"/>
    </xf>
    <xf borderId="19" fillId="2" fontId="1" numFmtId="0" xfId="0" applyAlignment="1" applyBorder="1" applyFont="1">
      <alignment horizontal="center" vertical="center"/>
    </xf>
    <xf borderId="10" fillId="2" fontId="1" numFmtId="0" xfId="0" applyAlignment="1" applyBorder="1" applyFont="1">
      <alignment horizontal="center" shrinkToFit="0" vertical="center" wrapText="0"/>
    </xf>
    <xf borderId="14" fillId="2" fontId="1" numFmtId="0" xfId="0" applyAlignment="1" applyBorder="1" applyFont="1">
      <alignment horizontal="center" vertical="center"/>
    </xf>
    <xf borderId="21" fillId="0" fontId="6" numFmtId="0" xfId="0" applyBorder="1" applyFont="1"/>
    <xf borderId="0" fillId="2" fontId="1" numFmtId="3" xfId="0" applyAlignment="1" applyFont="1" applyNumberFormat="1">
      <alignment horizontal="center" readingOrder="0" shrinkToFit="0" vertical="center" wrapText="1"/>
    </xf>
    <xf borderId="0" fillId="2" fontId="4" numFmtId="3" xfId="0" applyAlignment="1" applyFont="1" applyNumberFormat="1">
      <alignment horizontal="center" readingOrder="0" shrinkToFit="0" vertical="center" wrapText="1"/>
    </xf>
    <xf borderId="22" fillId="3" fontId="7" numFmtId="0" xfId="0" applyAlignment="1" applyBorder="1" applyFont="1">
      <alignment vertical="bottom"/>
    </xf>
    <xf borderId="2" fillId="0" fontId="6" numFmtId="0" xfId="0" applyBorder="1" applyFont="1"/>
    <xf borderId="2" fillId="3" fontId="7" numFmtId="0" xfId="0" applyBorder="1" applyFont="1"/>
    <xf borderId="0" fillId="3" fontId="7" numFmtId="0" xfId="0" applyFont="1"/>
    <xf borderId="0" fillId="4" fontId="8" numFmtId="0" xfId="0" applyAlignment="1" applyFont="1">
      <alignment horizontal="center" readingOrder="0"/>
    </xf>
    <xf borderId="10" fillId="2" fontId="1" numFmtId="3" xfId="0" applyAlignment="1" applyBorder="1" applyFont="1" applyNumberFormat="1">
      <alignment horizontal="center" shrinkToFit="0" vertical="center" wrapText="0"/>
    </xf>
    <xf borderId="15" fillId="2" fontId="1" numFmtId="0" xfId="0" applyAlignment="1" applyBorder="1" applyFont="1">
      <alignment horizontal="center" readingOrder="0" shrinkToFit="0" vertical="center" wrapText="0"/>
    </xf>
    <xf borderId="21" fillId="2" fontId="1" numFmtId="0" xfId="0" applyAlignment="1" applyBorder="1" applyFont="1">
      <alignment horizontal="center" readingOrder="0" shrinkToFit="0" vertical="center" wrapText="0"/>
    </xf>
    <xf borderId="15" fillId="2" fontId="1" numFmtId="0" xfId="0" applyAlignment="1" applyBorder="1" applyFont="1">
      <alignment horizontal="center" shrinkToFit="0" vertical="center" wrapText="0"/>
    </xf>
    <xf borderId="14" fillId="2" fontId="1" numFmtId="0" xfId="0" applyAlignment="1" applyBorder="1" applyFont="1">
      <alignment horizontal="center" vertical="center"/>
    </xf>
    <xf borderId="12" fillId="2" fontId="1" numFmtId="0" xfId="0" applyAlignment="1" applyBorder="1" applyFont="1">
      <alignment horizontal="center" vertical="center"/>
    </xf>
    <xf borderId="0" fillId="3" fontId="9" numFmtId="0" xfId="0" applyAlignment="1" applyFont="1">
      <alignment readingOrder="0"/>
    </xf>
    <xf borderId="6" fillId="2" fontId="11" numFmtId="0" xfId="0" applyAlignment="1" applyBorder="1" applyFont="1">
      <alignment horizontal="center" readingOrder="0" vertical="center"/>
    </xf>
    <xf borderId="0" fillId="2" fontId="7" numFmtId="0" xfId="0" applyAlignment="1" applyFont="1">
      <alignment vertical="bottom"/>
    </xf>
    <xf borderId="18" fillId="3" fontId="7" numFmtId="0" xfId="0" applyAlignment="1" applyBorder="1" applyFont="1">
      <alignment vertical="bottom"/>
    </xf>
    <xf borderId="10" fillId="4" fontId="2" numFmtId="0" xfId="0" applyAlignment="1" applyBorder="1" applyFont="1">
      <alignment horizontal="center" readingOrder="0" vertical="bottom"/>
    </xf>
    <xf borderId="0" fillId="3" fontId="3" numFmtId="0" xfId="0" applyAlignment="1" applyFont="1">
      <alignment horizontal="center" readingOrder="0" shrinkToFit="0" wrapText="1"/>
    </xf>
    <xf borderId="10" fillId="7" fontId="4" numFmtId="0" xfId="0" applyAlignment="1" applyBorder="1" applyFont="1">
      <alignment horizontal="center" shrinkToFit="0" wrapText="1"/>
    </xf>
    <xf borderId="0" fillId="7" fontId="4" numFmtId="0" xfId="0" applyAlignment="1" applyFont="1">
      <alignment horizontal="center" shrinkToFit="0" wrapText="1"/>
    </xf>
    <xf borderId="9" fillId="7" fontId="4" numFmtId="0" xfId="0" applyAlignment="1" applyBorder="1" applyFont="1">
      <alignment horizontal="center" shrinkToFit="0" wrapText="1"/>
    </xf>
    <xf borderId="7" fillId="2" fontId="1" numFmtId="0" xfId="0" applyAlignment="1" applyBorder="1" applyFont="1">
      <alignment horizontal="center" readingOrder="0" shrinkToFit="0" wrapText="0"/>
    </xf>
    <xf borderId="6" fillId="2" fontId="1" numFmtId="0" xfId="0" applyAlignment="1" applyBorder="1" applyFont="1">
      <alignment horizontal="center" readingOrder="0" shrinkToFit="0" wrapText="0"/>
    </xf>
    <xf borderId="6" fillId="2" fontId="1" numFmtId="0" xfId="0" applyAlignment="1" applyBorder="1" applyFont="1">
      <alignment horizontal="center" readingOrder="0"/>
    </xf>
    <xf borderId="19" fillId="2" fontId="1" numFmtId="0" xfId="0" applyAlignment="1" applyBorder="1" applyFont="1">
      <alignment horizontal="center" readingOrder="0"/>
    </xf>
    <xf borderId="10" fillId="2" fontId="1" numFmtId="0" xfId="0" applyAlignment="1" applyBorder="1" applyFont="1">
      <alignment horizontal="center" readingOrder="0" shrinkToFit="0" wrapText="0"/>
    </xf>
    <xf borderId="0" fillId="2" fontId="12" numFmtId="3" xfId="0" applyAlignment="1" applyFont="1" applyNumberFormat="1">
      <alignment shrinkToFit="0" vertical="bottom" wrapText="0"/>
    </xf>
    <xf borderId="9" fillId="2" fontId="1" numFmtId="0" xfId="0" applyAlignment="1" applyBorder="1" applyFont="1">
      <alignment horizontal="center"/>
    </xf>
    <xf borderId="0" fillId="2" fontId="1" numFmtId="0" xfId="0" applyAlignment="1" applyFont="1">
      <alignment horizontal="center" readingOrder="0" shrinkToFit="0" wrapText="0"/>
    </xf>
    <xf borderId="10" fillId="2" fontId="1" numFmtId="3" xfId="0" applyAlignment="1" applyBorder="1" applyFont="1" applyNumberFormat="1">
      <alignment horizontal="center" vertical="bottom"/>
    </xf>
    <xf borderId="0" fillId="2" fontId="1" numFmtId="3" xfId="0" applyAlignment="1" applyFont="1" applyNumberFormat="1">
      <alignment horizontal="center" vertical="bottom"/>
    </xf>
    <xf borderId="9" fillId="2" fontId="1" numFmtId="3" xfId="0" applyAlignment="1" applyBorder="1" applyFont="1" applyNumberFormat="1">
      <alignment horizontal="center" vertical="bottom"/>
    </xf>
    <xf borderId="10" fillId="2" fontId="1" numFmtId="0" xfId="0" applyAlignment="1" applyBorder="1" applyFont="1">
      <alignment horizontal="center" shrinkToFit="0" wrapText="0"/>
    </xf>
    <xf borderId="14" fillId="2" fontId="1" numFmtId="0" xfId="0" applyAlignment="1" applyBorder="1" applyFont="1">
      <alignment horizontal="center" readingOrder="0" shrinkToFit="0" wrapText="0"/>
    </xf>
    <xf borderId="12" fillId="2" fontId="1" numFmtId="0" xfId="0" applyAlignment="1" applyBorder="1" applyFont="1">
      <alignment horizontal="center" readingOrder="0" shrinkToFit="0" wrapText="0"/>
    </xf>
    <xf borderId="12" fillId="2" fontId="1" numFmtId="0" xfId="0" applyAlignment="1" applyBorder="1" applyFont="1">
      <alignment horizontal="center"/>
    </xf>
    <xf borderId="11" fillId="2" fontId="1" numFmtId="0" xfId="0" applyAlignment="1" applyBorder="1" applyFont="1">
      <alignment horizontal="center"/>
    </xf>
    <xf borderId="0" fillId="2" fontId="7" numFmtId="3" xfId="0" applyFont="1" applyNumberFormat="1"/>
    <xf borderId="12" fillId="2" fontId="1" numFmtId="0" xfId="0" applyAlignment="1" applyBorder="1" applyFont="1">
      <alignment horizontal="center" readingOrder="0" shrinkToFit="0" vertical="center" wrapText="0"/>
    </xf>
    <xf borderId="15" fillId="7" fontId="4" numFmtId="0" xfId="0" applyAlignment="1" applyBorder="1" applyFont="1">
      <alignment horizontal="center" shrinkToFit="0" vertical="center" wrapText="1"/>
    </xf>
    <xf borderId="21" fillId="7" fontId="4" numFmtId="0" xfId="0" applyAlignment="1" applyBorder="1" applyFont="1">
      <alignment horizontal="center" readingOrder="0" shrinkToFit="0" vertical="center" wrapText="1"/>
    </xf>
    <xf borderId="16" fillId="7" fontId="4" numFmtId="0" xfId="0" applyAlignment="1" applyBorder="1" applyFont="1">
      <alignment horizontal="center" readingOrder="0" shrinkToFit="0" vertical="center" wrapText="1"/>
    </xf>
    <xf borderId="10" fillId="2" fontId="1" numFmtId="0" xfId="0" applyAlignment="1" applyBorder="1" applyFont="1">
      <alignment horizontal="center"/>
    </xf>
    <xf borderId="9" fillId="2" fontId="7" numFmtId="0" xfId="0" applyBorder="1" applyFont="1"/>
    <xf borderId="10" fillId="2" fontId="1" numFmtId="0" xfId="0" applyAlignment="1" applyBorder="1" applyFont="1">
      <alignment horizontal="center"/>
    </xf>
    <xf borderId="0" fillId="2" fontId="13" numFmtId="0" xfId="0" applyAlignment="1" applyFont="1">
      <alignment horizontal="center"/>
    </xf>
    <xf borderId="14" fillId="2" fontId="1" numFmtId="0" xfId="0" applyAlignment="1" applyBorder="1" applyFont="1">
      <alignment horizontal="center"/>
    </xf>
    <xf borderId="11" fillId="2" fontId="1" numFmtId="3" xfId="0" applyAlignment="1" applyBorder="1" applyFont="1" applyNumberFormat="1">
      <alignment horizontal="center"/>
    </xf>
    <xf borderId="0" fillId="0" fontId="14" numFmtId="0" xfId="0" applyAlignment="1" applyFont="1">
      <alignment readingOrder="0"/>
    </xf>
    <xf borderId="0" fillId="0" fontId="15" numFmtId="0" xfId="0" applyAlignment="1" applyFont="1">
      <alignment readingOrder="0"/>
    </xf>
    <xf borderId="0" fillId="0" fontId="16" numFmtId="0" xfId="0" applyAlignment="1" applyFont="1">
      <alignment readingOrder="0"/>
    </xf>
    <xf borderId="0" fillId="0" fontId="15" numFmtId="0" xfId="0" applyFont="1"/>
    <xf borderId="0" fillId="0" fontId="17" numFmtId="0" xfId="0" applyFont="1"/>
    <xf borderId="0" fillId="0" fontId="16" numFmtId="0" xfId="0" applyAlignment="1" applyFont="1">
      <alignment readingOrder="0" vertical="bottom"/>
    </xf>
    <xf borderId="0" fillId="0" fontId="18" numFmtId="0" xfId="0" applyAlignment="1" applyFont="1">
      <alignment readingOrder="0"/>
    </xf>
    <xf borderId="0" fillId="0" fontId="19" numFmtId="0" xfId="0" applyAlignment="1" applyFont="1">
      <alignment readingOrder="0"/>
    </xf>
    <xf borderId="0" fillId="0" fontId="19" numFmtId="0" xfId="0" applyFont="1"/>
    <xf borderId="0" fillId="9" fontId="20" numFmtId="0" xfId="0" applyAlignment="1" applyFill="1" applyFont="1">
      <alignment readingOrder="0"/>
    </xf>
    <xf borderId="0" fillId="5" fontId="21" numFmtId="0" xfId="0" applyAlignment="1" applyFont="1">
      <alignment readingOrder="0"/>
    </xf>
    <xf borderId="7" fillId="2" fontId="1" numFmtId="0" xfId="0" applyAlignment="1" applyBorder="1" applyFont="1">
      <alignment horizontal="center" vertical="center"/>
    </xf>
    <xf borderId="10" fillId="2" fontId="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ocumenttasks/documenttask6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3057525" cy="9048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1438275" cy="4191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1438275" cy="4191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1438275" cy="4191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1438275" cy="4191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1438275" cy="4191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1438275" cy="4191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1438275" cy="4191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2628900" cy="7810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1438275" cy="4191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1438275" cy="4191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1438275" cy="4191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1638300" cy="485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lex Knight" id="{97b0a48c-8e97-4f45-ba55-7dd6dc8eaf09}" providerId="google-sheets"/>
  <x18tc:person displayName="Bethany Howard" id="{6b77f11c-d613-458e-a623-f5b88ddeecae}" providerId="google-sheets"/>
  <x18tc:person displayName="Julia Ward" id="{fc8d7e2f-06ec-406b-ad87-cc0f31d5056f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5" dT="2026-01-21T10:53:39.00" personId="{97b0a48c-8e97-4f45-ba55-7dd6dc8eaf09}" id="{b4b192a5-10bd-4d95-af73-760fb5c41701}" done="1">
    <x18tc:text xml:space="preserve">Love this. Just need to add more decoration techniques</x18tc:text>
  </x18tc:threadedComment>
  <x18tc:threadedComment ref="C5" dT="2026-01-20T15:38:29.00" personId="{97b0a48c-8e97-4f45-ba55-7dd6dc8eaf09}" id="{2f6c9843-ea13-470e-9b3f-8d7f518b92f6}" done="1">
    <x18tc:text xml:space="preserve">Shop by Type</x18tc:text>
  </x18tc:threadedComment>
  <x18tc:threadedComment ref="B37" dT="2026-01-28T12:08:03.00" personId="{fc8d7e2f-06ec-406b-ad87-cc0f31d5056f}" id="{7a3e82fd-ab26-4b16-809f-251e583105e0}" done="0">
    <x18tc:text xml:space="preserve">This will link to Beechfield Brands.</x18tc:text>
  </x18tc:threadedComment>
  <x18tc:threadedComment ref="M8" dT="2026-01-22T12:09:21.00" personId="{97b0a48c-8e97-4f45-ba55-7dd6dc8eaf09}" id="{6e317602-5af3-47b4-a055-94e963d2de41}" done="1">
    <x18tc:text xml:space="preserve">Potentially another name</x18tc:text>
  </x18tc:threadedComment>
  <x18tc:threadedComment ref="D6" dT="2026-02-05T09:24:13.00" personId="{97b0a48c-8e97-4f45-ba55-7dd6dc8eaf09}" id="{b7d85810-6fde-4ba5-9650-a882fd5bdc16}" done="1">
    <x18tc:text xml:space="preserve">Needs new word. Outdoors</x18tc:text>
  </x18tc:threadedComment>
  <x18tc:threadedComment ref="A1" dT="2026-01-20T15:38:38.00" personId="{97b0a48c-8e97-4f45-ba55-7dd6dc8eaf09}" id="{1e227a82-afef-47aa-86ef-57478ec02c74}" done="1">
    <x18tc:text xml:space="preserve">Shop by Season</x18tc:text>
  </x18tc:threadedComment>
  <x18tc:threadedComment ref="A1" dT="2026-01-21T10:59:02.00" personId="{97b0a48c-8e97-4f45-ba55-7dd6dc8eaf09}" id="{068836b5-c9b7-4d49-8883-ed884f111d82}" parentId="{1e227a82-afef-47aa-86ef-57478ec02c74}">
    <x18tc:text xml:space="preserve">Shop by collection isn't in the tabs? Is this still planned? 
Overlap with lookbooks</x18tc:text>
  </x18tc:threadedComment>
  <x18tc:threadedComment ref="A1" dT="2026-01-20T15:40:40.00" personId="{97b0a48c-8e97-4f45-ba55-7dd6dc8eaf09}" id="{66905ac6-194a-43b2-aaf8-026e5fcd3e28}" done="0">
    <x18tc:text xml:space="preserve">Would this be confusing compared to blue?</x18tc:text>
  </x18tc:threadedComment>
  <x18tc:threadedComment ref="A1" dT="2026-01-20T14:36:17.00" personId="{97b0a48c-8e97-4f45-ba55-7dd6dc8eaf09}" id="{3cd70ec5-1b5f-458c-b61a-2eec35042301}" done="0">
    <x18tc:text xml:space="preserve">Happy for these to be pages for SEO purposes. Don't think they should be in the main nav.</x18tc:text>
  </x18tc:threadedComment>
  <x18tc:threadedComment ref="A1" dT="2026-01-12T14:26:55.00" personId="{6b77f11c-d613-458e-a623-f5b88ddeecae}" id="{06153ac0-f0d1-40f4-a63d-97d661f6d5e6}" done="0">
    <x18tc:text xml:space="preserve">Change to lookbooks</x18tc:text>
  </x18tc:threadedComment>
  <x18tc:threadedComment ref="D6" dT="2026-01-20T15:56:05.00" personId="{97b0a48c-8e97-4f45-ba55-7dd6dc8eaf09}" id="{19896f24-f519-4ca1-8dc7-66e1d958d87d}" done="1">
    <x18tc:text xml:space="preserve">Active</x18tc:text>
  </x18tc:threadedComment>
  <x18tc:threadedComment ref="E11" dT="2026-01-20T15:45:25.00" personId="{97b0a48c-8e97-4f45-ba55-7dd6dc8eaf09}" id="{023c8619-351a-4698-b097-d3937bd0cb27}" done="1">
    <x18tc:text xml:space="preserve">What was this?</x18tc:text>
  </x18tc:threadedComment>
  <x18tc:threadedComment ref="E10" dT="2026-01-20T15:45:29.00" personId="{97b0a48c-8e97-4f45-ba55-7dd6dc8eaf09}" id="{9bec0b24-0edd-4ed4-956c-0ba02e920db8}" done="1">
    <x18tc:text xml:space="preserve">What was this?</x18tc:text>
  </x18tc:threadedComment>
  <x18tc:threadedComment ref="B5" dT="2026-01-30T09:02:20.00" personId="{97b0a48c-8e97-4f45-ba55-7dd6dc8eaf09}" id="{4e89e1a9-d478-4a79-aa24-06eabfe34f32}" done="0">
    <x18tc:text xml:space="preserve">If these top tabs are non-clickable, do we need a "view all" under each of them?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26" dT="2026-01-07T11:28:47.00" personId="{6b77f11c-d613-458e-a623-f5b88ddeecae}" id="{9cd31858-4858-4c42-94c4-6b846cdd483e}" done="1">
    <x18tc:text xml:space="preserve">No SV for this page</x18tc:text>
  </x18tc:threadedComment>
  <x18tc:threadedComment ref="I21" dT="2026-01-21T09:15:04.00" personId="{97b0a48c-8e97-4f45-ba55-7dd6dc8eaf09}" id="{2aa38c2b-183c-428a-b567-99fd41a84606}" done="1">
    <x18tc:text xml:space="preserve">Would Bobble Hat be better?</x18tc:text>
  </x18tc:threadedComment>
  <x18tc:threadedComment ref="G10" dT="2026-01-20T14:23:46.00" personId="{97b0a48c-8e97-4f45-ba55-7dd6dc8eaf09}" id="{61240911-0e7a-473a-92d9-242ba2cccf4d}" done="1">
    <x18tc:text xml:space="preserve">Is this different from baseball caps? I would imagine there's a lot of volume for baseball caps</x18tc:text>
  </x18tc:threadedComment>
  <x18tc:threadedComment ref="G7" dT="2026-01-21T09:15:56.00" personId="{97b0a48c-8e97-4f45-ba55-7dd6dc8eaf09}" id="{724c1158-686e-4333-bbd0-5aa5628f3cdc}" done="1">
    <x18tc:text xml:space="preserve">All caps have panels. The differentiator is 5-panel caps or 6-panel caps.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6" dT="2026-01-21T10:36:01.00" personId="{97b0a48c-8e97-4f45-ba55-7dd6dc8eaf09}" id="{228eabc7-7c56-439b-8a35-61145b58d9ea}" done="1">
    <x18tc:text xml:space="preserve">Active?</x18tc:text>
  </x18tc:threadedComment>
  <x18tc:threadedComment ref="D12" dT="2026-01-20T15:35:13.00" personId="{97b0a48c-8e97-4f45-ba55-7dd6dc8eaf09}" id="{8202c8f2-e610-49a6-9200-e576cad4145f}" done="0">
    <x18tc:text xml:space="preserve">This doesn't feel right to me.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9" dT="2026-01-21T10:54:05.00" personId="{97b0a48c-8e97-4f45-ba55-7dd6dc8eaf09}" id="{80929184-7738-4a1a-8fca-092484e76d4c}" done="1">
    <x18tc:text xml:space="preserve">Not sure about this.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8" dT="2026-01-29T15:45:51.00" personId="{fc8d7e2f-06ec-406b-ad87-cc0f31d5056f}" id="{f7eb7e45-39c4-4b62-b7d0-6c3f8cf367cc}" done="1">
    <x18tc:text xml:space="preserve">Link to Media Hub with copy explaining you can find Placement Templates, Campaign Assets, Product Assets, Printability Notes here.</x18tc:text>
  </x18tc:threadedComment>
  <x18tc:threadedComment ref="G7" dT="2026-01-15T11:57:48.00" personId="{fc8d7e2f-06ec-406b-ad87-cc0f31d5056f}" id="{1f70db8c-113f-4c2f-97c9-6c4879b5c266}" done="1">
    <x18tc:text xml:space="preserve">Long-Form guides coming off this.</x18tc:text>
  </x18tc:threadedComment>
</x18tc:ThreadedComments>
</file>

<file path=xl/threadedComments/threadedComment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7" dT="2026-01-30T10:19:51.00" personId="{6b77f11c-d613-458e-a623-f5b88ddeecae}" id="{f81ddad2-5e84-4666-99aa-6892a828d069}" done="0">
    <x18tc:text xml:space="preserve">Include information on 1% of the planet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hyperlink" Target="https://varsityheadwear.com/pages/the-cap-guide" TargetMode="External"/><Relationship Id="rId5" Type="http://schemas.openxmlformats.org/officeDocument/2006/relationships/drawing" Target="../drawings/drawing3.xml"/><Relationship Id="rId6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drawing" Target="../drawings/drawing9.xml"/><Relationship Id="rId5" Type="http://schemas.openxmlformats.org/officeDocument/2006/relationships/vmlDrawing" Target="../drawings/vmlDrawing5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mediahub.beechfieldbrands.com/login/redirectToken/3F8C914A-C169-4EFB-B5FE72805708526C/" TargetMode="External"/><Relationship Id="rId2" Type="http://schemas.openxmlformats.org/officeDocument/2006/relationships/hyperlink" Target="https://mediahub.beechfieldbrands.com/login/redirectToken/3F8C914A-C169-4EFB-B5FE72805708526C/" TargetMode="External"/><Relationship Id="rId3" Type="http://schemas.openxmlformats.org/officeDocument/2006/relationships/hyperlink" Target="https://mediahub.beechfieldbrands.com/login/redirectToken/3F8C914A-C169-4EFB-B5FE72805708526C/" TargetMode="External"/><Relationship Id="rId4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microsoft.com/office/2017/10/relationships/threadedComment" Target="../threadedComments/threadedComment6.xml"/><Relationship Id="rId3" Type="http://schemas.microsoft.com/office/2019/04/relationships/documenttask" Target="../documenttasks/documenttask6.xml"/><Relationship Id="rId4" Type="http://schemas.openxmlformats.org/officeDocument/2006/relationships/drawing" Target="../drawings/drawing12.xml"/><Relationship Id="rId5" Type="http://schemas.openxmlformats.org/officeDocument/2006/relationships/vmlDrawing" Target="../drawings/vmlDrawing6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beechfieldbrands.com/" TargetMode="External"/><Relationship Id="rId2" Type="http://schemas.openxmlformats.org/officeDocument/2006/relationships/hyperlink" Target="https://beechfieldbrands.com/" TargetMode="External"/><Relationship Id="rId3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odysia-cruise-uk.client.prod.eu-west.dreamlake.io/cruise-lines/msc-cruises/msc-armonia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90" Type="http://schemas.openxmlformats.org/officeDocument/2006/relationships/hyperlink" Target="https://odysia-cruise-uk.client.prod.eu-west.dreamlake.io/cruise-lines/norwegian-cruise-line/norwegian-aqua" TargetMode="External"/><Relationship Id="rId194" Type="http://schemas.openxmlformats.org/officeDocument/2006/relationships/hyperlink" Target="https://odysia-cruise-uk.client.prod.eu-west.dreamlake.io/cruise-lines/norwegian-cruise-line/norwegian-breakaway" TargetMode="External"/><Relationship Id="rId193" Type="http://schemas.openxmlformats.org/officeDocument/2006/relationships/hyperlink" Target="https://odysia-cruise-uk.client.prod.eu-west.dreamlake.io/cruise-lines/norwegian-cruise-line/norwegian-bliss/cruises" TargetMode="External"/><Relationship Id="rId192" Type="http://schemas.openxmlformats.org/officeDocument/2006/relationships/hyperlink" Target="https://odysia-cruise-uk.client.prod.eu-west.dreamlake.io/cruise-lines/norwegian-cruise-line/norwegian-bliss" TargetMode="External"/><Relationship Id="rId191" Type="http://schemas.openxmlformats.org/officeDocument/2006/relationships/hyperlink" Target="https://odysia-cruise-uk.client.prod.eu-west.dreamlake.io/cruise-lines/norwegian-cruise-line/norwegian-aqua/cruises" TargetMode="External"/><Relationship Id="rId187" Type="http://schemas.openxmlformats.org/officeDocument/2006/relationships/hyperlink" Target="https://odysia-cruise-uk.client.prod.eu-west.dreamlake.io/cruise-lines/msc-cruises/msc-world-europa/cruises" TargetMode="External"/><Relationship Id="rId186" Type="http://schemas.openxmlformats.org/officeDocument/2006/relationships/hyperlink" Target="https://odysia-cruise-uk.client.prod.eu-west.dreamlake.io/cruise-lines/msc-cruises/msc-world-europa" TargetMode="External"/><Relationship Id="rId185" Type="http://schemas.openxmlformats.org/officeDocument/2006/relationships/hyperlink" Target="https://odysia-cruise-uk.client.prod.eu-west.dreamlake.io/cruise-lines/msc-cruises/msc-world-america/cruises" TargetMode="External"/><Relationship Id="rId184" Type="http://schemas.openxmlformats.org/officeDocument/2006/relationships/hyperlink" Target="https://odysia-cruise-uk.client.prod.eu-west.dreamlake.io/cruise-lines/msc-cruises/msc-world-america" TargetMode="External"/><Relationship Id="rId189" Type="http://schemas.openxmlformats.org/officeDocument/2006/relationships/hyperlink" Target="https://odysia-cruise-uk.client.prod.eu-west.dreamlake.io/cruise-lines/norwegian-cruise-line/cruises" TargetMode="External"/><Relationship Id="rId188" Type="http://schemas.openxmlformats.org/officeDocument/2006/relationships/hyperlink" Target="https://odysia-cruise-uk.client.prod.eu-west.dreamlake.io/cruise-lines/norwegian-cruise-line" TargetMode="External"/><Relationship Id="rId183" Type="http://schemas.openxmlformats.org/officeDocument/2006/relationships/hyperlink" Target="https://odysia-cruise-uk.client.prod.eu-west.dreamlake.io/cruise-lines/msc-cruises/msc-virtuosa/cruises" TargetMode="External"/><Relationship Id="rId182" Type="http://schemas.openxmlformats.org/officeDocument/2006/relationships/hyperlink" Target="https://odysia-cruise-uk.client.prod.eu-west.dreamlake.io/cruise-lines/msc-cruises/msc-virtuosa" TargetMode="External"/><Relationship Id="rId181" Type="http://schemas.openxmlformats.org/officeDocument/2006/relationships/hyperlink" Target="https://odysia-cruise-uk.client.prod.eu-west.dreamlake.io/cruise-lines/msc-cruises/msc-splendida/cruises" TargetMode="External"/><Relationship Id="rId180" Type="http://schemas.openxmlformats.org/officeDocument/2006/relationships/hyperlink" Target="https://odysia-cruise-uk.client.prod.eu-west.dreamlake.io/cruise-lines/msc-cruises/msc-splendida" TargetMode="External"/><Relationship Id="rId176" Type="http://schemas.openxmlformats.org/officeDocument/2006/relationships/hyperlink" Target="https://odysia-cruise-uk.client.prod.eu-west.dreamlake.io/cruise-lines/msc-cruises/msc-seaview" TargetMode="External"/><Relationship Id="rId297" Type="http://schemas.openxmlformats.org/officeDocument/2006/relationships/hyperlink" Target="https://odysia-cruise-uk.client.prod.eu-west.dreamlake.io/cruise-lines/princess-cruises/sky-princess/cruises" TargetMode="External"/><Relationship Id="rId175" Type="http://schemas.openxmlformats.org/officeDocument/2006/relationships/hyperlink" Target="https://odysia-cruise-uk.client.prod.eu-west.dreamlake.io/cruise-lines/msc-cruises/msc-seaside/cruises" TargetMode="External"/><Relationship Id="rId296" Type="http://schemas.openxmlformats.org/officeDocument/2006/relationships/hyperlink" Target="https://odysia-cruise-uk.client.prod.eu-west.dreamlake.io/cruise-lines/princess-cruises/sky-princess" TargetMode="External"/><Relationship Id="rId174" Type="http://schemas.openxmlformats.org/officeDocument/2006/relationships/hyperlink" Target="https://odysia-cruise-uk.client.prod.eu-west.dreamlake.io/cruise-lines/msc-cruises/msc-seaside" TargetMode="External"/><Relationship Id="rId295" Type="http://schemas.openxmlformats.org/officeDocument/2006/relationships/hyperlink" Target="https://odysia-cruise-uk.client.prod.eu-west.dreamlake.io/cruise-lines/princess-cruises/sapphire-princess/cruises" TargetMode="External"/><Relationship Id="rId173" Type="http://schemas.openxmlformats.org/officeDocument/2006/relationships/hyperlink" Target="https://odysia-cruise-uk.client.prod.eu-west.dreamlake.io/cruise-lines/msc-cruises/msc-seashore/cruises" TargetMode="External"/><Relationship Id="rId294" Type="http://schemas.openxmlformats.org/officeDocument/2006/relationships/hyperlink" Target="https://odysia-cruise-uk.client.prod.eu-west.dreamlake.io/cruise-lines/princess-cruises/sapphire-princess" TargetMode="External"/><Relationship Id="rId179" Type="http://schemas.openxmlformats.org/officeDocument/2006/relationships/hyperlink" Target="https://odysia-cruise-uk.client.prod.eu-west.dreamlake.io/cruise-lines/msc-cruises/msc-sinfonia/cruises" TargetMode="External"/><Relationship Id="rId178" Type="http://schemas.openxmlformats.org/officeDocument/2006/relationships/hyperlink" Target="https://odysia-cruise-uk.client.prod.eu-west.dreamlake.io/cruise-lines/msc-cruises/msc-sinfonia" TargetMode="External"/><Relationship Id="rId299" Type="http://schemas.openxmlformats.org/officeDocument/2006/relationships/hyperlink" Target="https://odysia-cruise-uk.client.prod.eu-west.dreamlake.io/cruise-lines/princess-cruises/star-princess/cruises" TargetMode="External"/><Relationship Id="rId177" Type="http://schemas.openxmlformats.org/officeDocument/2006/relationships/hyperlink" Target="https://odysia-cruise-uk.client.prod.eu-west.dreamlake.io/cruise-lines/msc-cruises/msc-seaview/cruises" TargetMode="External"/><Relationship Id="rId298" Type="http://schemas.openxmlformats.org/officeDocument/2006/relationships/hyperlink" Target="https://odysia-cruise-uk.client.prod.eu-west.dreamlake.io/cruise-lines/princess-cruises/star-princess" TargetMode="External"/><Relationship Id="rId198" Type="http://schemas.openxmlformats.org/officeDocument/2006/relationships/hyperlink" Target="https://odysia-cruise-uk.client.prod.eu-west.dreamlake.io/cruise-lines/norwegian-cruise-line/norwegian-encore" TargetMode="External"/><Relationship Id="rId197" Type="http://schemas.openxmlformats.org/officeDocument/2006/relationships/hyperlink" Target="https://odysia-cruise-uk.client.prod.eu-west.dreamlake.io/cruise-lines/norwegian-cruise-line/norwegian-dawn/cruises" TargetMode="External"/><Relationship Id="rId196" Type="http://schemas.openxmlformats.org/officeDocument/2006/relationships/hyperlink" Target="https://odysia-cruise-uk.client.prod.eu-west.dreamlake.io/cruise-lines/norwegian-cruise-line/norwegian-dawn" TargetMode="External"/><Relationship Id="rId195" Type="http://schemas.openxmlformats.org/officeDocument/2006/relationships/hyperlink" Target="https://odysia-cruise-uk.client.prod.eu-west.dreamlake.io/cruise-lines/norwegian-cruise-line/norwegian-breakaway/cruises" TargetMode="External"/><Relationship Id="rId199" Type="http://schemas.openxmlformats.org/officeDocument/2006/relationships/hyperlink" Target="https://odysia-cruise-uk.client.prod.eu-west.dreamlake.io/cruise-lines/norwegian-cruise-line/norwegian-encore/cruises" TargetMode="External"/><Relationship Id="rId150" Type="http://schemas.openxmlformats.org/officeDocument/2006/relationships/hyperlink" Target="https://odysia-cruise-uk.client.prod.eu-west.dreamlake.io/cruise-lines/msc-cruises/msc-fantasia" TargetMode="External"/><Relationship Id="rId271" Type="http://schemas.openxmlformats.org/officeDocument/2006/relationships/hyperlink" Target="https://odysia-cruise-uk.client.prod.eu-west.dreamlake.io/cruise-lines/princess-cruises/crown-princess" TargetMode="External"/><Relationship Id="rId392" Type="http://schemas.openxmlformats.org/officeDocument/2006/relationships/hyperlink" Target="https://odysia-cruise-uk.client.prod.eu-west.dreamlake.io/cruise-lines/virgin-voyages/brilliant-lady/cruises" TargetMode="External"/><Relationship Id="rId270" Type="http://schemas.openxmlformats.org/officeDocument/2006/relationships/hyperlink" Target="https://odysia-cruise-uk.client.prod.eu-west.dreamlake.io/cruise-lines/princess-cruises/coral-princess/cruises" TargetMode="External"/><Relationship Id="rId391" Type="http://schemas.openxmlformats.org/officeDocument/2006/relationships/hyperlink" Target="https://odysia-cruise-uk.client.prod.eu-west.dreamlake.io/cruise-lines/virgin-voyages/brilliant-lady" TargetMode="External"/><Relationship Id="rId390" Type="http://schemas.openxmlformats.org/officeDocument/2006/relationships/hyperlink" Target="https://odysia-cruise-uk.client.prod.eu-west.dreamlake.io/cruise-lines/virgin-voyages" TargetMode="External"/><Relationship Id="rId1" Type="http://schemas.openxmlformats.org/officeDocument/2006/relationships/hyperlink" Target="https://odysia-cruise-uk.client.prod.eu-west.dreamlake.io/" TargetMode="External"/><Relationship Id="rId2" Type="http://schemas.openxmlformats.org/officeDocument/2006/relationships/hyperlink" Target="https://odysia-cruise-uk.client.prod.eu-west.dreamlake.io/about-us" TargetMode="External"/><Relationship Id="rId3" Type="http://schemas.openxmlformats.org/officeDocument/2006/relationships/hyperlink" Target="https://odysia-cruise-uk.client.prod.eu-west.dreamlake.io/cruise-calendar" TargetMode="External"/><Relationship Id="rId149" Type="http://schemas.openxmlformats.org/officeDocument/2006/relationships/hyperlink" Target="https://odysia-cruise-uk.client.prod.eu-west.dreamlake.io/cruise-lines/msc-cruises/msc-euribia/cruises" TargetMode="External"/><Relationship Id="rId4" Type="http://schemas.openxmlformats.org/officeDocument/2006/relationships/hyperlink" Target="https://odysia-cruise-uk.client.prod.eu-west.dreamlake.io/cruise-deals" TargetMode="External"/><Relationship Id="rId148" Type="http://schemas.openxmlformats.org/officeDocument/2006/relationships/hyperlink" Target="https://odysia-cruise-uk.client.prod.eu-west.dreamlake.io/cruise-lines/msc-cruises/msc-euribia" TargetMode="External"/><Relationship Id="rId269" Type="http://schemas.openxmlformats.org/officeDocument/2006/relationships/hyperlink" Target="https://odysia-cruise-uk.client.prod.eu-west.dreamlake.io/cruise-lines/princess-cruises/coral-princess" TargetMode="External"/><Relationship Id="rId9" Type="http://schemas.openxmlformats.org/officeDocument/2006/relationships/hyperlink" Target="https://odysia-cruise-uk.client.prod.eu-west.dreamlake.io/cruise-deals/cruises-from-dover" TargetMode="External"/><Relationship Id="rId143" Type="http://schemas.openxmlformats.org/officeDocument/2006/relationships/hyperlink" Target="https://odysia-cruise-uk.client.prod.eu-west.dreamlake.io/cruise-lines/msc-cruises/msc-armonia/cruises" TargetMode="External"/><Relationship Id="rId264" Type="http://schemas.openxmlformats.org/officeDocument/2006/relationships/hyperlink" Target="https://odysia-cruise-uk.client.prod.eu-west.dreamlake.io/cruise-lines/po-cruises/ventura" TargetMode="External"/><Relationship Id="rId385" Type="http://schemas.openxmlformats.org/officeDocument/2006/relationships/hyperlink" Target="https://odysia-cruise-uk.client.prod.eu-west.dreamlake.io/cruise-lines/seabourn/seabourn-quest/cruises" TargetMode="External"/><Relationship Id="rId142" Type="http://schemas.openxmlformats.org/officeDocument/2006/relationships/hyperlink" Target="https://odysia-cruise-uk.client.prod.eu-west.dreamlake.io/cruise-lines/msc-cruises/msc-armonia" TargetMode="External"/><Relationship Id="rId263" Type="http://schemas.openxmlformats.org/officeDocument/2006/relationships/hyperlink" Target="https://odysia-cruise-uk.client.prod.eu-west.dreamlake.io/cruise-lines/po-cruises/iona/cruises" TargetMode="External"/><Relationship Id="rId384" Type="http://schemas.openxmlformats.org/officeDocument/2006/relationships/hyperlink" Target="https://odysia-cruise-uk.client.prod.eu-west.dreamlake.io/cruise-lines/seabourn/seabourn-quest" TargetMode="External"/><Relationship Id="rId141" Type="http://schemas.openxmlformats.org/officeDocument/2006/relationships/hyperlink" Target="https://odysia-cruise-uk.client.prod.eu-west.dreamlake.io/cruise-lines/msc-cruises/cruises" TargetMode="External"/><Relationship Id="rId262" Type="http://schemas.openxmlformats.org/officeDocument/2006/relationships/hyperlink" Target="https://odysia-cruise-uk.client.prod.eu-west.dreamlake.io/cruise-lines/po-cruises/iona" TargetMode="External"/><Relationship Id="rId383" Type="http://schemas.openxmlformats.org/officeDocument/2006/relationships/hyperlink" Target="https://odysia-cruise-uk.client.prod.eu-west.dreamlake.io/cruise-lines/seabourn/seabourn-pursuit/cruises" TargetMode="External"/><Relationship Id="rId140" Type="http://schemas.openxmlformats.org/officeDocument/2006/relationships/hyperlink" Target="https://odysia-cruise-uk.client.prod.eu-west.dreamlake.io/cruise-lines/msc-cruises" TargetMode="External"/><Relationship Id="rId261" Type="http://schemas.openxmlformats.org/officeDocument/2006/relationships/hyperlink" Target="https://odysia-cruise-uk.client.prod.eu-west.dreamlake.io/cruise-lines/po-cruises/cruises" TargetMode="External"/><Relationship Id="rId382" Type="http://schemas.openxmlformats.org/officeDocument/2006/relationships/hyperlink" Target="https://odysia-cruise-uk.client.prod.eu-west.dreamlake.io/cruise-lines/seabourn/seabourn-pursuit" TargetMode="External"/><Relationship Id="rId5" Type="http://schemas.openxmlformats.org/officeDocument/2006/relationships/hyperlink" Target="https://odysia-cruise-uk.client.prod.eu-west.dreamlake.io/cruise-deals/2025" TargetMode="External"/><Relationship Id="rId147" Type="http://schemas.openxmlformats.org/officeDocument/2006/relationships/hyperlink" Target="https://odysia-cruise-uk.client.prod.eu-west.dreamlake.io/cruise-lines/msc-cruises/msc-divina/cruises" TargetMode="External"/><Relationship Id="rId268" Type="http://schemas.openxmlformats.org/officeDocument/2006/relationships/hyperlink" Target="https://odysia-cruise-uk.client.prod.eu-west.dreamlake.io/cruise-lines/princess-cruises/caribbean-princess/cruises" TargetMode="External"/><Relationship Id="rId389" Type="http://schemas.openxmlformats.org/officeDocument/2006/relationships/hyperlink" Target="https://odysia-cruise-uk.client.prod.eu-west.dreamlake.io/cruise-lines/seabourn/seabourn-venture/cruises" TargetMode="External"/><Relationship Id="rId6" Type="http://schemas.openxmlformats.org/officeDocument/2006/relationships/hyperlink" Target="https://odysia-cruise-uk.client.prod.eu-west.dreamlake.io/cruise-deals/2026" TargetMode="External"/><Relationship Id="rId146" Type="http://schemas.openxmlformats.org/officeDocument/2006/relationships/hyperlink" Target="https://odysia-cruise-uk.client.prod.eu-west.dreamlake.io/cruise-lines/msc-cruises/msc-divina" TargetMode="External"/><Relationship Id="rId267" Type="http://schemas.openxmlformats.org/officeDocument/2006/relationships/hyperlink" Target="https://odysia-cruise-uk.client.prod.eu-west.dreamlake.io/cruise-lines/princess-cruises/caribbean-princess" TargetMode="External"/><Relationship Id="rId388" Type="http://schemas.openxmlformats.org/officeDocument/2006/relationships/hyperlink" Target="https://odysia-cruise-uk.client.prod.eu-west.dreamlake.io/cruise-lines/seabourn/seabourn-venture" TargetMode="External"/><Relationship Id="rId7" Type="http://schemas.openxmlformats.org/officeDocument/2006/relationships/hyperlink" Target="https://odysia-cruise-uk.client.prod.eu-west.dreamlake.io/cruise-deals/2027" TargetMode="External"/><Relationship Id="rId145" Type="http://schemas.openxmlformats.org/officeDocument/2006/relationships/hyperlink" Target="https://odysia-cruise-uk.client.prod.eu-west.dreamlake.io/cruise-lines/msc-cruises/msc-bellissima/cruises" TargetMode="External"/><Relationship Id="rId266" Type="http://schemas.openxmlformats.org/officeDocument/2006/relationships/hyperlink" Target="https://odysia-cruise-uk.client.prod.eu-west.dreamlake.io/cruise-lines/princess-cruises" TargetMode="External"/><Relationship Id="rId387" Type="http://schemas.openxmlformats.org/officeDocument/2006/relationships/hyperlink" Target="https://odysia-cruise-uk.client.prod.eu-west.dreamlake.io/cruise-lines/seabourn/seabourn-sojourn/cruises" TargetMode="External"/><Relationship Id="rId8" Type="http://schemas.openxmlformats.org/officeDocument/2006/relationships/hyperlink" Target="https://odysia-cruise-uk.client.prod.eu-west.dreamlake.io/cruise-deals/all-inclusive-cruise-deals" TargetMode="External"/><Relationship Id="rId144" Type="http://schemas.openxmlformats.org/officeDocument/2006/relationships/hyperlink" Target="https://odysia-cruise-uk.client.prod.eu-west.dreamlake.io/cruise-lines/msc-cruises/msc-bellissima" TargetMode="External"/><Relationship Id="rId265" Type="http://schemas.openxmlformats.org/officeDocument/2006/relationships/hyperlink" Target="https://odysia-cruise-uk.client.prod.eu-west.dreamlake.io/cruise-lines/po-cruises/ventura/cruises" TargetMode="External"/><Relationship Id="rId386" Type="http://schemas.openxmlformats.org/officeDocument/2006/relationships/hyperlink" Target="https://odysia-cruise-uk.client.prod.eu-west.dreamlake.io/cruise-lines/seabourn/seabourn-sojourn" TargetMode="External"/><Relationship Id="rId260" Type="http://schemas.openxmlformats.org/officeDocument/2006/relationships/hyperlink" Target="https://odysia-cruise-uk.client.prod.eu-west.dreamlake.io/cruise-lines/po-cruises/britannia/cruises" TargetMode="External"/><Relationship Id="rId381" Type="http://schemas.openxmlformats.org/officeDocument/2006/relationships/hyperlink" Target="https://odysia-cruise-uk.client.prod.eu-west.dreamlake.io/cruise-lines/seabourn/seabourn-ovation/cruises" TargetMode="External"/><Relationship Id="rId380" Type="http://schemas.openxmlformats.org/officeDocument/2006/relationships/hyperlink" Target="https://odysia-cruise-uk.client.prod.eu-west.dreamlake.io/cruise-lines/seabourn/seabourn-ovation" TargetMode="External"/><Relationship Id="rId139" Type="http://schemas.openxmlformats.org/officeDocument/2006/relationships/hyperlink" Target="https://odysia-cruise-uk.client.prod.eu-west.dreamlake.io/cruise-lines/holland-america-line/zuiderdam/cruises" TargetMode="External"/><Relationship Id="rId138" Type="http://schemas.openxmlformats.org/officeDocument/2006/relationships/hyperlink" Target="https://odysia-cruise-uk.client.prod.eu-west.dreamlake.io/cruise-lines/holland-america-line/zuiderdam" TargetMode="External"/><Relationship Id="rId259" Type="http://schemas.openxmlformats.org/officeDocument/2006/relationships/hyperlink" Target="https://odysia-cruise-uk.client.prod.eu-west.dreamlake.io/cruise-lines/po-cruises/britannia" TargetMode="External"/><Relationship Id="rId137" Type="http://schemas.openxmlformats.org/officeDocument/2006/relationships/hyperlink" Target="https://odysia-cruise-uk.client.prod.eu-west.dreamlake.io/cruise-lines/holland-america-line/zaandam/cruises" TargetMode="External"/><Relationship Id="rId258" Type="http://schemas.openxmlformats.org/officeDocument/2006/relationships/hyperlink" Target="https://odysia-cruise-uk.client.prod.eu-west.dreamlake.io/cruise-lines/po-cruises/azura/cruises" TargetMode="External"/><Relationship Id="rId379" Type="http://schemas.openxmlformats.org/officeDocument/2006/relationships/hyperlink" Target="https://odysia-cruise-uk.client.prod.eu-west.dreamlake.io/cruise-lines/seabourn/seabourn-encore/cruises" TargetMode="External"/><Relationship Id="rId132" Type="http://schemas.openxmlformats.org/officeDocument/2006/relationships/hyperlink" Target="https://odysia-cruise-uk.client.prod.eu-west.dreamlake.io/cruise-lines/holland-america-line/volendam" TargetMode="External"/><Relationship Id="rId253" Type="http://schemas.openxmlformats.org/officeDocument/2006/relationships/hyperlink" Target="https://odysia-cruise-uk.client.prod.eu-west.dreamlake.io/cruise-lines/po-cruises/arvia" TargetMode="External"/><Relationship Id="rId374" Type="http://schemas.openxmlformats.org/officeDocument/2006/relationships/hyperlink" Target="https://odysia-cruise-uk.client.prod.eu-west.dreamlake.io/cruise-lines/royal-caribbean/wonder-of-the-seas" TargetMode="External"/><Relationship Id="rId131" Type="http://schemas.openxmlformats.org/officeDocument/2006/relationships/hyperlink" Target="https://odysia-cruise-uk.client.prod.eu-west.dreamlake.io/cruise-lines/holland-america-line/rotterdam/cruises" TargetMode="External"/><Relationship Id="rId252" Type="http://schemas.openxmlformats.org/officeDocument/2006/relationships/hyperlink" Target="https://odysia-cruise-uk.client.prod.eu-west.dreamlake.io/cruise-lines/po-cruises/arcadia/cruises" TargetMode="External"/><Relationship Id="rId373" Type="http://schemas.openxmlformats.org/officeDocument/2006/relationships/hyperlink" Target="https://odysia-cruise-uk.client.prod.eu-west.dreamlake.io/cruise-lines/royal-caribbean/voyager-of-the-seas" TargetMode="External"/><Relationship Id="rId130" Type="http://schemas.openxmlformats.org/officeDocument/2006/relationships/hyperlink" Target="https://odysia-cruise-uk.client.prod.eu-west.dreamlake.io/cruise-lines/holland-america-line/rotterdam" TargetMode="External"/><Relationship Id="rId251" Type="http://schemas.openxmlformats.org/officeDocument/2006/relationships/hyperlink" Target="https://odysia-cruise-uk.client.prod.eu-west.dreamlake.io/cruise-lines/po-cruises/arcadia" TargetMode="External"/><Relationship Id="rId372" Type="http://schemas.openxmlformats.org/officeDocument/2006/relationships/hyperlink" Target="https://odysia-cruise-uk.client.prod.eu-west.dreamlake.io/cruise-lines/royal-caribbean/vision-of-the-seas/cruises" TargetMode="External"/><Relationship Id="rId250" Type="http://schemas.openxmlformats.org/officeDocument/2006/relationships/hyperlink" Target="https://odysia-cruise-uk.client.prod.eu-west.dreamlake.io/cruise-lines/po-cruises" TargetMode="External"/><Relationship Id="rId371" Type="http://schemas.openxmlformats.org/officeDocument/2006/relationships/hyperlink" Target="https://odysia-cruise-uk.client.prod.eu-west.dreamlake.io/cruise-lines/royal-caribbean/vision-of-the-seas" TargetMode="External"/><Relationship Id="rId136" Type="http://schemas.openxmlformats.org/officeDocument/2006/relationships/hyperlink" Target="https://odysia-cruise-uk.client.prod.eu-west.dreamlake.io/cruise-lines/holland-america-line/zaandam" TargetMode="External"/><Relationship Id="rId257" Type="http://schemas.openxmlformats.org/officeDocument/2006/relationships/hyperlink" Target="https://odysia-cruise-uk.client.prod.eu-west.dreamlake.io/cruise-lines/po-cruises/azura" TargetMode="External"/><Relationship Id="rId378" Type="http://schemas.openxmlformats.org/officeDocument/2006/relationships/hyperlink" Target="https://odysia-cruise-uk.client.prod.eu-west.dreamlake.io/cruise-lines/seabourn/seabourn-encore" TargetMode="External"/><Relationship Id="rId135" Type="http://schemas.openxmlformats.org/officeDocument/2006/relationships/hyperlink" Target="https://odysia-cruise-uk.client.prod.eu-west.dreamlake.io/cruise-lines/holland-america-line/westerdam/cruises" TargetMode="External"/><Relationship Id="rId256" Type="http://schemas.openxmlformats.org/officeDocument/2006/relationships/hyperlink" Target="https://odysia-cruise-uk.client.prod.eu-west.dreamlake.io/cruise-lines/po-cruises/aurora/cruises" TargetMode="External"/><Relationship Id="rId377" Type="http://schemas.openxmlformats.org/officeDocument/2006/relationships/hyperlink" Target="https://odysia-cruise-uk.client.prod.eu-west.dreamlake.io/cruise-lines/seabourn/cruises" TargetMode="External"/><Relationship Id="rId134" Type="http://schemas.openxmlformats.org/officeDocument/2006/relationships/hyperlink" Target="https://odysia-cruise-uk.client.prod.eu-west.dreamlake.io/cruise-lines/holland-america-line/westerdam" TargetMode="External"/><Relationship Id="rId255" Type="http://schemas.openxmlformats.org/officeDocument/2006/relationships/hyperlink" Target="https://odysia-cruise-uk.client.prod.eu-west.dreamlake.io/cruise-lines/po-cruises/aurora" TargetMode="External"/><Relationship Id="rId376" Type="http://schemas.openxmlformats.org/officeDocument/2006/relationships/hyperlink" Target="https://odysia-cruise-uk.client.prod.eu-west.dreamlake.io/cruise-lines/seabourn" TargetMode="External"/><Relationship Id="rId133" Type="http://schemas.openxmlformats.org/officeDocument/2006/relationships/hyperlink" Target="https://odysia-cruise-uk.client.prod.eu-west.dreamlake.io/cruise-lines/holland-america-line/volendam/cruises" TargetMode="External"/><Relationship Id="rId254" Type="http://schemas.openxmlformats.org/officeDocument/2006/relationships/hyperlink" Target="https://odysia-cruise-uk.client.prod.eu-west.dreamlake.io/cruise-lines/po-cruises/arvia/cruises" TargetMode="External"/><Relationship Id="rId375" Type="http://schemas.openxmlformats.org/officeDocument/2006/relationships/hyperlink" Target="https://odysia-cruise-uk.client.prod.eu-west.dreamlake.io/cruise-lines/royal-caribbean/wonder-of-the-seas/cruises" TargetMode="External"/><Relationship Id="rId172" Type="http://schemas.openxmlformats.org/officeDocument/2006/relationships/hyperlink" Target="https://odysia-cruise-uk.client.prod.eu-west.dreamlake.io/cruise-lines/msc-cruises/msc-seashore" TargetMode="External"/><Relationship Id="rId293" Type="http://schemas.openxmlformats.org/officeDocument/2006/relationships/hyperlink" Target="https://odysia-cruise-uk.client.prod.eu-west.dreamlake.io/cruise-lines/princess-cruises/ruby-princess/cruises" TargetMode="External"/><Relationship Id="rId171" Type="http://schemas.openxmlformats.org/officeDocument/2006/relationships/hyperlink" Target="https://odysia-cruise-uk.client.prod.eu-west.dreamlake.io/cruise-lines/msc-cruises/msc-seascape/cruises" TargetMode="External"/><Relationship Id="rId292" Type="http://schemas.openxmlformats.org/officeDocument/2006/relationships/hyperlink" Target="https://odysia-cruise-uk.client.prod.eu-west.dreamlake.io/cruise-lines/princess-cruises/ruby-princess" TargetMode="External"/><Relationship Id="rId170" Type="http://schemas.openxmlformats.org/officeDocument/2006/relationships/hyperlink" Target="https://odysia-cruise-uk.client.prod.eu-west.dreamlake.io/cruise-lines/msc-cruises/msc-seascape" TargetMode="External"/><Relationship Id="rId291" Type="http://schemas.openxmlformats.org/officeDocument/2006/relationships/hyperlink" Target="https://odysia-cruise-uk.client.prod.eu-west.dreamlake.io/cruise-lines/princess-cruises/royal-princess/cruises" TargetMode="External"/><Relationship Id="rId290" Type="http://schemas.openxmlformats.org/officeDocument/2006/relationships/hyperlink" Target="https://odysia-cruise-uk.client.prod.eu-west.dreamlake.io/cruise-lines/princess-cruises/royal-princess" TargetMode="External"/><Relationship Id="rId165" Type="http://schemas.openxmlformats.org/officeDocument/2006/relationships/hyperlink" Target="https://odysia-cruise-uk.client.prod.eu-west.dreamlake.io/cruise-lines/msc-cruises/msc-orchestra/cruises" TargetMode="External"/><Relationship Id="rId286" Type="http://schemas.openxmlformats.org/officeDocument/2006/relationships/hyperlink" Target="https://odysia-cruise-uk.client.prod.eu-west.dreamlake.io/cruise-lines/princess-cruises/majestic-princess" TargetMode="External"/><Relationship Id="rId164" Type="http://schemas.openxmlformats.org/officeDocument/2006/relationships/hyperlink" Target="https://odysia-cruise-uk.client.prod.eu-west.dreamlake.io/cruise-lines/msc-cruises/msc-orchestra" TargetMode="External"/><Relationship Id="rId285" Type="http://schemas.openxmlformats.org/officeDocument/2006/relationships/hyperlink" Target="https://odysia-cruise-uk.client.prod.eu-west.dreamlake.io/cruise-lines/princess-cruises/island-princess/cruises" TargetMode="External"/><Relationship Id="rId163" Type="http://schemas.openxmlformats.org/officeDocument/2006/relationships/hyperlink" Target="https://odysia-cruise-uk.client.prod.eu-west.dreamlake.io/cruise-lines/msc-cruises/msc-opera/cruises" TargetMode="External"/><Relationship Id="rId284" Type="http://schemas.openxmlformats.org/officeDocument/2006/relationships/hyperlink" Target="https://odysia-cruise-uk.client.prod.eu-west.dreamlake.io/cruise-lines/princess-cruises/island-princess" TargetMode="External"/><Relationship Id="rId162" Type="http://schemas.openxmlformats.org/officeDocument/2006/relationships/hyperlink" Target="https://odysia-cruise-uk.client.prod.eu-west.dreamlake.io/cruise-lines/msc-cruises/msc-opera" TargetMode="External"/><Relationship Id="rId283" Type="http://schemas.openxmlformats.org/officeDocument/2006/relationships/hyperlink" Target="https://odysia-cruise-uk.client.prod.eu-west.dreamlake.io/cruise-lines/princess-cruises/grand-princess/cruises" TargetMode="External"/><Relationship Id="rId169" Type="http://schemas.openxmlformats.org/officeDocument/2006/relationships/hyperlink" Target="https://odysia-cruise-uk.client.prod.eu-west.dreamlake.io/cruise-lines/msc-cruises/msc-preziosa/cruises" TargetMode="External"/><Relationship Id="rId168" Type="http://schemas.openxmlformats.org/officeDocument/2006/relationships/hyperlink" Target="https://odysia-cruise-uk.client.prod.eu-west.dreamlake.io/cruise-lines/msc-cruises/msc-preziosa" TargetMode="External"/><Relationship Id="rId289" Type="http://schemas.openxmlformats.org/officeDocument/2006/relationships/hyperlink" Target="https://odysia-cruise-uk.client.prod.eu-west.dreamlake.io/cruise-lines/princess-cruises/regal-princess/cruises" TargetMode="External"/><Relationship Id="rId167" Type="http://schemas.openxmlformats.org/officeDocument/2006/relationships/hyperlink" Target="https://odysia-cruise-uk.client.prod.eu-west.dreamlake.io/cruise-lines/msc-cruises/msc-poesia/cruises" TargetMode="External"/><Relationship Id="rId288" Type="http://schemas.openxmlformats.org/officeDocument/2006/relationships/hyperlink" Target="https://odysia-cruise-uk.client.prod.eu-west.dreamlake.io/cruise-lines/princess-cruises/regal-princess" TargetMode="External"/><Relationship Id="rId166" Type="http://schemas.openxmlformats.org/officeDocument/2006/relationships/hyperlink" Target="https://odysia-cruise-uk.client.prod.eu-west.dreamlake.io/cruise-lines/msc-cruises/msc-poesia" TargetMode="External"/><Relationship Id="rId287" Type="http://schemas.openxmlformats.org/officeDocument/2006/relationships/hyperlink" Target="https://odysia-cruise-uk.client.prod.eu-west.dreamlake.io/cruise-lines/princess-cruises/majestic-princess/cruises" TargetMode="External"/><Relationship Id="rId161" Type="http://schemas.openxmlformats.org/officeDocument/2006/relationships/hyperlink" Target="https://odysia-cruise-uk.client.prod.eu-west.dreamlake.io/cruise-lines/msc-cruises/msc-musica/cruises" TargetMode="External"/><Relationship Id="rId282" Type="http://schemas.openxmlformats.org/officeDocument/2006/relationships/hyperlink" Target="https://odysia-cruise-uk.client.prod.eu-west.dreamlake.io/cruise-lines/princess-cruises/grand-princess" TargetMode="External"/><Relationship Id="rId160" Type="http://schemas.openxmlformats.org/officeDocument/2006/relationships/hyperlink" Target="https://odysia-cruise-uk.client.prod.eu-west.dreamlake.io/cruise-lines/msc-cruises/msc-musica" TargetMode="External"/><Relationship Id="rId281" Type="http://schemas.openxmlformats.org/officeDocument/2006/relationships/hyperlink" Target="https://odysia-cruise-uk.client.prod.eu-west.dreamlake.io/cruise-lines/princess-cruises/enchanted-princess/cruises" TargetMode="External"/><Relationship Id="rId280" Type="http://schemas.openxmlformats.org/officeDocument/2006/relationships/hyperlink" Target="https://odysia-cruise-uk.client.prod.eu-west.dreamlake.io/cruise-lines/princess-cruises/enchanted-princess" TargetMode="External"/><Relationship Id="rId159" Type="http://schemas.openxmlformats.org/officeDocument/2006/relationships/hyperlink" Target="https://odysia-cruise-uk.client.prod.eu-west.dreamlake.io/cruise-lines/msc-cruises/msc-meraviglia/cruises" TargetMode="External"/><Relationship Id="rId154" Type="http://schemas.openxmlformats.org/officeDocument/2006/relationships/hyperlink" Target="https://odysia-cruise-uk.client.prod.eu-west.dreamlake.io/cruise-lines/msc-cruises/msc-lirica" TargetMode="External"/><Relationship Id="rId275" Type="http://schemas.openxmlformats.org/officeDocument/2006/relationships/hyperlink" Target="https://odysia-cruise-uk.client.prod.eu-west.dreamlake.io/cruise-lines/princess-cruises/diamond-princess/cruises" TargetMode="External"/><Relationship Id="rId396" Type="http://schemas.openxmlformats.org/officeDocument/2006/relationships/hyperlink" Target="https://odysia-cruise-uk.client.prod.eu-west.dreamlake.io/cruise-lines/virgin-voyages/scarlet-lady" TargetMode="External"/><Relationship Id="rId153" Type="http://schemas.openxmlformats.org/officeDocument/2006/relationships/hyperlink" Target="https://odysia-cruise-uk.client.prod.eu-west.dreamlake.io/cruise-lines/msc-cruises/msc-grandiosa/cruises" TargetMode="External"/><Relationship Id="rId274" Type="http://schemas.openxmlformats.org/officeDocument/2006/relationships/hyperlink" Target="https://odysia-cruise-uk.client.prod.eu-west.dreamlake.io/cruise-lines/princess-cruises/diamond-princess" TargetMode="External"/><Relationship Id="rId395" Type="http://schemas.openxmlformats.org/officeDocument/2006/relationships/hyperlink" Target="https://odysia-cruise-uk.client.prod.eu-west.dreamlake.io/cruise-lines/virgin-voyages/resilient-lady/cruises" TargetMode="External"/><Relationship Id="rId152" Type="http://schemas.openxmlformats.org/officeDocument/2006/relationships/hyperlink" Target="https://odysia-cruise-uk.client.prod.eu-west.dreamlake.io/cruise-lines/msc-cruises/msc-grandiosa" TargetMode="External"/><Relationship Id="rId273" Type="http://schemas.openxmlformats.org/officeDocument/2006/relationships/hyperlink" Target="https://odysia-cruise-uk.client.prod.eu-west.dreamlake.io/cruise-lines/princess-cruises/cruises" TargetMode="External"/><Relationship Id="rId394" Type="http://schemas.openxmlformats.org/officeDocument/2006/relationships/hyperlink" Target="https://odysia-cruise-uk.client.prod.eu-west.dreamlake.io/cruise-lines/virgin-voyages/resilient-lady" TargetMode="External"/><Relationship Id="rId151" Type="http://schemas.openxmlformats.org/officeDocument/2006/relationships/hyperlink" Target="https://odysia-cruise-uk.client.prod.eu-west.dreamlake.io/cruise-lines/msc-cruises/msc-fantasia/cruises" TargetMode="External"/><Relationship Id="rId272" Type="http://schemas.openxmlformats.org/officeDocument/2006/relationships/hyperlink" Target="https://odysia-cruise-uk.client.prod.eu-west.dreamlake.io/cruise-lines/princess-cruises/crown-princess/cruises" TargetMode="External"/><Relationship Id="rId393" Type="http://schemas.openxmlformats.org/officeDocument/2006/relationships/hyperlink" Target="https://odysia-cruise-uk.client.prod.eu-west.dreamlake.io/cruise-lines/virgin-voyages/cruises" TargetMode="External"/><Relationship Id="rId158" Type="http://schemas.openxmlformats.org/officeDocument/2006/relationships/hyperlink" Target="https://odysia-cruise-uk.client.prod.eu-west.dreamlake.io/cruise-lines/msc-cruises/msc-meraviglia" TargetMode="External"/><Relationship Id="rId279" Type="http://schemas.openxmlformats.org/officeDocument/2006/relationships/hyperlink" Target="https://odysia-cruise-uk.client.prod.eu-west.dreamlake.io/cruise-lines/princess-cruises/emerald-princess/cruises" TargetMode="External"/><Relationship Id="rId157" Type="http://schemas.openxmlformats.org/officeDocument/2006/relationships/hyperlink" Target="https://odysia-cruise-uk.client.prod.eu-west.dreamlake.io/cruise-lines/msc-cruises/msc-magnifica/cruises" TargetMode="External"/><Relationship Id="rId278" Type="http://schemas.openxmlformats.org/officeDocument/2006/relationships/hyperlink" Target="https://odysia-cruise-uk.client.prod.eu-west.dreamlake.io/cruise-lines/princess-cruises/emerald-princess" TargetMode="External"/><Relationship Id="rId399" Type="http://schemas.openxmlformats.org/officeDocument/2006/relationships/hyperlink" Target="https://odysia-cruise-uk.client.prod.eu-west.dreamlake.io/cruise-lines/virgin-voyages/valiant-lady/cruises" TargetMode="External"/><Relationship Id="rId156" Type="http://schemas.openxmlformats.org/officeDocument/2006/relationships/hyperlink" Target="https://odysia-cruise-uk.client.prod.eu-west.dreamlake.io/cruise-lines/msc-cruises/msc-magnifica" TargetMode="External"/><Relationship Id="rId277" Type="http://schemas.openxmlformats.org/officeDocument/2006/relationships/hyperlink" Target="https://odysia-cruise-uk.client.prod.eu-west.dreamlake.io/cruise-lines/princess-cruises/discovery-princess/cruises" TargetMode="External"/><Relationship Id="rId398" Type="http://schemas.openxmlformats.org/officeDocument/2006/relationships/hyperlink" Target="https://odysia-cruise-uk.client.prod.eu-west.dreamlake.io/cruise-lines/virgin-voyages/valiant-lady" TargetMode="External"/><Relationship Id="rId155" Type="http://schemas.openxmlformats.org/officeDocument/2006/relationships/hyperlink" Target="https://odysia-cruise-uk.client.prod.eu-west.dreamlake.io/cruise-lines/msc-cruises/msc-lirica/cruises" TargetMode="External"/><Relationship Id="rId276" Type="http://schemas.openxmlformats.org/officeDocument/2006/relationships/hyperlink" Target="https://odysia-cruise-uk.client.prod.eu-west.dreamlake.io/cruise-lines/princess-cruises/discovery-princess" TargetMode="External"/><Relationship Id="rId397" Type="http://schemas.openxmlformats.org/officeDocument/2006/relationships/hyperlink" Target="https://odysia-cruise-uk.client.prod.eu-west.dreamlake.io/cruise-lines/virgin-voyages/scarlet-lady/cruises" TargetMode="External"/><Relationship Id="rId40" Type="http://schemas.openxmlformats.org/officeDocument/2006/relationships/hyperlink" Target="https://odysia-cruise-uk.client.prod.eu-west.dreamlake.io/cruise-lines/celebrity-cruises/celebrity-apex" TargetMode="External"/><Relationship Id="rId42" Type="http://schemas.openxmlformats.org/officeDocument/2006/relationships/hyperlink" Target="https://odysia-cruise-uk.client.prod.eu-west.dreamlake.io/cruise-lines/celebrity-cruises/celebrity-ascent" TargetMode="External"/><Relationship Id="rId41" Type="http://schemas.openxmlformats.org/officeDocument/2006/relationships/hyperlink" Target="https://odysia-cruise-uk.client.prod.eu-west.dreamlake.io/cruise-lines/celebrity-cruises/celebrity-apex/cruises" TargetMode="External"/><Relationship Id="rId44" Type="http://schemas.openxmlformats.org/officeDocument/2006/relationships/hyperlink" Target="https://odysia-cruise-uk.client.prod.eu-west.dreamlake.io/cruise-lines/celebrity-cruises/celebrity-beyond" TargetMode="External"/><Relationship Id="rId43" Type="http://schemas.openxmlformats.org/officeDocument/2006/relationships/hyperlink" Target="https://odysia-cruise-uk.client.prod.eu-west.dreamlake.io/cruise-lines/celebrity-cruises/celebrity-ascent/cruises" TargetMode="External"/><Relationship Id="rId46" Type="http://schemas.openxmlformats.org/officeDocument/2006/relationships/hyperlink" Target="https://odysia-cruise-uk.client.prod.eu-west.dreamlake.io/cruise-lines/celebrity-cruises/celebrity-constellation" TargetMode="External"/><Relationship Id="rId45" Type="http://schemas.openxmlformats.org/officeDocument/2006/relationships/hyperlink" Target="https://odysia-cruise-uk.client.prod.eu-west.dreamlake.io/cruise-lines/celebrity-cruises/celebrity-beyond/cruises" TargetMode="External"/><Relationship Id="rId48" Type="http://schemas.openxmlformats.org/officeDocument/2006/relationships/hyperlink" Target="https://odysia-cruise-uk.client.prod.eu-west.dreamlake.io/cruise-lines/celebrity-cruises/celebrity-eclipse" TargetMode="External"/><Relationship Id="rId47" Type="http://schemas.openxmlformats.org/officeDocument/2006/relationships/hyperlink" Target="https://odysia-cruise-uk.client.prod.eu-west.dreamlake.io/cruise-lines/celebrity-cruises/celebrity-constellation/cruises" TargetMode="External"/><Relationship Id="rId49" Type="http://schemas.openxmlformats.org/officeDocument/2006/relationships/hyperlink" Target="https://odysia-cruise-uk.client.prod.eu-west.dreamlake.io/cruise-lines/celebrity-cruises/celebrity-eclipse/cruises" TargetMode="External"/><Relationship Id="rId31" Type="http://schemas.openxmlformats.org/officeDocument/2006/relationships/hyperlink" Target="https://odysia-cruise-uk.client.prod.eu-west.dreamlake.io/cruise-lines/azamara/azamara-journey" TargetMode="External"/><Relationship Id="rId30" Type="http://schemas.openxmlformats.org/officeDocument/2006/relationships/hyperlink" Target="https://odysia-cruise-uk.client.prod.eu-west.dreamlake.io/cruise-lines/azamara" TargetMode="External"/><Relationship Id="rId33" Type="http://schemas.openxmlformats.org/officeDocument/2006/relationships/hyperlink" Target="https://odysia-cruise-uk.client.prod.eu-west.dreamlake.io/cruise-lines/azamara/azamara-onward" TargetMode="External"/><Relationship Id="rId32" Type="http://schemas.openxmlformats.org/officeDocument/2006/relationships/hyperlink" Target="https://odysia-cruise-uk.client.prod.eu-west.dreamlake.io/cruise-lines/azamara/azamara-journey/cruises" TargetMode="External"/><Relationship Id="rId35" Type="http://schemas.openxmlformats.org/officeDocument/2006/relationships/hyperlink" Target="https://odysia-cruise-uk.client.prod.eu-west.dreamlake.io/cruise-lines/azamara/azamara-pursuit/cruises" TargetMode="External"/><Relationship Id="rId34" Type="http://schemas.openxmlformats.org/officeDocument/2006/relationships/hyperlink" Target="https://odysia-cruise-uk.client.prod.eu-west.dreamlake.io/cruise-lines/azamara/azamara-pursuit" TargetMode="External"/><Relationship Id="rId37" Type="http://schemas.openxmlformats.org/officeDocument/2006/relationships/hyperlink" Target="https://odysia-cruise-uk.client.prod.eu-west.dreamlake.io/cruise-lines/azamara/azamara-quest/cruises" TargetMode="External"/><Relationship Id="rId36" Type="http://schemas.openxmlformats.org/officeDocument/2006/relationships/hyperlink" Target="https://odysia-cruise-uk.client.prod.eu-west.dreamlake.io/cruise-lines/azamara/azamara-quest" TargetMode="External"/><Relationship Id="rId39" Type="http://schemas.openxmlformats.org/officeDocument/2006/relationships/hyperlink" Target="https://odysia-cruise-uk.client.prod.eu-west.dreamlake.io/cruise-lines/celebrity-cruises" TargetMode="External"/><Relationship Id="rId38" Type="http://schemas.openxmlformats.org/officeDocument/2006/relationships/hyperlink" Target="https://odysia-cruise-uk.client.prod.eu-west.dreamlake.io/cruise-lines/azamara/cruises" TargetMode="External"/><Relationship Id="rId20" Type="http://schemas.openxmlformats.org/officeDocument/2006/relationships/hyperlink" Target="https://odysia-cruise-uk.client.prod.eu-west.dreamlake.io/cruise-deals/mini-cruises" TargetMode="External"/><Relationship Id="rId22" Type="http://schemas.openxmlformats.org/officeDocument/2006/relationships/hyperlink" Target="https://odysia-cruise-uk.client.prod.eu-west.dreamlake.io/cruise-lines/ambassador-cruise-line" TargetMode="External"/><Relationship Id="rId21" Type="http://schemas.openxmlformats.org/officeDocument/2006/relationships/hyperlink" Target="https://odysia-cruise-uk.client.prod.eu-west.dreamlake.io/cruise-lines" TargetMode="External"/><Relationship Id="rId24" Type="http://schemas.openxmlformats.org/officeDocument/2006/relationships/hyperlink" Target="https://odysia-cruise-uk.client.prod.eu-west.dreamlake.io/cruise-lines/ambassador-cruise-line/ambience/cruises" TargetMode="External"/><Relationship Id="rId23" Type="http://schemas.openxmlformats.org/officeDocument/2006/relationships/hyperlink" Target="https://odysia-cruise-uk.client.prod.eu-west.dreamlake.io/cruise-lines/ambassador-cruise-line/ambience" TargetMode="External"/><Relationship Id="rId409" Type="http://schemas.openxmlformats.org/officeDocument/2006/relationships/hyperlink" Target="https://odysia-cruise-uk.client.prod.eu-west.dreamlake.io/destinations/canary-islands" TargetMode="External"/><Relationship Id="rId404" Type="http://schemas.openxmlformats.org/officeDocument/2006/relationships/hyperlink" Target="https://odysia-cruise-uk.client.prod.eu-west.dreamlake.io/destinations/australasia" TargetMode="External"/><Relationship Id="rId403" Type="http://schemas.openxmlformats.org/officeDocument/2006/relationships/hyperlink" Target="https://odysia-cruise-uk.client.prod.eu-west.dreamlake.io/destinations/africa/cruises" TargetMode="External"/><Relationship Id="rId402" Type="http://schemas.openxmlformats.org/officeDocument/2006/relationships/hyperlink" Target="https://odysia-cruise-uk.client.prod.eu-west.dreamlake.io/destinations/africa" TargetMode="External"/><Relationship Id="rId401" Type="http://schemas.openxmlformats.org/officeDocument/2006/relationships/hyperlink" Target="https://odysia-cruise-uk.client.prod.eu-west.dreamlake.io/destinations" TargetMode="External"/><Relationship Id="rId408" Type="http://schemas.openxmlformats.org/officeDocument/2006/relationships/hyperlink" Target="https://odysia-cruise-uk.client.prod.eu-west.dreamlake.io/destinations/canada" TargetMode="External"/><Relationship Id="rId407" Type="http://schemas.openxmlformats.org/officeDocument/2006/relationships/hyperlink" Target="https://odysia-cruise-uk.client.prod.eu-west.dreamlake.io/destinations/british-isles/cruises" TargetMode="External"/><Relationship Id="rId406" Type="http://schemas.openxmlformats.org/officeDocument/2006/relationships/hyperlink" Target="https://odysia-cruise-uk.client.prod.eu-west.dreamlake.io/destinations/british-isles" TargetMode="External"/><Relationship Id="rId405" Type="http://schemas.openxmlformats.org/officeDocument/2006/relationships/hyperlink" Target="https://odysia-cruise-uk.client.prod.eu-west.dreamlake.io/destinations/australasia/cruises" TargetMode="External"/><Relationship Id="rId26" Type="http://schemas.openxmlformats.org/officeDocument/2006/relationships/hyperlink" Target="https://odysia-cruise-uk.client.prod.eu-west.dreamlake.io/cruise-lines/ambassador-cruise-line/ambition/cruises" TargetMode="External"/><Relationship Id="rId25" Type="http://schemas.openxmlformats.org/officeDocument/2006/relationships/hyperlink" Target="https://odysia-cruise-uk.client.prod.eu-west.dreamlake.io/cruise-lines/ambassador-cruise-line/ambition" TargetMode="External"/><Relationship Id="rId28" Type="http://schemas.openxmlformats.org/officeDocument/2006/relationships/hyperlink" Target="https://odysia-cruise-uk.client.prod.eu-west.dreamlake.io/cruise-lines/ambassador-cruise-line/renaissance" TargetMode="External"/><Relationship Id="rId27" Type="http://schemas.openxmlformats.org/officeDocument/2006/relationships/hyperlink" Target="https://odysia-cruise-uk.client.prod.eu-west.dreamlake.io/cruise-lines/ambassador-cruise-line/cruises" TargetMode="External"/><Relationship Id="rId400" Type="http://schemas.openxmlformats.org/officeDocument/2006/relationships/hyperlink" Target="https://odysia-cruise-uk.client.prod.eu-west.dreamlake.io/cruises" TargetMode="External"/><Relationship Id="rId29" Type="http://schemas.openxmlformats.org/officeDocument/2006/relationships/hyperlink" Target="https://odysia-cruise-uk.client.prod.eu-west.dreamlake.io/cruise-lines/ambassador-cruise-line/renaissance/cruises" TargetMode="External"/><Relationship Id="rId11" Type="http://schemas.openxmlformats.org/officeDocument/2006/relationships/hyperlink" Target="https://odysia-cruise-uk.client.prod.eu-west.dreamlake.io/cruise-deals/cruises-from-newcastle" TargetMode="External"/><Relationship Id="rId10" Type="http://schemas.openxmlformats.org/officeDocument/2006/relationships/hyperlink" Target="https://odysia-cruise-uk.client.prod.eu-west.dreamlake.io/cruise-deals/cruises-from-liverpool" TargetMode="External"/><Relationship Id="rId13" Type="http://schemas.openxmlformats.org/officeDocument/2006/relationships/hyperlink" Target="https://odysia-cruise-uk.client.prod.eu-west.dreamlake.io/cruise-deals/cruises-from-scotland" TargetMode="External"/><Relationship Id="rId12" Type="http://schemas.openxmlformats.org/officeDocument/2006/relationships/hyperlink" Target="https://odysia-cruise-uk.client.prod.eu-west.dreamlake.io/cruise-deals/cruises-from-portsmouth" TargetMode="External"/><Relationship Id="rId15" Type="http://schemas.openxmlformats.org/officeDocument/2006/relationships/hyperlink" Target="https://odysia-cruise-uk.client.prod.eu-west.dreamlake.io/cruise-deals/cruises-from-the-uk" TargetMode="External"/><Relationship Id="rId14" Type="http://schemas.openxmlformats.org/officeDocument/2006/relationships/hyperlink" Target="https://odysia-cruise-uk.client.prod.eu-west.dreamlake.io/cruise-deals/cruises-from-southampton" TargetMode="External"/><Relationship Id="rId17" Type="http://schemas.openxmlformats.org/officeDocument/2006/relationships/hyperlink" Target="https://odysia-cruise-uk.client.prod.eu-west.dreamlake.io/cruise-deals/family-cruise-deals" TargetMode="External"/><Relationship Id="rId16" Type="http://schemas.openxmlformats.org/officeDocument/2006/relationships/hyperlink" Target="https://odysia-cruise-uk.client.prod.eu-west.dreamlake.io/cruise-deals/cruises-from-tilbury" TargetMode="External"/><Relationship Id="rId19" Type="http://schemas.openxmlformats.org/officeDocument/2006/relationships/hyperlink" Target="https://odysia-cruise-uk.client.prod.eu-west.dreamlake.io/cruise-deals/last-minute-cruises" TargetMode="External"/><Relationship Id="rId18" Type="http://schemas.openxmlformats.org/officeDocument/2006/relationships/hyperlink" Target="https://odysia-cruise-uk.client.prod.eu-west.dreamlake.io/cruise-deals/fly-cruise-deals" TargetMode="External"/><Relationship Id="rId84" Type="http://schemas.openxmlformats.org/officeDocument/2006/relationships/hyperlink" Target="https://odysia-cruise-uk.client.prod.eu-west.dreamlake.io/cruise-lines/costa-cruises/costa-serena" TargetMode="External"/><Relationship Id="rId83" Type="http://schemas.openxmlformats.org/officeDocument/2006/relationships/hyperlink" Target="https://odysia-cruise-uk.client.prod.eu-west.dreamlake.io/cruise-lines/costa-cruises/costa-pacifica/cruises" TargetMode="External"/><Relationship Id="rId86" Type="http://schemas.openxmlformats.org/officeDocument/2006/relationships/hyperlink" Target="https://odysia-cruise-uk.client.prod.eu-west.dreamlake.io/cruise-lines/costa-cruises/costa-smeralda" TargetMode="External"/><Relationship Id="rId85" Type="http://schemas.openxmlformats.org/officeDocument/2006/relationships/hyperlink" Target="https://odysia-cruise-uk.client.prod.eu-west.dreamlake.io/cruise-lines/costa-cruises/costa-serena/cruises" TargetMode="External"/><Relationship Id="rId88" Type="http://schemas.openxmlformats.org/officeDocument/2006/relationships/hyperlink" Target="https://odysia-cruise-uk.client.prod.eu-west.dreamlake.io/cruise-lines/costa-cruises/costa-toscana" TargetMode="External"/><Relationship Id="rId87" Type="http://schemas.openxmlformats.org/officeDocument/2006/relationships/hyperlink" Target="https://odysia-cruise-uk.client.prod.eu-west.dreamlake.io/cruise-lines/costa-cruises/costa-smeralda/cruises" TargetMode="External"/><Relationship Id="rId89" Type="http://schemas.openxmlformats.org/officeDocument/2006/relationships/hyperlink" Target="https://odysia-cruise-uk.client.prod.eu-west.dreamlake.io/cruise-lines/costa-cruises/costa-toscana/cruises" TargetMode="External"/><Relationship Id="rId80" Type="http://schemas.openxmlformats.org/officeDocument/2006/relationships/hyperlink" Target="https://odysia-cruise-uk.client.prod.eu-west.dreamlake.io/cruise-lines/costa-cruises/costa-fortuna" TargetMode="External"/><Relationship Id="rId82" Type="http://schemas.openxmlformats.org/officeDocument/2006/relationships/hyperlink" Target="https://odysia-cruise-uk.client.prod.eu-west.dreamlake.io/cruise-lines/costa-cruises/costa-pacifica" TargetMode="External"/><Relationship Id="rId81" Type="http://schemas.openxmlformats.org/officeDocument/2006/relationships/hyperlink" Target="https://odysia-cruise-uk.client.prod.eu-west.dreamlake.io/cruise-lines/costa-cruises/costa-fortuna/cruises" TargetMode="External"/><Relationship Id="rId73" Type="http://schemas.openxmlformats.org/officeDocument/2006/relationships/hyperlink" Target="https://odysia-cruise-uk.client.prod.eu-west.dreamlake.io/cruise-lines/costa-cruises/costa-deliziosa/cruises" TargetMode="External"/><Relationship Id="rId72" Type="http://schemas.openxmlformats.org/officeDocument/2006/relationships/hyperlink" Target="https://odysia-cruise-uk.client.prod.eu-west.dreamlake.io/cruise-lines/costa-cruises/costa-deliziosa" TargetMode="External"/><Relationship Id="rId75" Type="http://schemas.openxmlformats.org/officeDocument/2006/relationships/hyperlink" Target="https://odysia-cruise-uk.client.prod.eu-west.dreamlake.io/cruise-lines/costa-cruises/costa-diadema/cruises" TargetMode="External"/><Relationship Id="rId74" Type="http://schemas.openxmlformats.org/officeDocument/2006/relationships/hyperlink" Target="https://odysia-cruise-uk.client.prod.eu-west.dreamlake.io/cruise-lines/costa-cruises/costa-diadema" TargetMode="External"/><Relationship Id="rId77" Type="http://schemas.openxmlformats.org/officeDocument/2006/relationships/hyperlink" Target="https://odysia-cruise-uk.client.prod.eu-west.dreamlake.io/cruise-lines/costa-cruises/costa-fascinosa/cruises" TargetMode="External"/><Relationship Id="rId76" Type="http://schemas.openxmlformats.org/officeDocument/2006/relationships/hyperlink" Target="https://odysia-cruise-uk.client.prod.eu-west.dreamlake.io/cruise-lines/costa-cruises/costa-fascinosa" TargetMode="External"/><Relationship Id="rId79" Type="http://schemas.openxmlformats.org/officeDocument/2006/relationships/hyperlink" Target="https://odysia-cruise-uk.client.prod.eu-west.dreamlake.io/cruise-lines/costa-cruises/costa-favolosa/cruises" TargetMode="External"/><Relationship Id="rId78" Type="http://schemas.openxmlformats.org/officeDocument/2006/relationships/hyperlink" Target="https://odysia-cruise-uk.client.prod.eu-west.dreamlake.io/cruise-lines/costa-cruises/costa-favolosa" TargetMode="External"/><Relationship Id="rId71" Type="http://schemas.openxmlformats.org/officeDocument/2006/relationships/hyperlink" Target="https://odysia-cruise-uk.client.prod.eu-west.dreamlake.io/cruise-lines/costa-cruises" TargetMode="External"/><Relationship Id="rId70" Type="http://schemas.openxmlformats.org/officeDocument/2006/relationships/hyperlink" Target="https://odysia-cruise-uk.client.prod.eu-west.dreamlake.io/cruise-lines/celebrity-cruises/cruises" TargetMode="External"/><Relationship Id="rId62" Type="http://schemas.openxmlformats.org/officeDocument/2006/relationships/hyperlink" Target="https://odysia-cruise-uk.client.prod.eu-west.dreamlake.io/cruise-lines/celebrity-cruises/celebrity-silhouette" TargetMode="External"/><Relationship Id="rId61" Type="http://schemas.openxmlformats.org/officeDocument/2006/relationships/hyperlink" Target="https://odysia-cruise-uk.client.prod.eu-west.dreamlake.io/cruise-lines/celebrity-cruises/celebrity-reflection/cruises" TargetMode="External"/><Relationship Id="rId64" Type="http://schemas.openxmlformats.org/officeDocument/2006/relationships/hyperlink" Target="https://odysia-cruise-uk.client.prod.eu-west.dreamlake.io/cruise-lines/celebrity-cruises/celebrity-solstice" TargetMode="External"/><Relationship Id="rId63" Type="http://schemas.openxmlformats.org/officeDocument/2006/relationships/hyperlink" Target="https://odysia-cruise-uk.client.prod.eu-west.dreamlake.io/cruise-lines/celebrity-cruises/celebrity-silhouette/cruises" TargetMode="External"/><Relationship Id="rId66" Type="http://schemas.openxmlformats.org/officeDocument/2006/relationships/hyperlink" Target="https://odysia-cruise-uk.client.prod.eu-west.dreamlake.io/cruise-lines/celebrity-cruises/celebrity-summit" TargetMode="External"/><Relationship Id="rId65" Type="http://schemas.openxmlformats.org/officeDocument/2006/relationships/hyperlink" Target="https://odysia-cruise-uk.client.prod.eu-west.dreamlake.io/cruise-lines/celebrity-cruises/celebrity-solstice/cruises" TargetMode="External"/><Relationship Id="rId68" Type="http://schemas.openxmlformats.org/officeDocument/2006/relationships/hyperlink" Target="https://odysia-cruise-uk.client.prod.eu-west.dreamlake.io/cruise-lines/celebrity-cruises/celebrity-xcel" TargetMode="External"/><Relationship Id="rId67" Type="http://schemas.openxmlformats.org/officeDocument/2006/relationships/hyperlink" Target="https://odysia-cruise-uk.client.prod.eu-west.dreamlake.io/cruise-lines/celebrity-cruises/celebrity-summit/cruises" TargetMode="External"/><Relationship Id="rId60" Type="http://schemas.openxmlformats.org/officeDocument/2006/relationships/hyperlink" Target="https://odysia-cruise-uk.client.prod.eu-west.dreamlake.io/cruise-lines/celebrity-cruises/celebrity-reflection" TargetMode="External"/><Relationship Id="rId69" Type="http://schemas.openxmlformats.org/officeDocument/2006/relationships/hyperlink" Target="https://odysia-cruise-uk.client.prod.eu-west.dreamlake.io/cruise-lines/celebrity-cruises/celebrity-xcel/cruises" TargetMode="External"/><Relationship Id="rId51" Type="http://schemas.openxmlformats.org/officeDocument/2006/relationships/hyperlink" Target="https://odysia-cruise-uk.client.prod.eu-west.dreamlake.io/cruise-lines/celebrity-cruises/celebrity-edge/cruises" TargetMode="External"/><Relationship Id="rId50" Type="http://schemas.openxmlformats.org/officeDocument/2006/relationships/hyperlink" Target="https://odysia-cruise-uk.client.prod.eu-west.dreamlake.io/cruise-lines/celebrity-cruises/celebrity-edge" TargetMode="External"/><Relationship Id="rId53" Type="http://schemas.openxmlformats.org/officeDocument/2006/relationships/hyperlink" Target="https://odysia-cruise-uk.client.prod.eu-west.dreamlake.io/cruise-lines/celebrity-cruises/celebrity-equinox/cruises" TargetMode="External"/><Relationship Id="rId52" Type="http://schemas.openxmlformats.org/officeDocument/2006/relationships/hyperlink" Target="https://odysia-cruise-uk.client.prod.eu-west.dreamlake.io/cruise-lines/celebrity-cruises/celebrity-equinox" TargetMode="External"/><Relationship Id="rId55" Type="http://schemas.openxmlformats.org/officeDocument/2006/relationships/hyperlink" Target="https://odysia-cruise-uk.client.prod.eu-west.dreamlake.io/cruise-lines/celebrity-cruises/celebrity-flora/cruises" TargetMode="External"/><Relationship Id="rId54" Type="http://schemas.openxmlformats.org/officeDocument/2006/relationships/hyperlink" Target="https://odysia-cruise-uk.client.prod.eu-west.dreamlake.io/cruise-lines/celebrity-cruises/celebrity-flora" TargetMode="External"/><Relationship Id="rId57" Type="http://schemas.openxmlformats.org/officeDocument/2006/relationships/hyperlink" Target="https://odysia-cruise-uk.client.prod.eu-west.dreamlake.io/cruise-lines/celebrity-cruises/celebrity-infinity/cruises" TargetMode="External"/><Relationship Id="rId56" Type="http://schemas.openxmlformats.org/officeDocument/2006/relationships/hyperlink" Target="https://odysia-cruise-uk.client.prod.eu-west.dreamlake.io/cruise-lines/celebrity-cruises/celebrity-infinity" TargetMode="External"/><Relationship Id="rId59" Type="http://schemas.openxmlformats.org/officeDocument/2006/relationships/hyperlink" Target="https://odysia-cruise-uk.client.prod.eu-west.dreamlake.io/cruise-lines/celebrity-cruises/celebrity-millennium/cruises" TargetMode="External"/><Relationship Id="rId58" Type="http://schemas.openxmlformats.org/officeDocument/2006/relationships/hyperlink" Target="https://odysia-cruise-uk.client.prod.eu-west.dreamlake.io/cruise-lines/celebrity-cruises/celebrity-millennium" TargetMode="External"/><Relationship Id="rId107" Type="http://schemas.openxmlformats.org/officeDocument/2006/relationships/hyperlink" Target="https://odysia-cruise-uk.client.prod.eu-west.dreamlake.io/cruise-lines/explora-journeys/explora-iii" TargetMode="External"/><Relationship Id="rId228" Type="http://schemas.openxmlformats.org/officeDocument/2006/relationships/hyperlink" Target="https://odysia-cruise-uk.client.prod.eu-west.dreamlake.io/cruise-lines/norwegian-cruise-line/norwegian-viva" TargetMode="External"/><Relationship Id="rId349" Type="http://schemas.openxmlformats.org/officeDocument/2006/relationships/hyperlink" Target="https://odysia-cruise-uk.client.prod.eu-west.dreamlake.io/cruise-lines/royal-caribbean/oasis-of-the-seas" TargetMode="External"/><Relationship Id="rId106" Type="http://schemas.openxmlformats.org/officeDocument/2006/relationships/hyperlink" Target="https://odysia-cruise-uk.client.prod.eu-west.dreamlake.io/cruise-lines/explora-journeys/explora-ii/cruises" TargetMode="External"/><Relationship Id="rId227" Type="http://schemas.openxmlformats.org/officeDocument/2006/relationships/hyperlink" Target="https://odysia-cruise-uk.client.prod.eu-west.dreamlake.io/cruise-lines/norwegian-cruise-line/norwegian-sun/cruises" TargetMode="External"/><Relationship Id="rId348" Type="http://schemas.openxmlformats.org/officeDocument/2006/relationships/hyperlink" Target="https://odysia-cruise-uk.client.prod.eu-west.dreamlake.io/cruise-lines/royal-caribbean/navigator-of-the-seas/cruises" TargetMode="External"/><Relationship Id="rId105" Type="http://schemas.openxmlformats.org/officeDocument/2006/relationships/hyperlink" Target="https://odysia-cruise-uk.client.prod.eu-west.dreamlake.io/cruise-lines/explora-journeys/explora-ii" TargetMode="External"/><Relationship Id="rId226" Type="http://schemas.openxmlformats.org/officeDocument/2006/relationships/hyperlink" Target="https://odysia-cruise-uk.client.prod.eu-west.dreamlake.io/cruise-lines/norwegian-cruise-line/norwegian-sun" TargetMode="External"/><Relationship Id="rId347" Type="http://schemas.openxmlformats.org/officeDocument/2006/relationships/hyperlink" Target="https://odysia-cruise-uk.client.prod.eu-west.dreamlake.io/cruise-lines/royal-caribbean/navigator-of-the-seas" TargetMode="External"/><Relationship Id="rId104" Type="http://schemas.openxmlformats.org/officeDocument/2006/relationships/hyperlink" Target="https://odysia-cruise-uk.client.prod.eu-west.dreamlake.io/cruise-lines/explora-journeys/explora-i/cruises" TargetMode="External"/><Relationship Id="rId225" Type="http://schemas.openxmlformats.org/officeDocument/2006/relationships/hyperlink" Target="https://odysia-cruise-uk.client.prod.eu-west.dreamlake.io/cruise-lines/norwegian-cruise-line/norwegian-star/cruises" TargetMode="External"/><Relationship Id="rId346" Type="http://schemas.openxmlformats.org/officeDocument/2006/relationships/hyperlink" Target="https://odysia-cruise-uk.client.prod.eu-west.dreamlake.io/cruise-lines/royal-caribbean/mariner-of-the-seas/cruises" TargetMode="External"/><Relationship Id="rId109" Type="http://schemas.openxmlformats.org/officeDocument/2006/relationships/hyperlink" Target="https://odysia-cruise-uk.client.prod.eu-west.dreamlake.io/cruise-lines/fred-olsen-cruises" TargetMode="External"/><Relationship Id="rId108" Type="http://schemas.openxmlformats.org/officeDocument/2006/relationships/hyperlink" Target="https://odysia-cruise-uk.client.prod.eu-west.dreamlake.io/cruise-lines/explora-journeys/explora-iii/cruises" TargetMode="External"/><Relationship Id="rId229" Type="http://schemas.openxmlformats.org/officeDocument/2006/relationships/hyperlink" Target="https://odysia-cruise-uk.client.prod.eu-west.dreamlake.io/cruise-lines/norwegian-cruise-line/norwegian-viva/cruises" TargetMode="External"/><Relationship Id="rId220" Type="http://schemas.openxmlformats.org/officeDocument/2006/relationships/hyperlink" Target="https://odysia-cruise-uk.client.prod.eu-west.dreamlake.io/cruise-lines/norwegian-cruise-line/norwegian-sky" TargetMode="External"/><Relationship Id="rId341" Type="http://schemas.openxmlformats.org/officeDocument/2006/relationships/hyperlink" Target="https://odysia-cruise-uk.client.prod.eu-west.dreamlake.io/cruise-lines/royal-caribbean/legend-of-the-seas" TargetMode="External"/><Relationship Id="rId340" Type="http://schemas.openxmlformats.org/officeDocument/2006/relationships/hyperlink" Target="https://odysia-cruise-uk.client.prod.eu-west.dreamlake.io/cruise-lines/royal-caribbean/jewel-of-the-seas/cruises" TargetMode="External"/><Relationship Id="rId103" Type="http://schemas.openxmlformats.org/officeDocument/2006/relationships/hyperlink" Target="https://odysia-cruise-uk.client.prod.eu-west.dreamlake.io/cruise-lines/explora-journeys/explora-i" TargetMode="External"/><Relationship Id="rId224" Type="http://schemas.openxmlformats.org/officeDocument/2006/relationships/hyperlink" Target="https://odysia-cruise-uk.client.prod.eu-west.dreamlake.io/cruise-lines/norwegian-cruise-line/norwegian-star" TargetMode="External"/><Relationship Id="rId345" Type="http://schemas.openxmlformats.org/officeDocument/2006/relationships/hyperlink" Target="https://odysia-cruise-uk.client.prod.eu-west.dreamlake.io/cruise-lines/royal-caribbean/mariner-of-the-seas" TargetMode="External"/><Relationship Id="rId102" Type="http://schemas.openxmlformats.org/officeDocument/2006/relationships/hyperlink" Target="https://odysia-cruise-uk.client.prod.eu-west.dreamlake.io/cruise-lines/explora-journeys/cruises" TargetMode="External"/><Relationship Id="rId223" Type="http://schemas.openxmlformats.org/officeDocument/2006/relationships/hyperlink" Target="https://odysia-cruise-uk.client.prod.eu-west.dreamlake.io/cruise-lines/norwegian-cruise-line/norwegian-spirit/cruises" TargetMode="External"/><Relationship Id="rId344" Type="http://schemas.openxmlformats.org/officeDocument/2006/relationships/hyperlink" Target="https://odysia-cruise-uk.client.prod.eu-west.dreamlake.io/cruise-lines/royal-caribbean/liberty-of-the-seas/cruises" TargetMode="External"/><Relationship Id="rId101" Type="http://schemas.openxmlformats.org/officeDocument/2006/relationships/hyperlink" Target="https://odysia-cruise-uk.client.prod.eu-west.dreamlake.io/cruise-lines/explora-journeys" TargetMode="External"/><Relationship Id="rId222" Type="http://schemas.openxmlformats.org/officeDocument/2006/relationships/hyperlink" Target="https://odysia-cruise-uk.client.prod.eu-west.dreamlake.io/cruise-lines/norwegian-cruise-line/norwegian-spirit" TargetMode="External"/><Relationship Id="rId343" Type="http://schemas.openxmlformats.org/officeDocument/2006/relationships/hyperlink" Target="https://odysia-cruise-uk.client.prod.eu-west.dreamlake.io/cruise-lines/royal-caribbean/liberty-of-the-seas" TargetMode="External"/><Relationship Id="rId100" Type="http://schemas.openxmlformats.org/officeDocument/2006/relationships/hyperlink" Target="https://odysia-cruise-uk.client.prod.eu-west.dreamlake.io/cruise-lines/cunard/queen-victoria/cruises" TargetMode="External"/><Relationship Id="rId221" Type="http://schemas.openxmlformats.org/officeDocument/2006/relationships/hyperlink" Target="https://odysia-cruise-uk.client.prod.eu-west.dreamlake.io/cruise-lines/norwegian-cruise-line/norwegian-sky/cruises" TargetMode="External"/><Relationship Id="rId342" Type="http://schemas.openxmlformats.org/officeDocument/2006/relationships/hyperlink" Target="https://odysia-cruise-uk.client.prod.eu-west.dreamlake.io/cruise-lines/royal-caribbean/legend-of-the-seas/cruises" TargetMode="External"/><Relationship Id="rId217" Type="http://schemas.openxmlformats.org/officeDocument/2006/relationships/hyperlink" Target="https://odysia-cruise-uk.client.prod.eu-west.dreamlake.io/cruise-lines/norwegian-cruise-line/norwegian-pearl/cruises" TargetMode="External"/><Relationship Id="rId338" Type="http://schemas.openxmlformats.org/officeDocument/2006/relationships/hyperlink" Target="https://odysia-cruise-uk.client.prod.eu-west.dreamlake.io/cruise-lines/royal-caribbean/independence-of-the-seas/cruises" TargetMode="External"/><Relationship Id="rId216" Type="http://schemas.openxmlformats.org/officeDocument/2006/relationships/hyperlink" Target="https://odysia-cruise-uk.client.prod.eu-west.dreamlake.io/cruise-lines/norwegian-cruise-line/norwegian-pearl" TargetMode="External"/><Relationship Id="rId337" Type="http://schemas.openxmlformats.org/officeDocument/2006/relationships/hyperlink" Target="https://odysia-cruise-uk.client.prod.eu-west.dreamlake.io/cruise-lines/royal-caribbean/independence-of-the-seas" TargetMode="External"/><Relationship Id="rId215" Type="http://schemas.openxmlformats.org/officeDocument/2006/relationships/hyperlink" Target="https://odysia-cruise-uk.client.prod.eu-west.dreamlake.io/cruise-lines/norwegian-cruise-line/norwegian-luna/cruises" TargetMode="External"/><Relationship Id="rId336" Type="http://schemas.openxmlformats.org/officeDocument/2006/relationships/hyperlink" Target="https://odysia-cruise-uk.client.prod.eu-west.dreamlake.io/cruise-lines/royal-caribbean/icon-of-the-seas/cruises" TargetMode="External"/><Relationship Id="rId214" Type="http://schemas.openxmlformats.org/officeDocument/2006/relationships/hyperlink" Target="https://odysia-cruise-uk.client.prod.eu-west.dreamlake.io/cruise-lines/norwegian-cruise-line/norwegian-luna" TargetMode="External"/><Relationship Id="rId335" Type="http://schemas.openxmlformats.org/officeDocument/2006/relationships/hyperlink" Target="https://odysia-cruise-uk.client.prod.eu-west.dreamlake.io/cruise-lines/royal-caribbean/icon-of-the-seas" TargetMode="External"/><Relationship Id="rId219" Type="http://schemas.openxmlformats.org/officeDocument/2006/relationships/hyperlink" Target="https://odysia-cruise-uk.client.prod.eu-west.dreamlake.io/cruise-lines/norwegian-cruise-line/norwegian-prima/cruises" TargetMode="External"/><Relationship Id="rId218" Type="http://schemas.openxmlformats.org/officeDocument/2006/relationships/hyperlink" Target="https://odysia-cruise-uk.client.prod.eu-west.dreamlake.io/cruise-lines/norwegian-cruise-line/norwegian-prima" TargetMode="External"/><Relationship Id="rId339" Type="http://schemas.openxmlformats.org/officeDocument/2006/relationships/hyperlink" Target="https://odysia-cruise-uk.client.prod.eu-west.dreamlake.io/cruise-lines/royal-caribbean/jewel-of-the-seas" TargetMode="External"/><Relationship Id="rId330" Type="http://schemas.openxmlformats.org/officeDocument/2006/relationships/hyperlink" Target="https://odysia-cruise-uk.client.prod.eu-west.dreamlake.io/cruise-lines/royal-caribbean/freedom-of-the-seas/cruises" TargetMode="External"/><Relationship Id="rId213" Type="http://schemas.openxmlformats.org/officeDocument/2006/relationships/hyperlink" Target="https://odysia-cruise-uk.client.prod.eu-west.dreamlake.io/cruise-lines/norwegian-cruise-line/norwegian-joy/cruises" TargetMode="External"/><Relationship Id="rId334" Type="http://schemas.openxmlformats.org/officeDocument/2006/relationships/hyperlink" Target="https://odysia-cruise-uk.client.prod.eu-west.dreamlake.io/cruise-lines/royal-caribbean/harmony-of-the-seas/cruises" TargetMode="External"/><Relationship Id="rId212" Type="http://schemas.openxmlformats.org/officeDocument/2006/relationships/hyperlink" Target="https://odysia-cruise-uk.client.prod.eu-west.dreamlake.io/cruise-lines/norwegian-cruise-line/norwegian-joy" TargetMode="External"/><Relationship Id="rId333" Type="http://schemas.openxmlformats.org/officeDocument/2006/relationships/hyperlink" Target="https://odysia-cruise-uk.client.prod.eu-west.dreamlake.io/cruise-lines/royal-caribbean/harmony-of-the-seas" TargetMode="External"/><Relationship Id="rId211" Type="http://schemas.openxmlformats.org/officeDocument/2006/relationships/hyperlink" Target="https://odysia-cruise-uk.client.prod.eu-west.dreamlake.io/cruise-lines/norwegian-cruise-line/norwegian-jewel/cruises" TargetMode="External"/><Relationship Id="rId332" Type="http://schemas.openxmlformats.org/officeDocument/2006/relationships/hyperlink" Target="https://odysia-cruise-uk.client.prod.eu-west.dreamlake.io/cruise-lines/royal-caribbean/grandeur-of-the-seas/cruises" TargetMode="External"/><Relationship Id="rId210" Type="http://schemas.openxmlformats.org/officeDocument/2006/relationships/hyperlink" Target="https://odysia-cruise-uk.client.prod.eu-west.dreamlake.io/cruise-lines/norwegian-cruise-line/norwegian-jewel" TargetMode="External"/><Relationship Id="rId331" Type="http://schemas.openxmlformats.org/officeDocument/2006/relationships/hyperlink" Target="https://odysia-cruise-uk.client.prod.eu-west.dreamlake.io/cruise-lines/royal-caribbean/grandeur-of-the-seas" TargetMode="External"/><Relationship Id="rId370" Type="http://schemas.openxmlformats.org/officeDocument/2006/relationships/hyperlink" Target="https://odysia-cruise-uk.client.prod.eu-west.dreamlake.io/cruise-lines/royal-caribbean/utopia-of-the-seas/cruises" TargetMode="External"/><Relationship Id="rId129" Type="http://schemas.openxmlformats.org/officeDocument/2006/relationships/hyperlink" Target="https://odysia-cruise-uk.client.prod.eu-west.dreamlake.io/cruise-lines/holland-america-line/oosterdam/cruises" TargetMode="External"/><Relationship Id="rId128" Type="http://schemas.openxmlformats.org/officeDocument/2006/relationships/hyperlink" Target="https://odysia-cruise-uk.client.prod.eu-west.dreamlake.io/cruise-lines/holland-america-line/oosterdam" TargetMode="External"/><Relationship Id="rId249" Type="http://schemas.openxmlformats.org/officeDocument/2006/relationships/hyperlink" Target="https://odysia-cruise-uk.client.prod.eu-west.dreamlake.io/cruise-lines/oceania-cruises/oceania-vista/cruises" TargetMode="External"/><Relationship Id="rId127" Type="http://schemas.openxmlformats.org/officeDocument/2006/relationships/hyperlink" Target="https://odysia-cruise-uk.client.prod.eu-west.dreamlake.io/cruise-lines/holland-america-line/noordam/cruises" TargetMode="External"/><Relationship Id="rId248" Type="http://schemas.openxmlformats.org/officeDocument/2006/relationships/hyperlink" Target="https://odysia-cruise-uk.client.prod.eu-west.dreamlake.io/cruise-lines/oceania-cruises/oceania-vista" TargetMode="External"/><Relationship Id="rId369" Type="http://schemas.openxmlformats.org/officeDocument/2006/relationships/hyperlink" Target="https://odysia-cruise-uk.client.prod.eu-west.dreamlake.io/cruise-lines/royal-caribbean/utopia-of-the-seas" TargetMode="External"/><Relationship Id="rId126" Type="http://schemas.openxmlformats.org/officeDocument/2006/relationships/hyperlink" Target="https://odysia-cruise-uk.client.prod.eu-west.dreamlake.io/cruise-lines/holland-america-line/noordam" TargetMode="External"/><Relationship Id="rId247" Type="http://schemas.openxmlformats.org/officeDocument/2006/relationships/hyperlink" Target="https://odysia-cruise-uk.client.prod.eu-west.dreamlake.io/cruise-lines/oceania-cruises/oceania-sirena/cruises" TargetMode="External"/><Relationship Id="rId368" Type="http://schemas.openxmlformats.org/officeDocument/2006/relationships/hyperlink" Target="https://odysia-cruise-uk.client.prod.eu-west.dreamlake.io/cruise-lines/royal-caribbean/symphony-of-the-seas/cruises" TargetMode="External"/><Relationship Id="rId121" Type="http://schemas.openxmlformats.org/officeDocument/2006/relationships/hyperlink" Target="https://odysia-cruise-uk.client.prod.eu-west.dreamlake.io/cruise-lines/holland-america-line/koningsdam/cruises" TargetMode="External"/><Relationship Id="rId242" Type="http://schemas.openxmlformats.org/officeDocument/2006/relationships/hyperlink" Target="https://odysia-cruise-uk.client.prod.eu-west.dreamlake.io/cruise-lines/oceania-cruises/oceania-regatta" TargetMode="External"/><Relationship Id="rId363" Type="http://schemas.openxmlformats.org/officeDocument/2006/relationships/hyperlink" Target="https://odysia-cruise-uk.client.prod.eu-west.dreamlake.io/cruise-lines/royal-caribbean/spectrum-of-the-seas" TargetMode="External"/><Relationship Id="rId120" Type="http://schemas.openxmlformats.org/officeDocument/2006/relationships/hyperlink" Target="https://odysia-cruise-uk.client.prod.eu-west.dreamlake.io/cruise-lines/holland-america-line/koningsdam" TargetMode="External"/><Relationship Id="rId241" Type="http://schemas.openxmlformats.org/officeDocument/2006/relationships/hyperlink" Target="https://odysia-cruise-uk.client.prod.eu-west.dreamlake.io/cruise-lines/oceania-cruises/oceania-nautica/cruises" TargetMode="External"/><Relationship Id="rId362" Type="http://schemas.openxmlformats.org/officeDocument/2006/relationships/hyperlink" Target="https://odysia-cruise-uk.client.prod.eu-west.dreamlake.io/cruise-lines/royal-caribbean/serenade-of-the-seas/cruises" TargetMode="External"/><Relationship Id="rId240" Type="http://schemas.openxmlformats.org/officeDocument/2006/relationships/hyperlink" Target="https://odysia-cruise-uk.client.prod.eu-west.dreamlake.io/cruise-lines/oceania-cruises/oceania-nautica" TargetMode="External"/><Relationship Id="rId361" Type="http://schemas.openxmlformats.org/officeDocument/2006/relationships/hyperlink" Target="https://odysia-cruise-uk.client.prod.eu-west.dreamlake.io/cruise-lines/royal-caribbean/serenade-of-the-seas" TargetMode="External"/><Relationship Id="rId360" Type="http://schemas.openxmlformats.org/officeDocument/2006/relationships/hyperlink" Target="https://odysia-cruise-uk.client.prod.eu-west.dreamlake.io/cruise-lines/royal-caribbean/rhapsody-of-the-seas/cruises" TargetMode="External"/><Relationship Id="rId125" Type="http://schemas.openxmlformats.org/officeDocument/2006/relationships/hyperlink" Target="https://odysia-cruise-uk.client.prod.eu-west.dreamlake.io/cruise-lines/holland-america-line/nieuw-statendam/cruises" TargetMode="External"/><Relationship Id="rId246" Type="http://schemas.openxmlformats.org/officeDocument/2006/relationships/hyperlink" Target="https://odysia-cruise-uk.client.prod.eu-west.dreamlake.io/cruise-lines/oceania-cruises/oceania-sirena" TargetMode="External"/><Relationship Id="rId367" Type="http://schemas.openxmlformats.org/officeDocument/2006/relationships/hyperlink" Target="https://odysia-cruise-uk.client.prod.eu-west.dreamlake.io/cruise-lines/royal-caribbean/symphony-of-the-seas" TargetMode="External"/><Relationship Id="rId124" Type="http://schemas.openxmlformats.org/officeDocument/2006/relationships/hyperlink" Target="https://odysia-cruise-uk.client.prod.eu-west.dreamlake.io/cruise-lines/holland-america-line/nieuw-statendam" TargetMode="External"/><Relationship Id="rId245" Type="http://schemas.openxmlformats.org/officeDocument/2006/relationships/hyperlink" Target="https://odysia-cruise-uk.client.prod.eu-west.dreamlake.io/cruise-lines/oceania-cruises/oceania-riviera/cruises" TargetMode="External"/><Relationship Id="rId366" Type="http://schemas.openxmlformats.org/officeDocument/2006/relationships/hyperlink" Target="https://odysia-cruise-uk.client.prod.eu-west.dreamlake.io/cruise-lines/royal-caribbean/star-of-the-seas/cruises" TargetMode="External"/><Relationship Id="rId123" Type="http://schemas.openxmlformats.org/officeDocument/2006/relationships/hyperlink" Target="https://odysia-cruise-uk.client.prod.eu-west.dreamlake.io/cruise-lines/holland-america-line/nieuw-amsterdam/cruises" TargetMode="External"/><Relationship Id="rId244" Type="http://schemas.openxmlformats.org/officeDocument/2006/relationships/hyperlink" Target="https://odysia-cruise-uk.client.prod.eu-west.dreamlake.io/cruise-lines/oceania-cruises/oceania-riviera" TargetMode="External"/><Relationship Id="rId365" Type="http://schemas.openxmlformats.org/officeDocument/2006/relationships/hyperlink" Target="https://odysia-cruise-uk.client.prod.eu-west.dreamlake.io/cruise-lines/royal-caribbean/star-of-the-seas" TargetMode="External"/><Relationship Id="rId122" Type="http://schemas.openxmlformats.org/officeDocument/2006/relationships/hyperlink" Target="https://odysia-cruise-uk.client.prod.eu-west.dreamlake.io/cruise-lines/holland-america-line/nieuw-amsterdam" TargetMode="External"/><Relationship Id="rId243" Type="http://schemas.openxmlformats.org/officeDocument/2006/relationships/hyperlink" Target="https://odysia-cruise-uk.client.prod.eu-west.dreamlake.io/cruise-lines/oceania-cruises/oceania-regatta/cruises" TargetMode="External"/><Relationship Id="rId364" Type="http://schemas.openxmlformats.org/officeDocument/2006/relationships/hyperlink" Target="https://odysia-cruise-uk.client.prod.eu-west.dreamlake.io/cruise-lines/royal-caribbean/spectrum-of-the-seas/cruises" TargetMode="External"/><Relationship Id="rId95" Type="http://schemas.openxmlformats.org/officeDocument/2006/relationships/hyperlink" Target="https://odysia-cruise-uk.client.prod.eu-west.dreamlake.io/cruise-lines/cunard/queen-elizabeth" TargetMode="External"/><Relationship Id="rId94" Type="http://schemas.openxmlformats.org/officeDocument/2006/relationships/hyperlink" Target="https://odysia-cruise-uk.client.prod.eu-west.dreamlake.io/cruise-lines/cunard/queen-anne/cruises" TargetMode="External"/><Relationship Id="rId97" Type="http://schemas.openxmlformats.org/officeDocument/2006/relationships/hyperlink" Target="https://odysia-cruise-uk.client.prod.eu-west.dreamlake.io/cruise-lines/cunard/queen-mary-2" TargetMode="External"/><Relationship Id="rId96" Type="http://schemas.openxmlformats.org/officeDocument/2006/relationships/hyperlink" Target="https://odysia-cruise-uk.client.prod.eu-west.dreamlake.io/cruise-lines/cunard/queen-elizabeth/cruises" TargetMode="External"/><Relationship Id="rId99" Type="http://schemas.openxmlformats.org/officeDocument/2006/relationships/hyperlink" Target="https://odysia-cruise-uk.client.prod.eu-west.dreamlake.io/cruise-lines/cunard/queen-victoria" TargetMode="External"/><Relationship Id="rId98" Type="http://schemas.openxmlformats.org/officeDocument/2006/relationships/hyperlink" Target="https://odysia-cruise-uk.client.prod.eu-west.dreamlake.io/cruise-lines/cunard/queen-mary-2/cruises" TargetMode="External"/><Relationship Id="rId91" Type="http://schemas.openxmlformats.org/officeDocument/2006/relationships/hyperlink" Target="https://odysia-cruise-uk.client.prod.eu-west.dreamlake.io/cruise-lines/cunard" TargetMode="External"/><Relationship Id="rId90" Type="http://schemas.openxmlformats.org/officeDocument/2006/relationships/hyperlink" Target="https://odysia-cruise-uk.client.prod.eu-west.dreamlake.io/cruise-lines/costa-cruises/cruises" TargetMode="External"/><Relationship Id="rId93" Type="http://schemas.openxmlformats.org/officeDocument/2006/relationships/hyperlink" Target="https://odysia-cruise-uk.client.prod.eu-west.dreamlake.io/cruise-lines/cunard/queen-anne" TargetMode="External"/><Relationship Id="rId92" Type="http://schemas.openxmlformats.org/officeDocument/2006/relationships/hyperlink" Target="https://odysia-cruise-uk.client.prod.eu-west.dreamlake.io/cruise-lines/cunard/cruises" TargetMode="External"/><Relationship Id="rId118" Type="http://schemas.openxmlformats.org/officeDocument/2006/relationships/hyperlink" Target="https://odysia-cruise-uk.client.prod.eu-west.dreamlake.io/cruise-lines/holland-america-line/eurodam" TargetMode="External"/><Relationship Id="rId239" Type="http://schemas.openxmlformats.org/officeDocument/2006/relationships/hyperlink" Target="https://odysia-cruise-uk.client.prod.eu-west.dreamlake.io/cruise-lines/oceania-cruises/oceania-marina/cruises" TargetMode="External"/><Relationship Id="rId117" Type="http://schemas.openxmlformats.org/officeDocument/2006/relationships/hyperlink" Target="https://odysia-cruise-uk.client.prod.eu-west.dreamlake.io/cruise-lines/holland-america-line" TargetMode="External"/><Relationship Id="rId238" Type="http://schemas.openxmlformats.org/officeDocument/2006/relationships/hyperlink" Target="https://odysia-cruise-uk.client.prod.eu-west.dreamlake.io/cruise-lines/oceania-cruises/oceania-marina" TargetMode="External"/><Relationship Id="rId359" Type="http://schemas.openxmlformats.org/officeDocument/2006/relationships/hyperlink" Target="https://odysia-cruise-uk.client.prod.eu-west.dreamlake.io/cruise-lines/royal-caribbean/rhapsody-of-the-seas" TargetMode="External"/><Relationship Id="rId116" Type="http://schemas.openxmlformats.org/officeDocument/2006/relationships/hyperlink" Target="https://odysia-cruise-uk.client.prod.eu-west.dreamlake.io/cruise-lines/fred-olsen-cruises/cruises" TargetMode="External"/><Relationship Id="rId237" Type="http://schemas.openxmlformats.org/officeDocument/2006/relationships/hyperlink" Target="https://odysia-cruise-uk.client.prod.eu-west.dreamlake.io/cruise-lines/oceania-cruises/oceania-insignia/cruises" TargetMode="External"/><Relationship Id="rId358" Type="http://schemas.openxmlformats.org/officeDocument/2006/relationships/hyperlink" Target="https://odysia-cruise-uk.client.prod.eu-west.dreamlake.io/cruise-lines/royal-caribbean/radiance-of-the-seas/cruises" TargetMode="External"/><Relationship Id="rId115" Type="http://schemas.openxmlformats.org/officeDocument/2006/relationships/hyperlink" Target="https://odysia-cruise-uk.client.prod.eu-west.dreamlake.io/cruise-lines/fred-olsen-cruises/borealis/cruises" TargetMode="External"/><Relationship Id="rId236" Type="http://schemas.openxmlformats.org/officeDocument/2006/relationships/hyperlink" Target="https://odysia-cruise-uk.client.prod.eu-west.dreamlake.io/cruise-lines/oceania-cruises/oceania-insignia" TargetMode="External"/><Relationship Id="rId357" Type="http://schemas.openxmlformats.org/officeDocument/2006/relationships/hyperlink" Target="https://odysia-cruise-uk.client.prod.eu-west.dreamlake.io/cruise-lines/royal-caribbean/radiance-of-the-seas" TargetMode="External"/><Relationship Id="rId119" Type="http://schemas.openxmlformats.org/officeDocument/2006/relationships/hyperlink" Target="https://odysia-cruise-uk.client.prod.eu-west.dreamlake.io/cruise-lines/holland-america-line/eurodam/cruises" TargetMode="External"/><Relationship Id="rId110" Type="http://schemas.openxmlformats.org/officeDocument/2006/relationships/hyperlink" Target="https://odysia-cruise-uk.client.prod.eu-west.dreamlake.io/cruise-lines/fred-olsen-cruises/balmoral" TargetMode="External"/><Relationship Id="rId231" Type="http://schemas.openxmlformats.org/officeDocument/2006/relationships/hyperlink" Target="https://odysia-cruise-uk.client.prod.eu-west.dreamlake.io/cruise-lines/norwegian-cruise-line/pride-of-america/cruises" TargetMode="External"/><Relationship Id="rId352" Type="http://schemas.openxmlformats.org/officeDocument/2006/relationships/hyperlink" Target="https://odysia-cruise-uk.client.prod.eu-west.dreamlake.io/cruise-lines/royal-caribbean/odyssey-of-the-seas/cruises" TargetMode="External"/><Relationship Id="rId230" Type="http://schemas.openxmlformats.org/officeDocument/2006/relationships/hyperlink" Target="https://odysia-cruise-uk.client.prod.eu-west.dreamlake.io/cruise-lines/norwegian-cruise-line/pride-of-america" TargetMode="External"/><Relationship Id="rId351" Type="http://schemas.openxmlformats.org/officeDocument/2006/relationships/hyperlink" Target="https://odysia-cruise-uk.client.prod.eu-west.dreamlake.io/cruise-lines/royal-caribbean/odyssey-of-the-seas" TargetMode="External"/><Relationship Id="rId350" Type="http://schemas.openxmlformats.org/officeDocument/2006/relationships/hyperlink" Target="https://odysia-cruise-uk.client.prod.eu-west.dreamlake.io/cruise-lines/royal-caribbean/oasis-of-the-seas/cruises" TargetMode="External"/><Relationship Id="rId114" Type="http://schemas.openxmlformats.org/officeDocument/2006/relationships/hyperlink" Target="https://odysia-cruise-uk.client.prod.eu-west.dreamlake.io/cruise-lines/fred-olsen-cruises/borealis" TargetMode="External"/><Relationship Id="rId235" Type="http://schemas.openxmlformats.org/officeDocument/2006/relationships/hyperlink" Target="https://odysia-cruise-uk.client.prod.eu-west.dreamlake.io/cruise-lines/oceania-cruises/oceania-allura/cruises" TargetMode="External"/><Relationship Id="rId356" Type="http://schemas.openxmlformats.org/officeDocument/2006/relationships/hyperlink" Target="https://odysia-cruise-uk.client.prod.eu-west.dreamlake.io/cruise-lines/royal-caribbean/quantum-of-the-seas/cruises" TargetMode="External"/><Relationship Id="rId113" Type="http://schemas.openxmlformats.org/officeDocument/2006/relationships/hyperlink" Target="https://odysia-cruise-uk.client.prod.eu-west.dreamlake.io/cruise-lines/fred-olsen-cruises/bolette/cruises" TargetMode="External"/><Relationship Id="rId234" Type="http://schemas.openxmlformats.org/officeDocument/2006/relationships/hyperlink" Target="https://odysia-cruise-uk.client.prod.eu-west.dreamlake.io/cruise-lines/oceania-cruises/oceania-allura" TargetMode="External"/><Relationship Id="rId355" Type="http://schemas.openxmlformats.org/officeDocument/2006/relationships/hyperlink" Target="https://odysia-cruise-uk.client.prod.eu-west.dreamlake.io/cruise-lines/royal-caribbean/quantum-of-the-seas" TargetMode="External"/><Relationship Id="rId112" Type="http://schemas.openxmlformats.org/officeDocument/2006/relationships/hyperlink" Target="https://odysia-cruise-uk.client.prod.eu-west.dreamlake.io/cruise-lines/fred-olsen-cruises/bolette" TargetMode="External"/><Relationship Id="rId233" Type="http://schemas.openxmlformats.org/officeDocument/2006/relationships/hyperlink" Target="https://odysia-cruise-uk.client.prod.eu-west.dreamlake.io/cruise-lines/oceania-cruises/cruises" TargetMode="External"/><Relationship Id="rId354" Type="http://schemas.openxmlformats.org/officeDocument/2006/relationships/hyperlink" Target="https://odysia-cruise-uk.client.prod.eu-west.dreamlake.io/cruise-lines/royal-caribbean/ovation-of-the-seas/cruises" TargetMode="External"/><Relationship Id="rId111" Type="http://schemas.openxmlformats.org/officeDocument/2006/relationships/hyperlink" Target="https://odysia-cruise-uk.client.prod.eu-west.dreamlake.io/cruise-lines/fred-olsen-cruises/balmoral/cruises" TargetMode="External"/><Relationship Id="rId232" Type="http://schemas.openxmlformats.org/officeDocument/2006/relationships/hyperlink" Target="https://odysia-cruise-uk.client.prod.eu-west.dreamlake.io/cruise-lines/oceania-cruises" TargetMode="External"/><Relationship Id="rId353" Type="http://schemas.openxmlformats.org/officeDocument/2006/relationships/hyperlink" Target="https://odysia-cruise-uk.client.prod.eu-west.dreamlake.io/cruise-lines/royal-caribbean/ovation-of-the-seas" TargetMode="External"/><Relationship Id="rId305" Type="http://schemas.openxmlformats.org/officeDocument/2006/relationships/hyperlink" Target="https://odysia-cruise-uk.client.prod.eu-west.dreamlake.io/cruise-lines/regent-seven-seas-cruises/seven-seas-explorer/cruises" TargetMode="External"/><Relationship Id="rId426" Type="http://schemas.openxmlformats.org/officeDocument/2006/relationships/hyperlink" Target="https://odysia-cruise-uk.client.prod.eu-west.dreamlake.io/destinations/norway-norwegian-fjords/cruises" TargetMode="External"/><Relationship Id="rId304" Type="http://schemas.openxmlformats.org/officeDocument/2006/relationships/hyperlink" Target="https://odysia-cruise-uk.client.prod.eu-west.dreamlake.io/cruise-lines/regent-seven-seas-cruises/seven-seas-explorer" TargetMode="External"/><Relationship Id="rId425" Type="http://schemas.openxmlformats.org/officeDocument/2006/relationships/hyperlink" Target="https://odysia-cruise-uk.client.prod.eu-west.dreamlake.io/destinations/norway-norwegian-fjords" TargetMode="External"/><Relationship Id="rId303" Type="http://schemas.openxmlformats.org/officeDocument/2006/relationships/hyperlink" Target="https://odysia-cruise-uk.client.prod.eu-west.dreamlake.io/cruise-lines/regent-seven-seas-cruises/cruises" TargetMode="External"/><Relationship Id="rId424" Type="http://schemas.openxmlformats.org/officeDocument/2006/relationships/hyperlink" Target="https://odysia-cruise-uk.client.prod.eu-west.dreamlake.io/destinations/northern-europe/cruises" TargetMode="External"/><Relationship Id="rId302" Type="http://schemas.openxmlformats.org/officeDocument/2006/relationships/hyperlink" Target="https://odysia-cruise-uk.client.prod.eu-west.dreamlake.io/cruise-lines/regent-seven-seas-cruises" TargetMode="External"/><Relationship Id="rId423" Type="http://schemas.openxmlformats.org/officeDocument/2006/relationships/hyperlink" Target="https://odysia-cruise-uk.client.prod.eu-west.dreamlake.io/destinations/northern-europe" TargetMode="External"/><Relationship Id="rId309" Type="http://schemas.openxmlformats.org/officeDocument/2006/relationships/hyperlink" Target="https://odysia-cruise-uk.client.prod.eu-west.dreamlake.io/cruise-lines/regent-seven-seas-cruises/seven-seas-mariner/cruises" TargetMode="External"/><Relationship Id="rId308" Type="http://schemas.openxmlformats.org/officeDocument/2006/relationships/hyperlink" Target="https://odysia-cruise-uk.client.prod.eu-west.dreamlake.io/cruise-lines/regent-seven-seas-cruises/seven-seas-mariner" TargetMode="External"/><Relationship Id="rId429" Type="http://schemas.openxmlformats.org/officeDocument/2006/relationships/hyperlink" Target="https://odysia-cruise-uk.client.prod.eu-west.dreamlake.io/destinations/polar-regions/cruises" TargetMode="External"/><Relationship Id="rId307" Type="http://schemas.openxmlformats.org/officeDocument/2006/relationships/hyperlink" Target="https://odysia-cruise-uk.client.prod.eu-west.dreamlake.io/cruise-lines/regent-seven-seas-cruises/seven-seas-grandeur/cruises" TargetMode="External"/><Relationship Id="rId428" Type="http://schemas.openxmlformats.org/officeDocument/2006/relationships/hyperlink" Target="https://odysia-cruise-uk.client.prod.eu-west.dreamlake.io/destinations/polar-regions" TargetMode="External"/><Relationship Id="rId306" Type="http://schemas.openxmlformats.org/officeDocument/2006/relationships/hyperlink" Target="https://odysia-cruise-uk.client.prod.eu-west.dreamlake.io/cruise-lines/regent-seven-seas-cruises/seven-seas-grandeur" TargetMode="External"/><Relationship Id="rId427" Type="http://schemas.openxmlformats.org/officeDocument/2006/relationships/hyperlink" Target="https://odysia-cruise-uk.client.prod.eu-west.dreamlake.io/destinations/pacific-island-cruises" TargetMode="External"/><Relationship Id="rId301" Type="http://schemas.openxmlformats.org/officeDocument/2006/relationships/hyperlink" Target="https://odysia-cruise-uk.client.prod.eu-west.dreamlake.io/cruise-lines/princess-cruises/sun-princess/cruises" TargetMode="External"/><Relationship Id="rId422" Type="http://schemas.openxmlformats.org/officeDocument/2006/relationships/hyperlink" Target="https://odysia-cruise-uk.client.prod.eu-west.dreamlake.io/destinations/north-america/cruises" TargetMode="External"/><Relationship Id="rId300" Type="http://schemas.openxmlformats.org/officeDocument/2006/relationships/hyperlink" Target="https://odysia-cruise-uk.client.prod.eu-west.dreamlake.io/cruise-lines/princess-cruises/sun-princess" TargetMode="External"/><Relationship Id="rId421" Type="http://schemas.openxmlformats.org/officeDocument/2006/relationships/hyperlink" Target="https://odysia-cruise-uk.client.prod.eu-west.dreamlake.io/destinations/north-america" TargetMode="External"/><Relationship Id="rId420" Type="http://schemas.openxmlformats.org/officeDocument/2006/relationships/hyperlink" Target="https://odysia-cruise-uk.client.prod.eu-west.dreamlake.io/destinations/middle-east/cruises" TargetMode="External"/><Relationship Id="rId415" Type="http://schemas.openxmlformats.org/officeDocument/2006/relationships/hyperlink" Target="https://odysia-cruise-uk.client.prod.eu-west.dreamlake.io/destinations/far-east" TargetMode="External"/><Relationship Id="rId414" Type="http://schemas.openxmlformats.org/officeDocument/2006/relationships/hyperlink" Target="https://odysia-cruise-uk.client.prod.eu-west.dreamlake.io/destinations/central-south-america/cruises" TargetMode="External"/><Relationship Id="rId413" Type="http://schemas.openxmlformats.org/officeDocument/2006/relationships/hyperlink" Target="https://odysia-cruise-uk.client.prod.eu-west.dreamlake.io/destinations/central-south-america" TargetMode="External"/><Relationship Id="rId412" Type="http://schemas.openxmlformats.org/officeDocument/2006/relationships/hyperlink" Target="https://odysia-cruise-uk.client.prod.eu-west.dreamlake.io/destinations/caribbean/cruises" TargetMode="External"/><Relationship Id="rId419" Type="http://schemas.openxmlformats.org/officeDocument/2006/relationships/hyperlink" Target="https://odysia-cruise-uk.client.prod.eu-west.dreamlake.io/destinations/middle-east" TargetMode="External"/><Relationship Id="rId418" Type="http://schemas.openxmlformats.org/officeDocument/2006/relationships/hyperlink" Target="https://odysia-cruise-uk.client.prod.eu-west.dreamlake.io/destinations/mediterranean/cruises" TargetMode="External"/><Relationship Id="rId417" Type="http://schemas.openxmlformats.org/officeDocument/2006/relationships/hyperlink" Target="https://odysia-cruise-uk.client.prod.eu-west.dreamlake.io/destinations/mediterranean" TargetMode="External"/><Relationship Id="rId416" Type="http://schemas.openxmlformats.org/officeDocument/2006/relationships/hyperlink" Target="https://odysia-cruise-uk.client.prod.eu-west.dreamlake.io/destinations/far-east/cruises" TargetMode="External"/><Relationship Id="rId411" Type="http://schemas.openxmlformats.org/officeDocument/2006/relationships/hyperlink" Target="https://odysia-cruise-uk.client.prod.eu-west.dreamlake.io/destinations/caribbean" TargetMode="External"/><Relationship Id="rId410" Type="http://schemas.openxmlformats.org/officeDocument/2006/relationships/hyperlink" Target="https://odysia-cruise-uk.client.prod.eu-west.dreamlake.io/destinations/canary-islands/cruises" TargetMode="External"/><Relationship Id="rId206" Type="http://schemas.openxmlformats.org/officeDocument/2006/relationships/hyperlink" Target="https://odysia-cruise-uk.client.prod.eu-west.dreamlake.io/cruise-lines/norwegian-cruise-line/norwegian-getaway" TargetMode="External"/><Relationship Id="rId327" Type="http://schemas.openxmlformats.org/officeDocument/2006/relationships/hyperlink" Target="https://odysia-cruise-uk.client.prod.eu-west.dreamlake.io/cruise-lines/royal-caribbean/explorer-of-the-seas" TargetMode="External"/><Relationship Id="rId205" Type="http://schemas.openxmlformats.org/officeDocument/2006/relationships/hyperlink" Target="https://odysia-cruise-uk.client.prod.eu-west.dreamlake.io/cruise-lines/norwegian-cruise-line/norwegian-gem/cruises" TargetMode="External"/><Relationship Id="rId326" Type="http://schemas.openxmlformats.org/officeDocument/2006/relationships/hyperlink" Target="https://odysia-cruise-uk.client.prod.eu-west.dreamlake.io/cruise-lines/royal-caribbean/enchantment-of-the-seas/cruises" TargetMode="External"/><Relationship Id="rId204" Type="http://schemas.openxmlformats.org/officeDocument/2006/relationships/hyperlink" Target="https://odysia-cruise-uk.client.prod.eu-west.dreamlake.io/cruise-lines/norwegian-cruise-line/norwegian-gem" TargetMode="External"/><Relationship Id="rId325" Type="http://schemas.openxmlformats.org/officeDocument/2006/relationships/hyperlink" Target="https://odysia-cruise-uk.client.prod.eu-west.dreamlake.io/cruise-lines/royal-caribbean/enchantment-of-the-seas" TargetMode="External"/><Relationship Id="rId203" Type="http://schemas.openxmlformats.org/officeDocument/2006/relationships/hyperlink" Target="https://odysia-cruise-uk.client.prod.eu-west.dreamlake.io/cruise-lines/norwegian-cruise-line/norwegian-escape/cruises" TargetMode="External"/><Relationship Id="rId324" Type="http://schemas.openxmlformats.org/officeDocument/2006/relationships/hyperlink" Target="https://odysia-cruise-uk.client.prod.eu-west.dreamlake.io/cruise-lines/royal-caribbean/cruises" TargetMode="External"/><Relationship Id="rId209" Type="http://schemas.openxmlformats.org/officeDocument/2006/relationships/hyperlink" Target="https://odysia-cruise-uk.client.prod.eu-west.dreamlake.io/cruise-lines/norwegian-cruise-line/norwegian-jade/cruises" TargetMode="External"/><Relationship Id="rId208" Type="http://schemas.openxmlformats.org/officeDocument/2006/relationships/hyperlink" Target="https://odysia-cruise-uk.client.prod.eu-west.dreamlake.io/cruise-lines/norwegian-cruise-line/norwegian-jade" TargetMode="External"/><Relationship Id="rId329" Type="http://schemas.openxmlformats.org/officeDocument/2006/relationships/hyperlink" Target="https://odysia-cruise-uk.client.prod.eu-west.dreamlake.io/cruise-lines/royal-caribbean/freedom-of-the-seas" TargetMode="External"/><Relationship Id="rId207" Type="http://schemas.openxmlformats.org/officeDocument/2006/relationships/hyperlink" Target="https://odysia-cruise-uk.client.prod.eu-west.dreamlake.io/cruise-lines/norwegian-cruise-line/norwegian-getaway/cruises" TargetMode="External"/><Relationship Id="rId328" Type="http://schemas.openxmlformats.org/officeDocument/2006/relationships/hyperlink" Target="https://odysia-cruise-uk.client.prod.eu-west.dreamlake.io/cruise-lines/royal-caribbean/explorer-of-the-seas/cruises" TargetMode="External"/><Relationship Id="rId202" Type="http://schemas.openxmlformats.org/officeDocument/2006/relationships/hyperlink" Target="https://odysia-cruise-uk.client.prod.eu-west.dreamlake.io/cruise-lines/norwegian-cruise-line/norwegian-escape" TargetMode="External"/><Relationship Id="rId323" Type="http://schemas.openxmlformats.org/officeDocument/2006/relationships/hyperlink" Target="https://odysia-cruise-uk.client.prod.eu-west.dreamlake.io/cruise-lines/royal-caribbean/brilliance-of-the-seas/cruises" TargetMode="External"/><Relationship Id="rId201" Type="http://schemas.openxmlformats.org/officeDocument/2006/relationships/hyperlink" Target="https://odysia-cruise-uk.client.prod.eu-west.dreamlake.io/cruise-lines/norwegian-cruise-line/norwegian-epic/cruises" TargetMode="External"/><Relationship Id="rId322" Type="http://schemas.openxmlformats.org/officeDocument/2006/relationships/hyperlink" Target="https://odysia-cruise-uk.client.prod.eu-west.dreamlake.io/cruise-lines/royal-caribbean/brilliance-of-the-seas" TargetMode="External"/><Relationship Id="rId200" Type="http://schemas.openxmlformats.org/officeDocument/2006/relationships/hyperlink" Target="https://odysia-cruise-uk.client.prod.eu-west.dreamlake.io/cruise-lines/norwegian-cruise-line/norwegian-epic" TargetMode="External"/><Relationship Id="rId321" Type="http://schemas.openxmlformats.org/officeDocument/2006/relationships/hyperlink" Target="https://odysia-cruise-uk.client.prod.eu-west.dreamlake.io/cruise-lines/royal-caribbean/anthem-of-the-seas/cruises" TargetMode="External"/><Relationship Id="rId320" Type="http://schemas.openxmlformats.org/officeDocument/2006/relationships/hyperlink" Target="https://odysia-cruise-uk.client.prod.eu-west.dreamlake.io/cruise-lines/royal-caribbean/anthem-of-the-seas" TargetMode="External"/><Relationship Id="rId316" Type="http://schemas.openxmlformats.org/officeDocument/2006/relationships/hyperlink" Target="https://odysia-cruise-uk.client.prod.eu-west.dreamlake.io/cruise-lines/royal-caribbean/adventure-of-the-seas" TargetMode="External"/><Relationship Id="rId315" Type="http://schemas.openxmlformats.org/officeDocument/2006/relationships/hyperlink" Target="https://odysia-cruise-uk.client.prod.eu-west.dreamlake.io/cruise-lines/royal-caribbean" TargetMode="External"/><Relationship Id="rId314" Type="http://schemas.openxmlformats.org/officeDocument/2006/relationships/hyperlink" Target="https://odysia-cruise-uk.client.prod.eu-west.dreamlake.io/cruise-lines/regent-seven-seas-cruises/seven-seas-voyager/cruises" TargetMode="External"/><Relationship Id="rId435" Type="http://schemas.openxmlformats.org/officeDocument/2006/relationships/drawing" Target="../drawings/drawing16.xml"/><Relationship Id="rId313" Type="http://schemas.openxmlformats.org/officeDocument/2006/relationships/hyperlink" Target="https://odysia-cruise-uk.client.prod.eu-west.dreamlake.io/cruise-lines/regent-seven-seas-cruises/seven-seas-voyager" TargetMode="External"/><Relationship Id="rId434" Type="http://schemas.openxmlformats.org/officeDocument/2006/relationships/hyperlink" Target="https://odysia-cruise-uk.client.prod.eu-west.dreamlake.io/destinations/world/cruises" TargetMode="External"/><Relationship Id="rId319" Type="http://schemas.openxmlformats.org/officeDocument/2006/relationships/hyperlink" Target="https://odysia-cruise-uk.client.prod.eu-west.dreamlake.io/cruise-lines/royal-caribbean/allure-of-the-seas/cruises" TargetMode="External"/><Relationship Id="rId318" Type="http://schemas.openxmlformats.org/officeDocument/2006/relationships/hyperlink" Target="https://odysia-cruise-uk.client.prod.eu-west.dreamlake.io/cruise-lines/royal-caribbean/allure-of-the-seas" TargetMode="External"/><Relationship Id="rId317" Type="http://schemas.openxmlformats.org/officeDocument/2006/relationships/hyperlink" Target="https://odysia-cruise-uk.client.prod.eu-west.dreamlake.io/cruise-lines/royal-caribbean/adventure-of-the-seas/cruises" TargetMode="External"/><Relationship Id="rId312" Type="http://schemas.openxmlformats.org/officeDocument/2006/relationships/hyperlink" Target="https://odysia-cruise-uk.client.prod.eu-west.dreamlake.io/cruise-lines/regent-seven-seas-cruises/seven-seas-splendor/cruises" TargetMode="External"/><Relationship Id="rId433" Type="http://schemas.openxmlformats.org/officeDocument/2006/relationships/hyperlink" Target="https://odysia-cruise-uk.client.prod.eu-west.dreamlake.io/destinations/world" TargetMode="External"/><Relationship Id="rId311" Type="http://schemas.openxmlformats.org/officeDocument/2006/relationships/hyperlink" Target="https://odysia-cruise-uk.client.prod.eu-west.dreamlake.io/cruise-lines/regent-seven-seas-cruises/seven-seas-splendor" TargetMode="External"/><Relationship Id="rId432" Type="http://schemas.openxmlformats.org/officeDocument/2006/relationships/hyperlink" Target="https://odysia-cruise-uk.client.prod.eu-west.dreamlake.io/destinations/transatlantic/cruises" TargetMode="External"/><Relationship Id="rId310" Type="http://schemas.openxmlformats.org/officeDocument/2006/relationships/hyperlink" Target="https://odysia-cruise-uk.client.prod.eu-west.dreamlake.io/cruise-lines/regent-seven-seas-cruises/seven-seas-navigator" TargetMode="External"/><Relationship Id="rId431" Type="http://schemas.openxmlformats.org/officeDocument/2006/relationships/hyperlink" Target="https://odysia-cruise-uk.client.prod.eu-west.dreamlake.io/destinations/transatlantic" TargetMode="External"/><Relationship Id="rId430" Type="http://schemas.openxmlformats.org/officeDocument/2006/relationships/hyperlink" Target="https://odysia-cruise-uk.client.prod.eu-west.dreamlake.io/destinations/scandinavia-baltic" TargetMode="Externa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3" width="40.13"/>
    <col customWidth="1" min="4" max="4" width="40.75"/>
    <col customWidth="1" min="5" max="10" width="36.13"/>
    <col customWidth="1" min="11" max="15" width="38.0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73.5" customHeight="1">
      <c r="A2" s="1"/>
      <c r="B2" s="2"/>
      <c r="C2" s="3"/>
      <c r="D2" s="3"/>
      <c r="E2" s="3"/>
      <c r="F2" s="3"/>
      <c r="G2" s="3"/>
      <c r="H2" s="3"/>
      <c r="I2" s="3"/>
      <c r="J2" s="3"/>
      <c r="K2" s="3"/>
      <c r="L2" s="4"/>
      <c r="M2" s="4"/>
      <c r="N2" s="4"/>
      <c r="O2" s="4"/>
    </row>
    <row r="3" ht="16.5" customHeight="1">
      <c r="A3" s="5"/>
      <c r="B3" s="6"/>
      <c r="L3" s="7"/>
      <c r="M3" s="7"/>
      <c r="N3" s="7"/>
      <c r="O3" s="7"/>
    </row>
    <row r="4">
      <c r="A4" s="8"/>
      <c r="B4" s="9" t="s">
        <v>0</v>
      </c>
      <c r="F4" s="10" t="s">
        <v>1</v>
      </c>
      <c r="G4" s="10" t="s">
        <v>2</v>
      </c>
      <c r="J4" s="10" t="s">
        <v>3</v>
      </c>
      <c r="K4" s="10" t="s">
        <v>4</v>
      </c>
      <c r="L4" s="10" t="s">
        <v>5</v>
      </c>
      <c r="M4" s="10" t="s">
        <v>6</v>
      </c>
      <c r="N4" s="10" t="s">
        <v>7</v>
      </c>
      <c r="O4" s="10" t="s">
        <v>8</v>
      </c>
    </row>
    <row r="5">
      <c r="A5" s="11"/>
      <c r="B5" s="12" t="s">
        <v>9</v>
      </c>
      <c r="C5" s="12" t="s">
        <v>10</v>
      </c>
      <c r="D5" s="13" t="s">
        <v>11</v>
      </c>
      <c r="E5" s="12" t="s">
        <v>12</v>
      </c>
      <c r="F5" s="14" t="s">
        <v>13</v>
      </c>
      <c r="G5" s="12" t="s">
        <v>14</v>
      </c>
      <c r="H5" s="15" t="s">
        <v>15</v>
      </c>
      <c r="I5" s="16" t="s">
        <v>16</v>
      </c>
      <c r="J5" s="12" t="s">
        <v>17</v>
      </c>
      <c r="K5" s="12" t="s">
        <v>18</v>
      </c>
      <c r="L5" s="15" t="s">
        <v>19</v>
      </c>
      <c r="M5" s="15" t="s">
        <v>20</v>
      </c>
      <c r="N5" s="15" t="s">
        <v>7</v>
      </c>
      <c r="O5" s="15" t="s">
        <v>8</v>
      </c>
    </row>
    <row r="6">
      <c r="A6" s="17"/>
      <c r="B6" s="18" t="s">
        <v>21</v>
      </c>
      <c r="C6" s="19" t="s">
        <v>22</v>
      </c>
      <c r="D6" s="20" t="s">
        <v>23</v>
      </c>
      <c r="E6" s="20" t="s">
        <v>24</v>
      </c>
      <c r="F6" s="21" t="s">
        <v>25</v>
      </c>
      <c r="G6" s="22" t="s">
        <v>26</v>
      </c>
      <c r="H6" s="23" t="s">
        <v>27</v>
      </c>
      <c r="I6" s="24" t="s">
        <v>28</v>
      </c>
      <c r="J6" s="19" t="s">
        <v>29</v>
      </c>
      <c r="K6" s="25" t="s">
        <v>30</v>
      </c>
      <c r="L6" s="18" t="s">
        <v>31</v>
      </c>
      <c r="M6" s="26" t="s">
        <v>32</v>
      </c>
      <c r="N6" s="27" t="s">
        <v>33</v>
      </c>
      <c r="O6" s="17"/>
    </row>
    <row r="7">
      <c r="A7" s="17"/>
      <c r="B7" s="28" t="s">
        <v>34</v>
      </c>
      <c r="C7" s="17" t="s">
        <v>35</v>
      </c>
      <c r="D7" s="29" t="s">
        <v>36</v>
      </c>
      <c r="E7" s="30" t="s">
        <v>37</v>
      </c>
      <c r="F7" s="31" t="s">
        <v>38</v>
      </c>
      <c r="G7" s="32" t="s">
        <v>39</v>
      </c>
      <c r="H7" s="33" t="s">
        <v>40</v>
      </c>
      <c r="I7" s="24" t="s">
        <v>41</v>
      </c>
      <c r="J7" s="34" t="s">
        <v>42</v>
      </c>
      <c r="K7" s="28" t="s">
        <v>43</v>
      </c>
      <c r="L7" s="28" t="s">
        <v>44</v>
      </c>
      <c r="M7" s="26" t="s">
        <v>45</v>
      </c>
      <c r="N7" s="35" t="s">
        <v>46</v>
      </c>
      <c r="O7" s="17"/>
    </row>
    <row r="8">
      <c r="A8" s="34"/>
      <c r="B8" s="28" t="s">
        <v>47</v>
      </c>
      <c r="C8" s="17" t="s">
        <v>48</v>
      </c>
      <c r="D8" s="30" t="s">
        <v>49</v>
      </c>
      <c r="E8" s="30" t="s">
        <v>50</v>
      </c>
      <c r="F8" s="31" t="s">
        <v>51</v>
      </c>
      <c r="G8" s="32" t="s">
        <v>52</v>
      </c>
      <c r="H8" s="33" t="s">
        <v>53</v>
      </c>
      <c r="I8" s="36" t="s">
        <v>54</v>
      </c>
      <c r="J8" s="37" t="s">
        <v>55</v>
      </c>
      <c r="K8" s="38" t="s">
        <v>56</v>
      </c>
      <c r="L8" s="28" t="s">
        <v>57</v>
      </c>
      <c r="M8" s="39" t="s">
        <v>58</v>
      </c>
      <c r="N8" s="34"/>
      <c r="O8" s="17"/>
    </row>
    <row r="9">
      <c r="A9" s="34"/>
      <c r="B9" s="28" t="s">
        <v>59</v>
      </c>
      <c r="C9" s="17" t="s">
        <v>60</v>
      </c>
      <c r="D9" s="29" t="s">
        <v>61</v>
      </c>
      <c r="E9" s="29" t="s">
        <v>62</v>
      </c>
      <c r="F9" s="31" t="s">
        <v>63</v>
      </c>
      <c r="G9" s="32" t="s">
        <v>64</v>
      </c>
      <c r="H9" s="33" t="s">
        <v>65</v>
      </c>
      <c r="I9" s="36" t="s">
        <v>66</v>
      </c>
      <c r="J9" s="34"/>
      <c r="K9" s="40" t="s">
        <v>67</v>
      </c>
      <c r="L9" s="31" t="s">
        <v>68</v>
      </c>
      <c r="M9" s="34"/>
      <c r="N9" s="34"/>
      <c r="O9" s="34"/>
    </row>
    <row r="10">
      <c r="A10" s="34"/>
      <c r="B10" s="28" t="s">
        <v>69</v>
      </c>
      <c r="C10" s="17" t="s">
        <v>70</v>
      </c>
      <c r="D10" s="29" t="s">
        <v>71</v>
      </c>
      <c r="E10" s="29" t="s">
        <v>72</v>
      </c>
      <c r="F10" s="31" t="s">
        <v>73</v>
      </c>
      <c r="G10" s="32" t="s">
        <v>74</v>
      </c>
      <c r="H10" s="33" t="s">
        <v>75</v>
      </c>
      <c r="I10" s="41" t="s">
        <v>76</v>
      </c>
      <c r="J10" s="34"/>
      <c r="K10" s="42" t="s">
        <v>77</v>
      </c>
      <c r="L10" s="31" t="s">
        <v>78</v>
      </c>
      <c r="M10" s="34"/>
      <c r="N10" s="34"/>
      <c r="O10" s="34"/>
    </row>
    <row r="11">
      <c r="A11" s="34"/>
      <c r="B11" s="43" t="s">
        <v>79</v>
      </c>
      <c r="C11" s="44" t="s">
        <v>80</v>
      </c>
      <c r="D11" s="29" t="s">
        <v>81</v>
      </c>
      <c r="E11" s="38" t="s">
        <v>82</v>
      </c>
      <c r="F11" s="31" t="s">
        <v>83</v>
      </c>
      <c r="G11" s="33" t="s">
        <v>84</v>
      </c>
      <c r="H11" s="33" t="s">
        <v>85</v>
      </c>
      <c r="I11" s="45"/>
      <c r="J11" s="34"/>
      <c r="K11" s="46" t="s">
        <v>86</v>
      </c>
      <c r="L11" s="47" t="s">
        <v>87</v>
      </c>
      <c r="M11" s="34"/>
      <c r="N11" s="34"/>
      <c r="O11" s="34"/>
    </row>
    <row r="12">
      <c r="A12" s="34"/>
      <c r="B12" s="34"/>
      <c r="C12" s="34"/>
      <c r="D12" s="46" t="s">
        <v>88</v>
      </c>
      <c r="E12" s="48" t="s">
        <v>89</v>
      </c>
      <c r="F12" s="49" t="s">
        <v>90</v>
      </c>
      <c r="G12" s="33" t="s">
        <v>91</v>
      </c>
      <c r="H12" s="33" t="s">
        <v>92</v>
      </c>
      <c r="I12" s="45"/>
      <c r="J12" s="34"/>
      <c r="K12" s="50"/>
      <c r="L12" s="43" t="s">
        <v>93</v>
      </c>
      <c r="M12" s="34"/>
      <c r="N12" s="50"/>
      <c r="O12" s="34"/>
    </row>
    <row r="13">
      <c r="A13" s="34"/>
      <c r="B13" s="17"/>
      <c r="C13" s="34"/>
      <c r="D13" s="34"/>
      <c r="E13" s="34"/>
      <c r="F13" s="34"/>
      <c r="G13" s="51" t="s">
        <v>94</v>
      </c>
      <c r="H13" s="33" t="s">
        <v>95</v>
      </c>
      <c r="I13" s="45"/>
      <c r="J13" s="34"/>
      <c r="K13" s="50"/>
      <c r="L13" s="50"/>
      <c r="M13" s="50"/>
      <c r="N13" s="50"/>
      <c r="O13" s="50"/>
    </row>
    <row r="14">
      <c r="A14" s="34"/>
      <c r="B14" s="34"/>
      <c r="C14" s="34"/>
      <c r="D14" s="34"/>
      <c r="E14" s="34"/>
      <c r="F14" s="34"/>
      <c r="G14" s="34"/>
      <c r="H14" s="33" t="s">
        <v>96</v>
      </c>
      <c r="I14" s="34"/>
      <c r="J14" s="34"/>
      <c r="K14" s="50"/>
      <c r="L14" s="34"/>
      <c r="M14" s="34"/>
      <c r="N14" s="34"/>
      <c r="O14" s="34"/>
    </row>
    <row r="15">
      <c r="A15" s="34"/>
      <c r="B15" s="34"/>
      <c r="C15" s="34"/>
      <c r="D15" s="34"/>
      <c r="E15" s="34"/>
      <c r="F15" s="34"/>
      <c r="G15" s="34"/>
      <c r="H15" s="33" t="s">
        <v>97</v>
      </c>
      <c r="I15" s="34"/>
      <c r="J15" s="34"/>
      <c r="K15" s="50"/>
      <c r="L15" s="34"/>
      <c r="M15" s="34"/>
      <c r="N15" s="34"/>
      <c r="O15" s="34"/>
    </row>
    <row r="16">
      <c r="A16" s="34"/>
      <c r="B16" s="34"/>
      <c r="C16" s="34"/>
      <c r="D16" s="34"/>
      <c r="E16" s="34"/>
      <c r="F16" s="34"/>
      <c r="G16" s="34"/>
      <c r="H16" s="51" t="s">
        <v>98</v>
      </c>
      <c r="I16" s="34"/>
      <c r="J16" s="34"/>
      <c r="K16" s="50"/>
      <c r="L16" s="34"/>
      <c r="M16" s="34"/>
      <c r="N16" s="34"/>
      <c r="O16" s="34"/>
    </row>
    <row r="17">
      <c r="A17" s="34"/>
      <c r="B17" s="52"/>
      <c r="C17" s="34"/>
      <c r="D17" s="34"/>
      <c r="E17" s="34"/>
      <c r="F17" s="34"/>
      <c r="G17" s="34"/>
      <c r="H17" s="34"/>
      <c r="I17" s="34"/>
      <c r="J17" s="34"/>
      <c r="K17" s="50"/>
      <c r="L17" s="34"/>
      <c r="M17" s="34"/>
      <c r="N17" s="34"/>
      <c r="O17" s="34"/>
    </row>
    <row r="18">
      <c r="A18" s="34"/>
      <c r="B18" s="17"/>
      <c r="C18" s="34"/>
      <c r="D18" s="34"/>
      <c r="E18" s="34"/>
      <c r="F18" s="34"/>
      <c r="G18" s="34"/>
      <c r="H18" s="53" t="s">
        <v>99</v>
      </c>
      <c r="I18" s="53"/>
      <c r="J18" s="34"/>
      <c r="K18" s="50"/>
      <c r="L18" s="34"/>
      <c r="M18" s="34"/>
      <c r="N18" s="34"/>
      <c r="O18" s="34"/>
    </row>
    <row r="19">
      <c r="A19" s="34"/>
      <c r="B19" s="34"/>
      <c r="C19" s="34"/>
      <c r="D19" s="34"/>
      <c r="E19" s="34"/>
      <c r="F19" s="34"/>
      <c r="G19" s="34"/>
      <c r="H19" s="53" t="s">
        <v>100</v>
      </c>
      <c r="I19" s="34"/>
      <c r="J19" s="34"/>
      <c r="K19" s="50"/>
      <c r="L19" s="34"/>
      <c r="M19" s="34"/>
      <c r="N19" s="34"/>
      <c r="O19" s="34"/>
    </row>
    <row r="20">
      <c r="A20" s="34"/>
      <c r="B20" s="34"/>
      <c r="C20" s="34"/>
      <c r="D20" s="34"/>
      <c r="E20" s="34"/>
      <c r="F20" s="34"/>
      <c r="G20" s="34"/>
      <c r="H20" s="34" t="s">
        <v>101</v>
      </c>
      <c r="I20" s="34"/>
      <c r="J20" s="34"/>
      <c r="K20" s="50"/>
      <c r="L20" s="34"/>
      <c r="M20" s="34"/>
      <c r="N20" s="34"/>
      <c r="O20" s="34"/>
    </row>
    <row r="21">
      <c r="A21" s="34"/>
      <c r="B21" s="34"/>
      <c r="C21" s="34"/>
      <c r="D21" s="34"/>
      <c r="E21" s="34"/>
      <c r="F21" s="34"/>
      <c r="G21" s="34"/>
      <c r="H21" s="34" t="s">
        <v>102</v>
      </c>
      <c r="I21" s="34"/>
      <c r="J21" s="34"/>
      <c r="K21" s="34"/>
      <c r="L21" s="34"/>
      <c r="M21" s="34"/>
      <c r="N21" s="34"/>
      <c r="O21" s="34"/>
    </row>
    <row r="22">
      <c r="A22" s="34"/>
      <c r="B22" s="34"/>
      <c r="C22" s="34"/>
      <c r="D22" s="34"/>
      <c r="E22" s="34"/>
      <c r="F22" s="34"/>
      <c r="G22" s="34"/>
      <c r="H22" s="34" t="s">
        <v>103</v>
      </c>
      <c r="I22" s="34"/>
      <c r="J22" s="34"/>
      <c r="K22" s="34"/>
      <c r="L22" s="34"/>
      <c r="M22" s="34"/>
      <c r="N22" s="34"/>
      <c r="O22" s="34"/>
    </row>
    <row r="23">
      <c r="A23" s="34"/>
      <c r="B23" s="34"/>
      <c r="C23" s="34"/>
      <c r="D23" s="34"/>
      <c r="E23" s="34"/>
      <c r="F23" s="34"/>
      <c r="G23" s="34"/>
      <c r="H23" s="34" t="s">
        <v>104</v>
      </c>
      <c r="I23" s="34"/>
      <c r="J23" s="34"/>
      <c r="K23" s="34"/>
      <c r="L23" s="34"/>
      <c r="M23" s="34"/>
      <c r="N23" s="34"/>
      <c r="O23" s="34"/>
    </row>
    <row r="24">
      <c r="A24" s="34"/>
      <c r="B24" s="34"/>
      <c r="C24" s="34"/>
      <c r="D24" s="34"/>
      <c r="E24" s="34"/>
      <c r="F24" s="34"/>
      <c r="G24" s="34"/>
      <c r="H24" s="34" t="s">
        <v>105</v>
      </c>
      <c r="I24" s="34"/>
      <c r="J24" s="34"/>
      <c r="K24" s="34"/>
      <c r="L24" s="34"/>
      <c r="M24" s="34"/>
      <c r="N24" s="34"/>
      <c r="O24" s="34"/>
    </row>
    <row r="25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</row>
    <row r="26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</row>
    <row r="27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</row>
    <row r="28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</row>
    <row r="29">
      <c r="A29" s="34"/>
      <c r="B29" s="54" t="s">
        <v>106</v>
      </c>
      <c r="C29" s="55"/>
      <c r="D29" s="56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</row>
    <row r="30">
      <c r="A30" s="34"/>
      <c r="B30" s="57" t="s">
        <v>107</v>
      </c>
      <c r="C30" s="57" t="s">
        <v>108</v>
      </c>
      <c r="D30" s="56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</row>
    <row r="31">
      <c r="A31" s="34"/>
      <c r="B31" s="58" t="s">
        <v>109</v>
      </c>
      <c r="C31" s="58" t="s">
        <v>110</v>
      </c>
      <c r="D31" s="56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</row>
    <row r="32">
      <c r="A32" s="59"/>
      <c r="B32" s="60" t="s">
        <v>87</v>
      </c>
      <c r="C32" s="60" t="s">
        <v>111</v>
      </c>
      <c r="D32" s="56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</row>
    <row r="33">
      <c r="A33" s="59"/>
      <c r="B33" s="60" t="s">
        <v>8</v>
      </c>
      <c r="C33" s="49" t="s">
        <v>112</v>
      </c>
      <c r="D33" s="56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</row>
    <row r="34">
      <c r="A34" s="59"/>
      <c r="B34" s="60" t="s">
        <v>58</v>
      </c>
      <c r="C34" s="61"/>
      <c r="D34" s="56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</row>
    <row r="35">
      <c r="A35" s="59"/>
      <c r="B35" s="60" t="s">
        <v>45</v>
      </c>
      <c r="C35" s="61"/>
      <c r="D35" s="56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</row>
    <row r="36">
      <c r="A36" s="59"/>
      <c r="B36" s="62" t="s">
        <v>86</v>
      </c>
      <c r="C36" s="59"/>
      <c r="D36" s="56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</row>
    <row r="37">
      <c r="A37" s="59"/>
      <c r="B37" s="62" t="s">
        <v>113</v>
      </c>
      <c r="C37" s="59"/>
      <c r="D37" s="56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</row>
    <row r="38">
      <c r="A38" s="59"/>
      <c r="B38" s="63" t="s">
        <v>93</v>
      </c>
      <c r="C38" s="59"/>
      <c r="D38" s="56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</row>
    <row r="39">
      <c r="A39" s="59"/>
      <c r="B39" s="59"/>
      <c r="C39" s="59"/>
      <c r="D39" s="56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</row>
    <row r="40">
      <c r="A40" s="59"/>
      <c r="B40" s="59"/>
      <c r="C40" s="59"/>
      <c r="D40" s="56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</row>
    <row r="41">
      <c r="A41" s="59"/>
      <c r="B41" s="59"/>
      <c r="C41" s="59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</row>
    <row r="42">
      <c r="A42" s="59"/>
      <c r="B42" s="59"/>
      <c r="C42" s="59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</row>
    <row r="43">
      <c r="A43" s="59"/>
      <c r="B43" s="59"/>
      <c r="C43" s="59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</row>
    <row r="44">
      <c r="A44" s="59"/>
      <c r="B44" s="59"/>
      <c r="C44" s="59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</row>
    <row r="45">
      <c r="A45" s="59"/>
      <c r="B45" s="59"/>
      <c r="C45" s="59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</row>
  </sheetData>
  <mergeCells count="4">
    <mergeCell ref="B3:K3"/>
    <mergeCell ref="B4:E4"/>
    <mergeCell ref="G4:I4"/>
    <mergeCell ref="B29:C29"/>
  </mergeCell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18.88"/>
    <col customWidth="1" min="3" max="3" width="29.88"/>
    <col customWidth="1" min="4" max="4" width="18.38"/>
  </cols>
  <sheetData>
    <row r="1" ht="15.0" customHeight="1">
      <c r="A1" s="17"/>
      <c r="B1" s="61"/>
      <c r="C1" s="61"/>
      <c r="D1" s="64"/>
      <c r="E1" s="64"/>
    </row>
    <row r="2" ht="73.5" customHeight="1">
      <c r="A2" s="17"/>
      <c r="B2" s="65"/>
      <c r="C2" s="66"/>
      <c r="D2" s="67"/>
      <c r="E2" s="67"/>
    </row>
    <row r="3">
      <c r="A3" s="17"/>
      <c r="B3" s="68" t="s">
        <v>114</v>
      </c>
    </row>
    <row r="4">
      <c r="A4" s="17"/>
      <c r="B4" s="69" t="s">
        <v>115</v>
      </c>
      <c r="E4" s="70"/>
    </row>
    <row r="5">
      <c r="A5" s="17"/>
      <c r="B5" s="71" t="s">
        <v>116</v>
      </c>
      <c r="C5" s="72" t="s">
        <v>117</v>
      </c>
      <c r="D5" s="73" t="s">
        <v>118</v>
      </c>
      <c r="E5" s="74" t="s">
        <v>119</v>
      </c>
    </row>
    <row r="6">
      <c r="A6" s="17"/>
      <c r="B6" s="20" t="s">
        <v>21</v>
      </c>
      <c r="C6" s="75" t="s">
        <v>120</v>
      </c>
      <c r="D6" s="19" t="s">
        <v>121</v>
      </c>
      <c r="E6" s="76" t="s">
        <v>121</v>
      </c>
    </row>
    <row r="7">
      <c r="A7" s="17"/>
      <c r="B7" s="30" t="s">
        <v>34</v>
      </c>
      <c r="C7" s="45" t="s">
        <v>122</v>
      </c>
      <c r="D7" s="17" t="s">
        <v>121</v>
      </c>
      <c r="E7" s="27" t="s">
        <v>121</v>
      </c>
    </row>
    <row r="8">
      <c r="A8" s="17"/>
      <c r="B8" s="30" t="s">
        <v>47</v>
      </c>
      <c r="C8" s="17" t="s">
        <v>123</v>
      </c>
      <c r="D8" s="77"/>
      <c r="E8" s="78"/>
    </row>
    <row r="9">
      <c r="A9" s="17"/>
      <c r="B9" s="30" t="s">
        <v>59</v>
      </c>
      <c r="C9" s="17" t="s">
        <v>124</v>
      </c>
      <c r="D9" s="77"/>
      <c r="E9" s="78"/>
    </row>
    <row r="10">
      <c r="A10" s="17"/>
      <c r="B10" s="30" t="s">
        <v>69</v>
      </c>
      <c r="C10" s="17" t="s">
        <v>125</v>
      </c>
      <c r="D10" s="77"/>
      <c r="E10" s="78"/>
    </row>
    <row r="11">
      <c r="A11" s="17"/>
      <c r="B11" s="79" t="s">
        <v>79</v>
      </c>
      <c r="C11" s="80" t="s">
        <v>126</v>
      </c>
      <c r="D11" s="80" t="s">
        <v>121</v>
      </c>
      <c r="E11" s="81" t="s">
        <v>121</v>
      </c>
    </row>
    <row r="12">
      <c r="A12" s="17"/>
      <c r="B12" s="77"/>
      <c r="C12" s="77"/>
      <c r="D12" s="77"/>
      <c r="E12" s="77"/>
    </row>
    <row r="13">
      <c r="A13" s="17"/>
      <c r="B13" s="82" t="s">
        <v>127</v>
      </c>
      <c r="C13" s="17"/>
      <c r="D13" s="17"/>
      <c r="E13" s="77"/>
    </row>
    <row r="14">
      <c r="A14" s="17"/>
      <c r="B14" s="17"/>
      <c r="C14" s="17"/>
      <c r="D14" s="17"/>
      <c r="E14" s="17"/>
    </row>
    <row r="15">
      <c r="A15" s="17"/>
      <c r="B15" s="17"/>
      <c r="C15" s="17"/>
      <c r="D15" s="17"/>
      <c r="E15" s="17"/>
    </row>
    <row r="16">
      <c r="A16" s="17"/>
      <c r="B16" s="17"/>
      <c r="C16" s="17"/>
      <c r="D16" s="17"/>
      <c r="E16" s="17"/>
    </row>
    <row r="17">
      <c r="A17" s="17"/>
      <c r="B17" s="17"/>
      <c r="C17" s="17"/>
      <c r="D17" s="17"/>
      <c r="E17" s="17"/>
    </row>
    <row r="18">
      <c r="A18" s="17"/>
      <c r="B18" s="17"/>
      <c r="C18" s="17"/>
      <c r="D18" s="17"/>
      <c r="E18" s="17"/>
    </row>
    <row r="19">
      <c r="A19" s="17"/>
      <c r="B19" s="17"/>
      <c r="C19" s="17"/>
      <c r="D19" s="17"/>
      <c r="E19" s="17"/>
    </row>
    <row r="20">
      <c r="A20" s="17"/>
      <c r="B20" s="17"/>
      <c r="C20" s="17"/>
      <c r="D20" s="17"/>
      <c r="E20" s="17"/>
    </row>
    <row r="21">
      <c r="A21" s="17"/>
      <c r="B21" s="17"/>
      <c r="C21" s="17"/>
      <c r="D21" s="17"/>
      <c r="E21" s="17"/>
    </row>
    <row r="22">
      <c r="A22" s="17"/>
      <c r="B22" s="17"/>
      <c r="C22" s="17"/>
      <c r="D22" s="17"/>
      <c r="E22" s="17"/>
    </row>
    <row r="23">
      <c r="A23" s="17"/>
      <c r="B23" s="17"/>
      <c r="C23" s="17"/>
      <c r="D23" s="17"/>
      <c r="E23" s="17"/>
    </row>
    <row r="24">
      <c r="A24" s="17"/>
      <c r="B24" s="17"/>
      <c r="C24" s="17"/>
      <c r="D24" s="17"/>
      <c r="E24" s="17"/>
    </row>
  </sheetData>
  <mergeCells count="3">
    <mergeCell ref="B2:C2"/>
    <mergeCell ref="B3:E3"/>
    <mergeCell ref="B4:E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18.88"/>
    <col customWidth="1" min="3" max="3" width="29.88"/>
    <col customWidth="1" min="4" max="4" width="23.13"/>
    <col customWidth="1" min="6" max="6" width="3.5"/>
    <col customWidth="1" min="7" max="7" width="29.5"/>
    <col customWidth="1" min="8" max="8" width="47.5"/>
    <col customWidth="1" min="9" max="9" width="26.0"/>
  </cols>
  <sheetData>
    <row r="1" ht="15.0" customHeight="1">
      <c r="A1" s="17"/>
      <c r="B1" s="61"/>
      <c r="C1" s="61"/>
      <c r="D1" s="64"/>
      <c r="E1" s="64"/>
      <c r="F1" s="83"/>
      <c r="G1" s="83"/>
      <c r="H1" s="83"/>
      <c r="I1" s="83"/>
      <c r="J1" s="83"/>
    </row>
    <row r="2" ht="73.5" customHeight="1">
      <c r="A2" s="17"/>
      <c r="B2" s="65"/>
      <c r="C2" s="66"/>
      <c r="D2" s="67"/>
      <c r="E2" s="67"/>
      <c r="F2" s="84"/>
      <c r="G2" s="66"/>
      <c r="H2" s="66"/>
      <c r="I2" s="66"/>
      <c r="J2" s="85"/>
    </row>
    <row r="3">
      <c r="A3" s="17"/>
      <c r="B3" s="68" t="s">
        <v>128</v>
      </c>
      <c r="J3" s="70"/>
    </row>
    <row r="4">
      <c r="A4" s="17"/>
      <c r="B4" s="69" t="s">
        <v>115</v>
      </c>
      <c r="E4" s="70"/>
      <c r="F4" s="77"/>
      <c r="G4" s="10" t="s">
        <v>129</v>
      </c>
      <c r="J4" s="70"/>
    </row>
    <row r="5">
      <c r="A5" s="17"/>
      <c r="B5" s="71" t="s">
        <v>116</v>
      </c>
      <c r="C5" s="72" t="s">
        <v>117</v>
      </c>
      <c r="D5" s="73" t="s">
        <v>118</v>
      </c>
      <c r="E5" s="74" t="s">
        <v>119</v>
      </c>
      <c r="F5" s="77"/>
      <c r="G5" s="71" t="s">
        <v>116</v>
      </c>
      <c r="H5" s="72" t="s">
        <v>117</v>
      </c>
      <c r="I5" s="73" t="s">
        <v>118</v>
      </c>
      <c r="J5" s="74" t="s">
        <v>119</v>
      </c>
    </row>
    <row r="6">
      <c r="A6" s="17"/>
      <c r="B6" s="20" t="s">
        <v>22</v>
      </c>
      <c r="C6" s="86" t="s">
        <v>130</v>
      </c>
      <c r="D6" s="19" t="s">
        <v>131</v>
      </c>
      <c r="E6" s="87">
        <v>100.0</v>
      </c>
      <c r="F6" s="77"/>
      <c r="G6" s="20" t="s">
        <v>132</v>
      </c>
      <c r="H6" s="75" t="s">
        <v>133</v>
      </c>
      <c r="I6" s="19" t="s">
        <v>134</v>
      </c>
      <c r="J6" s="76" t="s">
        <v>135</v>
      </c>
    </row>
    <row r="7">
      <c r="A7" s="17"/>
      <c r="B7" s="88"/>
      <c r="E7" s="70"/>
      <c r="F7" s="77"/>
      <c r="G7" s="30" t="s">
        <v>136</v>
      </c>
      <c r="H7" s="45" t="s">
        <v>137</v>
      </c>
      <c r="I7" s="17" t="s">
        <v>138</v>
      </c>
      <c r="J7" s="27" t="s">
        <v>135</v>
      </c>
    </row>
    <row r="8">
      <c r="A8" s="17"/>
      <c r="B8" s="88"/>
      <c r="E8" s="70"/>
      <c r="F8" s="77"/>
      <c r="G8" s="30" t="s">
        <v>139</v>
      </c>
      <c r="H8" s="17" t="s">
        <v>140</v>
      </c>
      <c r="I8" s="17" t="s">
        <v>141</v>
      </c>
      <c r="J8" s="27">
        <v>30.0</v>
      </c>
    </row>
    <row r="9">
      <c r="A9" s="17"/>
      <c r="B9" s="88"/>
      <c r="E9" s="70"/>
      <c r="F9" s="77"/>
      <c r="G9" s="30" t="s">
        <v>142</v>
      </c>
      <c r="H9" s="17" t="s">
        <v>143</v>
      </c>
      <c r="I9" s="17" t="s">
        <v>144</v>
      </c>
      <c r="J9" s="27">
        <v>20.0</v>
      </c>
    </row>
    <row r="10">
      <c r="A10" s="17"/>
      <c r="B10" s="88"/>
      <c r="E10" s="70"/>
      <c r="F10" s="77"/>
      <c r="G10" s="30" t="s">
        <v>145</v>
      </c>
      <c r="H10" s="17" t="s">
        <v>146</v>
      </c>
      <c r="I10" s="17" t="s">
        <v>147</v>
      </c>
      <c r="J10" s="27">
        <v>10.0</v>
      </c>
    </row>
    <row r="11">
      <c r="A11" s="17"/>
      <c r="B11" s="88"/>
      <c r="E11" s="70"/>
      <c r="F11" s="77"/>
      <c r="G11" s="30" t="s">
        <v>148</v>
      </c>
      <c r="H11" s="17" t="s">
        <v>149</v>
      </c>
      <c r="I11" s="17" t="s">
        <v>150</v>
      </c>
      <c r="J11" s="27">
        <v>20.0</v>
      </c>
    </row>
    <row r="12">
      <c r="A12" s="17"/>
      <c r="B12" s="88"/>
      <c r="E12" s="70"/>
      <c r="F12" s="77"/>
      <c r="G12" s="30" t="s">
        <v>151</v>
      </c>
      <c r="H12" s="17" t="s">
        <v>152</v>
      </c>
      <c r="I12" s="17" t="s">
        <v>153</v>
      </c>
      <c r="J12" s="27" t="s">
        <v>135</v>
      </c>
    </row>
    <row r="13">
      <c r="A13" s="17"/>
      <c r="B13" s="88"/>
      <c r="E13" s="70"/>
      <c r="F13" s="77"/>
      <c r="G13" s="30" t="s">
        <v>154</v>
      </c>
      <c r="H13" s="17" t="s">
        <v>155</v>
      </c>
      <c r="I13" s="17" t="s">
        <v>156</v>
      </c>
      <c r="J13" s="27" t="s">
        <v>135</v>
      </c>
    </row>
    <row r="14">
      <c r="A14" s="17"/>
      <c r="B14" s="88"/>
      <c r="E14" s="70"/>
      <c r="F14" s="77"/>
      <c r="G14" s="30" t="s">
        <v>94</v>
      </c>
      <c r="H14" s="17" t="s">
        <v>157</v>
      </c>
      <c r="I14" s="17" t="s">
        <v>158</v>
      </c>
      <c r="J14" s="27" t="s">
        <v>135</v>
      </c>
    </row>
    <row r="15">
      <c r="A15" s="17"/>
      <c r="B15" s="88"/>
      <c r="E15" s="70"/>
      <c r="F15" s="77"/>
      <c r="G15" s="30" t="s">
        <v>159</v>
      </c>
      <c r="H15" s="17" t="s">
        <v>160</v>
      </c>
      <c r="I15" s="17" t="s">
        <v>161</v>
      </c>
      <c r="J15" s="27" t="s">
        <v>135</v>
      </c>
    </row>
    <row r="16">
      <c r="A16" s="17"/>
      <c r="B16" s="88"/>
      <c r="E16" s="70"/>
      <c r="F16" s="77"/>
      <c r="G16" s="30" t="s">
        <v>162</v>
      </c>
      <c r="H16" s="17" t="s">
        <v>163</v>
      </c>
      <c r="I16" s="17" t="s">
        <v>164</v>
      </c>
      <c r="J16" s="27" t="s">
        <v>135</v>
      </c>
    </row>
    <row r="17">
      <c r="A17" s="17"/>
      <c r="B17" s="88"/>
      <c r="E17" s="70"/>
      <c r="F17" s="77"/>
      <c r="G17" s="30" t="s">
        <v>165</v>
      </c>
      <c r="H17" s="17" t="s">
        <v>166</v>
      </c>
      <c r="I17" s="17" t="s">
        <v>167</v>
      </c>
      <c r="J17" s="27">
        <v>80.0</v>
      </c>
    </row>
    <row r="18">
      <c r="A18" s="17"/>
      <c r="B18" s="88"/>
      <c r="E18" s="70"/>
      <c r="F18" s="77"/>
      <c r="G18" s="30" t="s">
        <v>168</v>
      </c>
      <c r="H18" s="17" t="s">
        <v>169</v>
      </c>
      <c r="I18" s="17" t="s">
        <v>170</v>
      </c>
      <c r="J18" s="89" t="s">
        <v>135</v>
      </c>
    </row>
    <row r="19">
      <c r="A19" s="17"/>
      <c r="B19" s="90"/>
      <c r="C19" s="91"/>
      <c r="D19" s="91"/>
      <c r="E19" s="92"/>
      <c r="F19" s="77"/>
      <c r="G19" s="30" t="s">
        <v>171</v>
      </c>
      <c r="H19" s="17" t="s">
        <v>172</v>
      </c>
      <c r="I19" s="17" t="s">
        <v>173</v>
      </c>
      <c r="J19" s="27" t="s">
        <v>135</v>
      </c>
    </row>
    <row r="20">
      <c r="A20" s="17"/>
      <c r="B20" s="20" t="s">
        <v>35</v>
      </c>
      <c r="C20" s="19" t="s">
        <v>174</v>
      </c>
      <c r="D20" s="19" t="s">
        <v>175</v>
      </c>
      <c r="E20" s="76">
        <v>20.0</v>
      </c>
      <c r="F20" s="93"/>
      <c r="G20" s="20" t="s">
        <v>176</v>
      </c>
      <c r="H20" s="19" t="s">
        <v>177</v>
      </c>
      <c r="I20" s="19" t="s">
        <v>178</v>
      </c>
      <c r="J20" s="76" t="s">
        <v>135</v>
      </c>
    </row>
    <row r="21">
      <c r="A21" s="17"/>
      <c r="B21" s="88"/>
      <c r="E21" s="70"/>
      <c r="F21" s="93"/>
      <c r="G21" s="30" t="s">
        <v>179</v>
      </c>
      <c r="H21" s="17" t="s">
        <v>180</v>
      </c>
      <c r="I21" s="17" t="s">
        <v>181</v>
      </c>
      <c r="J21" s="27">
        <v>10.0</v>
      </c>
    </row>
    <row r="22">
      <c r="A22" s="17"/>
      <c r="B22" s="88"/>
      <c r="E22" s="70"/>
      <c r="F22" s="93"/>
      <c r="G22" s="30" t="s">
        <v>182</v>
      </c>
      <c r="H22" s="17" t="s">
        <v>183</v>
      </c>
      <c r="I22" s="17" t="s">
        <v>184</v>
      </c>
      <c r="J22" s="27">
        <v>20.0</v>
      </c>
    </row>
    <row r="23">
      <c r="A23" s="17"/>
      <c r="B23" s="88"/>
      <c r="E23" s="70"/>
      <c r="F23" s="93"/>
      <c r="G23" s="30" t="s">
        <v>185</v>
      </c>
      <c r="H23" s="17" t="s">
        <v>186</v>
      </c>
      <c r="I23" s="17" t="s">
        <v>187</v>
      </c>
      <c r="J23" s="27">
        <v>20.0</v>
      </c>
    </row>
    <row r="24">
      <c r="A24" s="17"/>
      <c r="B24" s="88"/>
      <c r="E24" s="70"/>
      <c r="F24" s="93"/>
      <c r="G24" s="30" t="s">
        <v>188</v>
      </c>
      <c r="H24" s="17" t="s">
        <v>189</v>
      </c>
      <c r="I24" s="17" t="s">
        <v>190</v>
      </c>
      <c r="J24" s="27" t="s">
        <v>135</v>
      </c>
    </row>
    <row r="25">
      <c r="A25" s="17"/>
      <c r="B25" s="88"/>
      <c r="E25" s="70"/>
      <c r="F25" s="93"/>
      <c r="G25" s="30" t="s">
        <v>191</v>
      </c>
      <c r="H25" s="17" t="s">
        <v>192</v>
      </c>
      <c r="I25" s="17" t="s">
        <v>193</v>
      </c>
      <c r="J25" s="27" t="s">
        <v>135</v>
      </c>
    </row>
    <row r="26">
      <c r="A26" s="17"/>
      <c r="B26" s="88"/>
      <c r="E26" s="70"/>
      <c r="F26" s="17"/>
      <c r="G26" s="30" t="s">
        <v>194</v>
      </c>
      <c r="H26" s="17" t="s">
        <v>195</v>
      </c>
      <c r="I26" s="17" t="s">
        <v>196</v>
      </c>
      <c r="J26" s="27" t="s">
        <v>135</v>
      </c>
    </row>
    <row r="27">
      <c r="A27" s="17"/>
      <c r="B27" s="88"/>
      <c r="E27" s="70"/>
      <c r="F27" s="17"/>
      <c r="G27" s="30" t="s">
        <v>197</v>
      </c>
      <c r="H27" s="17" t="s">
        <v>198</v>
      </c>
      <c r="I27" s="17" t="s">
        <v>199</v>
      </c>
      <c r="J27" s="27" t="s">
        <v>135</v>
      </c>
    </row>
    <row r="28">
      <c r="A28" s="17"/>
      <c r="B28" s="88"/>
      <c r="E28" s="70"/>
      <c r="F28" s="17"/>
      <c r="G28" s="30" t="s">
        <v>200</v>
      </c>
      <c r="H28" s="17" t="s">
        <v>201</v>
      </c>
      <c r="I28" s="17" t="s">
        <v>202</v>
      </c>
      <c r="J28" s="27">
        <v>10.0</v>
      </c>
    </row>
    <row r="29">
      <c r="A29" s="17"/>
      <c r="B29" s="88"/>
      <c r="E29" s="70"/>
      <c r="F29" s="17"/>
      <c r="G29" s="30" t="s">
        <v>203</v>
      </c>
      <c r="H29" s="17" t="s">
        <v>204</v>
      </c>
      <c r="I29" s="17" t="s">
        <v>205</v>
      </c>
      <c r="J29" s="27" t="s">
        <v>135</v>
      </c>
    </row>
    <row r="30">
      <c r="A30" s="17"/>
      <c r="B30" s="88"/>
      <c r="E30" s="70"/>
      <c r="F30" s="17"/>
      <c r="G30" s="30" t="s">
        <v>206</v>
      </c>
      <c r="H30" s="17" t="s">
        <v>207</v>
      </c>
      <c r="I30" s="17" t="s">
        <v>208</v>
      </c>
      <c r="J30" s="27" t="s">
        <v>135</v>
      </c>
    </row>
    <row r="31">
      <c r="A31" s="17"/>
      <c r="B31" s="90"/>
      <c r="C31" s="91"/>
      <c r="D31" s="91"/>
      <c r="E31" s="92"/>
      <c r="F31" s="17"/>
      <c r="G31" s="30" t="s">
        <v>209</v>
      </c>
      <c r="H31" s="17" t="s">
        <v>210</v>
      </c>
      <c r="I31" s="17" t="s">
        <v>211</v>
      </c>
      <c r="J31" s="27" t="s">
        <v>135</v>
      </c>
    </row>
    <row r="32">
      <c r="A32" s="17"/>
      <c r="B32" s="20" t="s">
        <v>80</v>
      </c>
      <c r="C32" s="19" t="s">
        <v>212</v>
      </c>
      <c r="D32" s="19" t="s">
        <v>213</v>
      </c>
      <c r="E32" s="76">
        <v>100.0</v>
      </c>
      <c r="F32" s="17"/>
      <c r="G32" s="20" t="s">
        <v>214</v>
      </c>
      <c r="H32" s="19" t="s">
        <v>215</v>
      </c>
      <c r="I32" s="19" t="s">
        <v>216</v>
      </c>
      <c r="J32" s="76">
        <v>50.0</v>
      </c>
    </row>
    <row r="33">
      <c r="A33" s="17"/>
      <c r="B33" s="88"/>
      <c r="E33" s="70"/>
      <c r="F33" s="17"/>
      <c r="G33" s="30" t="s">
        <v>217</v>
      </c>
      <c r="H33" s="17" t="s">
        <v>218</v>
      </c>
      <c r="I33" s="17" t="s">
        <v>219</v>
      </c>
      <c r="J33" s="27">
        <v>200.0</v>
      </c>
    </row>
    <row r="34">
      <c r="A34" s="17"/>
      <c r="B34" s="88"/>
      <c r="E34" s="70"/>
      <c r="F34" s="17"/>
      <c r="G34" s="30" t="s">
        <v>220</v>
      </c>
      <c r="H34" s="17" t="s">
        <v>221</v>
      </c>
      <c r="I34" s="17" t="s">
        <v>222</v>
      </c>
      <c r="J34" s="27" t="s">
        <v>135</v>
      </c>
    </row>
    <row r="35">
      <c r="A35" s="17"/>
      <c r="B35" s="88"/>
      <c r="E35" s="70"/>
      <c r="F35" s="17"/>
      <c r="G35" s="30" t="s">
        <v>223</v>
      </c>
      <c r="H35" s="17" t="s">
        <v>224</v>
      </c>
      <c r="I35" s="17" t="s">
        <v>225</v>
      </c>
      <c r="J35" s="27">
        <v>20.0</v>
      </c>
    </row>
    <row r="36">
      <c r="A36" s="17"/>
      <c r="B36" s="88"/>
      <c r="E36" s="70"/>
      <c r="F36" s="17"/>
      <c r="G36" s="30" t="s">
        <v>226</v>
      </c>
      <c r="H36" s="17" t="s">
        <v>227</v>
      </c>
      <c r="I36" s="17" t="s">
        <v>228</v>
      </c>
      <c r="J36" s="27">
        <v>20.0</v>
      </c>
    </row>
    <row r="37">
      <c r="A37" s="17"/>
      <c r="B37" s="90"/>
      <c r="C37" s="91"/>
      <c r="D37" s="91"/>
      <c r="E37" s="92"/>
      <c r="F37" s="17"/>
      <c r="G37" s="94" t="s">
        <v>229</v>
      </c>
      <c r="H37" s="44" t="s">
        <v>230</v>
      </c>
      <c r="I37" s="44" t="s">
        <v>231</v>
      </c>
      <c r="J37" s="35">
        <v>10.0</v>
      </c>
    </row>
    <row r="38">
      <c r="A38" s="17"/>
      <c r="B38" s="95" t="s">
        <v>48</v>
      </c>
      <c r="C38" s="96" t="s">
        <v>232</v>
      </c>
      <c r="D38" s="96" t="s">
        <v>150</v>
      </c>
      <c r="E38" s="97">
        <v>20.0</v>
      </c>
      <c r="F38" s="17"/>
      <c r="G38" s="17"/>
      <c r="H38" s="17"/>
      <c r="I38" s="17"/>
      <c r="J38" s="17"/>
    </row>
    <row r="39">
      <c r="A39" s="17"/>
      <c r="B39" s="95" t="s">
        <v>60</v>
      </c>
      <c r="C39" s="96" t="s">
        <v>233</v>
      </c>
      <c r="D39" s="96" t="s">
        <v>138</v>
      </c>
      <c r="E39" s="97" t="s">
        <v>135</v>
      </c>
      <c r="F39" s="17"/>
      <c r="G39" s="17"/>
      <c r="H39" s="17"/>
      <c r="I39" s="17"/>
      <c r="J39" s="17"/>
    </row>
    <row r="40">
      <c r="A40" s="17"/>
      <c r="B40" s="20" t="s">
        <v>70</v>
      </c>
      <c r="C40" s="19" t="s">
        <v>234</v>
      </c>
      <c r="D40" s="19" t="s">
        <v>235</v>
      </c>
      <c r="E40" s="76" t="s">
        <v>135</v>
      </c>
      <c r="F40" s="17"/>
      <c r="G40" s="17" t="s">
        <v>236</v>
      </c>
      <c r="H40" s="17"/>
      <c r="I40" s="17"/>
      <c r="J40" s="17"/>
    </row>
    <row r="41">
      <c r="A41" s="17"/>
      <c r="B41" s="95" t="s">
        <v>237</v>
      </c>
      <c r="C41" s="96"/>
      <c r="D41" s="96"/>
      <c r="E41" s="97"/>
      <c r="F41" s="17"/>
      <c r="G41" s="17" t="s">
        <v>238</v>
      </c>
      <c r="H41" s="17"/>
      <c r="I41" s="17"/>
      <c r="J41" s="17"/>
    </row>
    <row r="42">
      <c r="A42" s="17"/>
      <c r="B42" s="17"/>
      <c r="C42" s="17"/>
      <c r="D42" s="17"/>
      <c r="E42" s="17"/>
      <c r="F42" s="17"/>
      <c r="G42" s="17"/>
      <c r="H42" s="17"/>
      <c r="I42" s="98"/>
      <c r="J42" s="17"/>
    </row>
    <row r="43">
      <c r="A43" s="17"/>
      <c r="B43" s="17"/>
      <c r="C43" s="17"/>
      <c r="D43" s="17"/>
      <c r="E43" s="17"/>
      <c r="F43" s="17"/>
      <c r="G43" s="17"/>
      <c r="H43" s="17"/>
      <c r="I43" s="17"/>
      <c r="J43" s="17"/>
    </row>
    <row r="44">
      <c r="A44" s="17"/>
      <c r="B44" s="17"/>
      <c r="C44" s="17"/>
      <c r="D44" s="17"/>
      <c r="E44" s="99" t="s">
        <v>239</v>
      </c>
      <c r="F44" s="17"/>
      <c r="G44" s="82"/>
      <c r="H44" s="17"/>
      <c r="I44" s="34" t="s">
        <v>240</v>
      </c>
      <c r="J44" s="17"/>
    </row>
    <row r="45">
      <c r="A45" s="17"/>
      <c r="B45" s="17"/>
      <c r="C45" s="17"/>
      <c r="D45" s="17"/>
      <c r="E45" s="17"/>
      <c r="F45" s="17"/>
      <c r="G45" s="17"/>
      <c r="H45" s="17"/>
      <c r="I45" s="17"/>
      <c r="J45" s="17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</row>
    <row r="47">
      <c r="A47" s="17"/>
      <c r="B47" s="17"/>
      <c r="C47" s="17"/>
      <c r="D47" s="17"/>
      <c r="E47" s="17"/>
      <c r="F47" s="17"/>
      <c r="G47" s="82"/>
      <c r="H47" s="17"/>
      <c r="I47" s="17"/>
      <c r="J47" s="17"/>
    </row>
    <row r="48">
      <c r="A48" s="17"/>
      <c r="B48" s="17"/>
      <c r="C48" s="17"/>
      <c r="D48" s="17"/>
      <c r="E48" s="17"/>
      <c r="F48" s="17"/>
      <c r="G48" s="17"/>
      <c r="H48" s="17"/>
      <c r="I48" s="17"/>
      <c r="J48" s="17"/>
    </row>
    <row r="49">
      <c r="A49" s="17"/>
      <c r="B49" s="17"/>
      <c r="C49" s="17"/>
      <c r="D49" s="17"/>
      <c r="E49" s="17"/>
      <c r="F49" s="17"/>
      <c r="G49" s="17"/>
      <c r="H49" s="17"/>
      <c r="I49" s="17"/>
      <c r="J49" s="17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7"/>
    </row>
    <row r="51">
      <c r="A51" s="17"/>
      <c r="B51" s="17"/>
      <c r="C51" s="17"/>
      <c r="D51" s="17"/>
      <c r="E51" s="17"/>
      <c r="F51" s="17"/>
      <c r="G51" s="100"/>
      <c r="H51" s="101"/>
      <c r="I51" s="102"/>
      <c r="J51" s="103"/>
    </row>
  </sheetData>
  <mergeCells count="17">
    <mergeCell ref="B2:C2"/>
    <mergeCell ref="F2:J2"/>
    <mergeCell ref="B3:J3"/>
    <mergeCell ref="B4:E4"/>
    <mergeCell ref="G4:J4"/>
    <mergeCell ref="B6:B19"/>
    <mergeCell ref="C6:C19"/>
    <mergeCell ref="C32:C37"/>
    <mergeCell ref="D32:D37"/>
    <mergeCell ref="D6:D19"/>
    <mergeCell ref="E6:E19"/>
    <mergeCell ref="B20:B31"/>
    <mergeCell ref="C20:C31"/>
    <mergeCell ref="D20:D31"/>
    <mergeCell ref="E20:E31"/>
    <mergeCell ref="B32:B37"/>
    <mergeCell ref="E32:E37"/>
  </mergeCells>
  <hyperlinks>
    <hyperlink r:id="rId4" ref="E44"/>
  </hyperlinks>
  <drawing r:id="rId5"/>
  <legacy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18.88"/>
    <col customWidth="1" min="3" max="3" width="29.88"/>
    <col customWidth="1" min="4" max="4" width="18.63"/>
  </cols>
  <sheetData>
    <row r="1" ht="15.0" customHeight="1">
      <c r="A1" s="17"/>
      <c r="B1" s="61"/>
      <c r="C1" s="61"/>
      <c r="D1" s="64"/>
      <c r="E1" s="64"/>
    </row>
    <row r="2" ht="73.5" customHeight="1">
      <c r="A2" s="17"/>
      <c r="B2" s="65"/>
      <c r="C2" s="66"/>
      <c r="D2" s="67"/>
      <c r="E2" s="67"/>
    </row>
    <row r="3">
      <c r="A3" s="17"/>
      <c r="B3" s="68" t="s">
        <v>241</v>
      </c>
      <c r="E3" s="70"/>
    </row>
    <row r="4">
      <c r="A4" s="17"/>
      <c r="B4" s="69" t="s">
        <v>115</v>
      </c>
      <c r="E4" s="70"/>
    </row>
    <row r="5">
      <c r="A5" s="17"/>
      <c r="B5" s="71" t="s">
        <v>116</v>
      </c>
      <c r="C5" s="72" t="s">
        <v>117</v>
      </c>
      <c r="D5" s="73" t="s">
        <v>118</v>
      </c>
      <c r="E5" s="74" t="s">
        <v>119</v>
      </c>
    </row>
    <row r="6">
      <c r="A6" s="17"/>
      <c r="B6" s="20" t="s">
        <v>23</v>
      </c>
      <c r="C6" s="19" t="s">
        <v>242</v>
      </c>
      <c r="D6" s="19" t="s">
        <v>243</v>
      </c>
      <c r="E6" s="76" t="s">
        <v>135</v>
      </c>
    </row>
    <row r="7">
      <c r="A7" s="17"/>
      <c r="B7" s="30" t="s">
        <v>36</v>
      </c>
      <c r="C7" s="17" t="s">
        <v>244</v>
      </c>
      <c r="D7" s="17" t="s">
        <v>245</v>
      </c>
      <c r="E7" s="27" t="s">
        <v>135</v>
      </c>
    </row>
    <row r="8">
      <c r="A8" s="17"/>
      <c r="B8" s="30" t="s">
        <v>49</v>
      </c>
      <c r="C8" s="17" t="s">
        <v>246</v>
      </c>
      <c r="D8" s="17" t="s">
        <v>247</v>
      </c>
      <c r="E8" s="27">
        <v>10.0</v>
      </c>
    </row>
    <row r="9">
      <c r="A9" s="17"/>
      <c r="B9" s="30" t="s">
        <v>61</v>
      </c>
      <c r="C9" s="17" t="s">
        <v>248</v>
      </c>
      <c r="D9" s="17" t="s">
        <v>249</v>
      </c>
      <c r="E9" s="27">
        <v>100.0</v>
      </c>
    </row>
    <row r="10">
      <c r="A10" s="17"/>
      <c r="B10" s="30" t="s">
        <v>71</v>
      </c>
      <c r="C10" s="17" t="s">
        <v>250</v>
      </c>
      <c r="D10" s="17" t="s">
        <v>251</v>
      </c>
      <c r="E10" s="27">
        <v>10.0</v>
      </c>
    </row>
    <row r="11">
      <c r="A11" s="17"/>
      <c r="B11" s="30" t="s">
        <v>81</v>
      </c>
      <c r="C11" s="17" t="s">
        <v>252</v>
      </c>
      <c r="D11" s="17" t="s">
        <v>253</v>
      </c>
      <c r="E11" s="27">
        <v>10.0</v>
      </c>
    </row>
    <row r="12">
      <c r="A12" s="17"/>
      <c r="B12" s="94" t="s">
        <v>88</v>
      </c>
      <c r="C12" s="44" t="s">
        <v>254</v>
      </c>
      <c r="D12" s="44" t="s">
        <v>255</v>
      </c>
      <c r="E12" s="35">
        <v>70.0</v>
      </c>
    </row>
    <row r="13">
      <c r="A13" s="17"/>
      <c r="B13" s="17"/>
      <c r="C13" s="17"/>
      <c r="D13" s="17"/>
      <c r="E13" s="17"/>
    </row>
    <row r="14">
      <c r="A14" s="17"/>
      <c r="B14" s="17"/>
      <c r="C14" s="17"/>
      <c r="D14" s="17"/>
      <c r="E14" s="17"/>
    </row>
    <row r="15">
      <c r="A15" s="17"/>
      <c r="B15" s="17"/>
      <c r="C15" s="17"/>
      <c r="D15" s="17"/>
      <c r="E15" s="17"/>
    </row>
    <row r="16">
      <c r="A16" s="17"/>
      <c r="B16" s="17"/>
      <c r="C16" s="17"/>
      <c r="D16" s="17"/>
      <c r="E16" s="17"/>
    </row>
    <row r="17">
      <c r="A17" s="17"/>
      <c r="B17" s="17"/>
      <c r="C17" s="17"/>
      <c r="D17" s="17"/>
      <c r="E17" s="17"/>
    </row>
    <row r="18">
      <c r="A18" s="17"/>
      <c r="B18" s="17"/>
      <c r="C18" s="17"/>
      <c r="D18" s="17"/>
      <c r="E18" s="17"/>
    </row>
    <row r="19">
      <c r="A19" s="17"/>
      <c r="B19" s="17"/>
      <c r="C19" s="17"/>
      <c r="D19" s="17"/>
      <c r="E19" s="17"/>
    </row>
    <row r="20">
      <c r="A20" s="17"/>
      <c r="B20" s="17"/>
      <c r="C20" s="17"/>
      <c r="D20" s="17"/>
      <c r="E20" s="17"/>
    </row>
    <row r="21">
      <c r="A21" s="17"/>
      <c r="B21" s="17"/>
      <c r="C21" s="17"/>
      <c r="D21" s="17"/>
      <c r="E21" s="17"/>
    </row>
    <row r="22">
      <c r="A22" s="17"/>
      <c r="B22" s="17"/>
      <c r="C22" s="17"/>
      <c r="D22" s="17"/>
      <c r="E22" s="93"/>
    </row>
  </sheetData>
  <mergeCells count="3">
    <mergeCell ref="B2:C2"/>
    <mergeCell ref="B3:E3"/>
    <mergeCell ref="B4:E4"/>
  </mergeCells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18.88"/>
    <col customWidth="1" min="3" max="3" width="29.88"/>
    <col customWidth="1" min="4" max="4" width="18.38"/>
  </cols>
  <sheetData>
    <row r="1" ht="15.0" customHeight="1">
      <c r="A1" s="17"/>
      <c r="B1" s="61"/>
      <c r="C1" s="61"/>
      <c r="D1" s="64"/>
      <c r="E1" s="64"/>
    </row>
    <row r="2" ht="73.5" customHeight="1">
      <c r="A2" s="17"/>
      <c r="B2" s="65"/>
      <c r="C2" s="66"/>
      <c r="D2" s="67"/>
      <c r="E2" s="67"/>
    </row>
    <row r="3">
      <c r="A3" s="17"/>
      <c r="B3" s="68" t="s">
        <v>256</v>
      </c>
      <c r="E3" s="70"/>
    </row>
    <row r="4">
      <c r="A4" s="17"/>
      <c r="B4" s="69" t="s">
        <v>115</v>
      </c>
      <c r="E4" s="70"/>
    </row>
    <row r="5">
      <c r="A5" s="17"/>
      <c r="B5" s="71" t="s">
        <v>116</v>
      </c>
      <c r="C5" s="72" t="s">
        <v>117</v>
      </c>
      <c r="D5" s="73" t="s">
        <v>118</v>
      </c>
      <c r="E5" s="74" t="s">
        <v>119</v>
      </c>
    </row>
    <row r="6">
      <c r="A6" s="17"/>
      <c r="B6" s="20" t="s">
        <v>257</v>
      </c>
      <c r="C6" s="19" t="s">
        <v>258</v>
      </c>
      <c r="D6" s="19" t="s">
        <v>259</v>
      </c>
      <c r="E6" s="76">
        <v>40.0</v>
      </c>
    </row>
    <row r="7">
      <c r="A7" s="17"/>
      <c r="B7" s="30" t="s">
        <v>260</v>
      </c>
      <c r="C7" s="17" t="s">
        <v>261</v>
      </c>
      <c r="D7" s="17" t="s">
        <v>262</v>
      </c>
      <c r="E7" s="27" t="s">
        <v>135</v>
      </c>
    </row>
    <row r="8">
      <c r="A8" s="17"/>
      <c r="B8" s="30" t="s">
        <v>263</v>
      </c>
      <c r="C8" s="17" t="s">
        <v>264</v>
      </c>
      <c r="D8" s="17" t="s">
        <v>265</v>
      </c>
      <c r="E8" s="27" t="s">
        <v>135</v>
      </c>
    </row>
    <row r="9">
      <c r="A9" s="17"/>
      <c r="B9" s="30" t="s">
        <v>266</v>
      </c>
      <c r="C9" s="17" t="s">
        <v>267</v>
      </c>
      <c r="D9" s="17" t="s">
        <v>268</v>
      </c>
      <c r="E9" s="27">
        <v>10.0</v>
      </c>
    </row>
    <row r="10">
      <c r="A10" s="17"/>
      <c r="B10" s="30" t="s">
        <v>269</v>
      </c>
      <c r="C10" s="17" t="s">
        <v>270</v>
      </c>
      <c r="D10" s="17" t="s">
        <v>271</v>
      </c>
      <c r="E10" s="27" t="s">
        <v>135</v>
      </c>
    </row>
    <row r="11">
      <c r="A11" s="17"/>
      <c r="B11" s="30" t="s">
        <v>272</v>
      </c>
      <c r="C11" s="17" t="s">
        <v>273</v>
      </c>
      <c r="D11" s="17" t="s">
        <v>274</v>
      </c>
      <c r="E11" s="27" t="s">
        <v>135</v>
      </c>
    </row>
    <row r="12">
      <c r="A12" s="17"/>
      <c r="B12" s="30" t="s">
        <v>275</v>
      </c>
      <c r="C12" s="17" t="s">
        <v>276</v>
      </c>
      <c r="D12" s="17" t="s">
        <v>277</v>
      </c>
      <c r="E12" s="27" t="s">
        <v>135</v>
      </c>
    </row>
    <row r="13">
      <c r="A13" s="17"/>
      <c r="B13" s="30" t="s">
        <v>278</v>
      </c>
      <c r="C13" s="17" t="s">
        <v>279</v>
      </c>
      <c r="D13" s="17" t="s">
        <v>280</v>
      </c>
      <c r="E13" s="27" t="s">
        <v>135</v>
      </c>
    </row>
    <row r="14">
      <c r="A14" s="17"/>
      <c r="B14" s="94" t="s">
        <v>281</v>
      </c>
      <c r="C14" s="44" t="s">
        <v>282</v>
      </c>
      <c r="D14" s="44" t="s">
        <v>283</v>
      </c>
      <c r="E14" s="35" t="s">
        <v>135</v>
      </c>
    </row>
    <row r="15">
      <c r="A15" s="17"/>
      <c r="B15" s="17"/>
      <c r="C15" s="17"/>
      <c r="D15" s="17"/>
      <c r="E15" s="17"/>
    </row>
    <row r="16">
      <c r="A16" s="17"/>
      <c r="B16" s="17"/>
      <c r="C16" s="17"/>
      <c r="D16" s="17"/>
      <c r="E16" s="17"/>
    </row>
    <row r="17">
      <c r="A17" s="17"/>
      <c r="B17" s="17"/>
      <c r="C17" s="17"/>
      <c r="D17" s="17"/>
      <c r="E17" s="17"/>
    </row>
    <row r="18">
      <c r="A18" s="17"/>
      <c r="B18" s="17"/>
      <c r="C18" s="17"/>
      <c r="D18" s="17"/>
      <c r="E18" s="93"/>
    </row>
  </sheetData>
  <mergeCells count="3">
    <mergeCell ref="B2:C2"/>
    <mergeCell ref="B3:E3"/>
    <mergeCell ref="B4:E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18.88"/>
    <col customWidth="1" min="3" max="3" width="29.88"/>
    <col customWidth="1" min="4" max="4" width="28.5"/>
  </cols>
  <sheetData>
    <row r="1" ht="15.0" customHeight="1">
      <c r="A1" s="17"/>
      <c r="B1" s="61"/>
      <c r="C1" s="61"/>
      <c r="D1" s="64"/>
      <c r="E1" s="64"/>
    </row>
    <row r="2" ht="73.5" customHeight="1">
      <c r="A2" s="17"/>
      <c r="B2" s="65"/>
      <c r="C2" s="66"/>
      <c r="D2" s="67"/>
      <c r="E2" s="67"/>
    </row>
    <row r="3">
      <c r="A3" s="17"/>
      <c r="B3" s="68" t="s">
        <v>284</v>
      </c>
      <c r="E3" s="70"/>
    </row>
    <row r="4">
      <c r="A4" s="17"/>
      <c r="B4" s="69" t="s">
        <v>115</v>
      </c>
      <c r="E4" s="70"/>
    </row>
    <row r="5">
      <c r="A5" s="17"/>
      <c r="B5" s="71" t="s">
        <v>116</v>
      </c>
      <c r="C5" s="72" t="s">
        <v>117</v>
      </c>
      <c r="D5" s="73" t="s">
        <v>118</v>
      </c>
      <c r="E5" s="74" t="s">
        <v>119</v>
      </c>
    </row>
    <row r="6">
      <c r="A6" s="17"/>
      <c r="B6" s="22" t="s">
        <v>24</v>
      </c>
      <c r="C6" s="75" t="s">
        <v>285</v>
      </c>
      <c r="D6" s="19" t="s">
        <v>286</v>
      </c>
      <c r="E6" s="87">
        <v>10.0</v>
      </c>
    </row>
    <row r="7">
      <c r="A7" s="17"/>
      <c r="B7" s="32" t="s">
        <v>37</v>
      </c>
      <c r="C7" s="45" t="s">
        <v>287</v>
      </c>
      <c r="D7" s="17" t="s">
        <v>288</v>
      </c>
      <c r="E7" s="89" t="s">
        <v>135</v>
      </c>
    </row>
    <row r="8">
      <c r="A8" s="17"/>
      <c r="B8" s="30" t="s">
        <v>50</v>
      </c>
      <c r="C8" s="17" t="s">
        <v>289</v>
      </c>
      <c r="D8" s="17" t="s">
        <v>290</v>
      </c>
      <c r="E8" s="27" t="s">
        <v>135</v>
      </c>
    </row>
    <row r="9">
      <c r="A9" s="17"/>
      <c r="B9" s="30" t="s">
        <v>62</v>
      </c>
      <c r="C9" s="17" t="s">
        <v>291</v>
      </c>
      <c r="D9" s="17" t="s">
        <v>292</v>
      </c>
      <c r="E9" s="27" t="s">
        <v>135</v>
      </c>
    </row>
    <row r="10">
      <c r="A10" s="17"/>
      <c r="B10" s="30" t="s">
        <v>72</v>
      </c>
      <c r="C10" s="17" t="s">
        <v>293</v>
      </c>
      <c r="D10" s="17" t="s">
        <v>121</v>
      </c>
      <c r="E10" s="27" t="s">
        <v>121</v>
      </c>
    </row>
    <row r="11">
      <c r="A11" s="17"/>
      <c r="B11" s="29" t="s">
        <v>82</v>
      </c>
      <c r="C11" s="17" t="s">
        <v>294</v>
      </c>
      <c r="D11" s="17" t="s">
        <v>295</v>
      </c>
      <c r="E11" s="27" t="s">
        <v>135</v>
      </c>
    </row>
    <row r="12">
      <c r="A12" s="17"/>
      <c r="B12" s="46" t="s">
        <v>89</v>
      </c>
      <c r="C12" s="44" t="s">
        <v>296</v>
      </c>
      <c r="D12" s="44" t="s">
        <v>121</v>
      </c>
      <c r="E12" s="35" t="s">
        <v>121</v>
      </c>
    </row>
    <row r="13">
      <c r="A13" s="17"/>
      <c r="B13" s="34"/>
      <c r="C13" s="17"/>
      <c r="D13" s="17"/>
      <c r="E13" s="93"/>
    </row>
    <row r="14">
      <c r="A14" s="17"/>
      <c r="B14" s="34"/>
      <c r="C14" s="17"/>
      <c r="D14" s="17"/>
      <c r="E14" s="93"/>
    </row>
    <row r="15">
      <c r="A15" s="17"/>
      <c r="B15" s="17"/>
      <c r="C15" s="17"/>
      <c r="D15" s="17"/>
      <c r="E15" s="93"/>
    </row>
    <row r="16">
      <c r="A16" s="17"/>
      <c r="B16" s="17"/>
      <c r="C16" s="17"/>
      <c r="D16" s="17"/>
      <c r="E16" s="93"/>
    </row>
    <row r="17">
      <c r="A17" s="17"/>
      <c r="B17" s="17"/>
      <c r="C17" s="17"/>
      <c r="D17" s="17"/>
      <c r="E17" s="93"/>
    </row>
    <row r="18">
      <c r="A18" s="17"/>
      <c r="B18" s="17"/>
      <c r="C18" s="17"/>
      <c r="D18" s="17"/>
      <c r="E18" s="93"/>
    </row>
  </sheetData>
  <mergeCells count="3">
    <mergeCell ref="B2:C2"/>
    <mergeCell ref="B3:E3"/>
    <mergeCell ref="B4:E4"/>
  </mergeCells>
  <drawing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18.88"/>
    <col customWidth="1" min="3" max="3" width="29.88"/>
    <col customWidth="1" min="4" max="4" width="18.38"/>
    <col customWidth="1" min="6" max="6" width="3.5"/>
    <col customWidth="1" min="7" max="7" width="19.13"/>
    <col customWidth="1" min="8" max="8" width="25.0"/>
    <col customWidth="1" min="9" max="9" width="25.13"/>
    <col customWidth="1" min="10" max="10" width="9.25"/>
  </cols>
  <sheetData>
    <row r="1" ht="15.0" customHeight="1">
      <c r="A1" s="17"/>
      <c r="B1" s="61"/>
      <c r="C1" s="61"/>
      <c r="D1" s="64"/>
      <c r="E1" s="64"/>
      <c r="F1" s="83"/>
      <c r="G1" s="83"/>
      <c r="H1" s="83"/>
      <c r="I1" s="83"/>
      <c r="J1" s="83"/>
    </row>
    <row r="2" ht="73.5" customHeight="1">
      <c r="A2" s="17"/>
      <c r="B2" s="65"/>
      <c r="C2" s="66"/>
      <c r="D2" s="66"/>
      <c r="E2" s="66"/>
      <c r="F2" s="66"/>
      <c r="G2" s="66"/>
      <c r="H2" s="66"/>
      <c r="I2" s="66"/>
      <c r="J2" s="66"/>
    </row>
    <row r="3">
      <c r="A3" s="17"/>
      <c r="B3" s="68" t="s">
        <v>2</v>
      </c>
    </row>
    <row r="4">
      <c r="A4" s="17"/>
      <c r="B4" s="69" t="s">
        <v>115</v>
      </c>
      <c r="E4" s="70"/>
      <c r="F4" s="77"/>
      <c r="G4" s="69" t="s">
        <v>129</v>
      </c>
      <c r="J4" s="70"/>
    </row>
    <row r="5">
      <c r="A5" s="17"/>
      <c r="B5" s="104" t="s">
        <v>116</v>
      </c>
      <c r="C5" s="105" t="s">
        <v>117</v>
      </c>
      <c r="D5" s="106" t="s">
        <v>118</v>
      </c>
      <c r="E5" s="107" t="s">
        <v>119</v>
      </c>
      <c r="F5" s="77"/>
      <c r="G5" s="71" t="s">
        <v>116</v>
      </c>
      <c r="H5" s="73" t="s">
        <v>117</v>
      </c>
      <c r="I5" s="73" t="s">
        <v>118</v>
      </c>
      <c r="J5" s="74" t="s">
        <v>119</v>
      </c>
    </row>
    <row r="6">
      <c r="A6" s="17"/>
      <c r="B6" s="20" t="s">
        <v>28</v>
      </c>
      <c r="C6" s="86" t="s">
        <v>121</v>
      </c>
      <c r="D6" s="108"/>
      <c r="E6" s="109"/>
      <c r="F6" s="77"/>
      <c r="G6" s="22" t="s">
        <v>26</v>
      </c>
      <c r="H6" s="110" t="s">
        <v>140</v>
      </c>
      <c r="I6" s="110" t="s">
        <v>141</v>
      </c>
      <c r="J6" s="111">
        <v>30.0</v>
      </c>
    </row>
    <row r="7">
      <c r="A7" s="17"/>
      <c r="B7" s="88"/>
      <c r="E7" s="70"/>
      <c r="F7" s="77"/>
      <c r="G7" s="32" t="s">
        <v>39</v>
      </c>
      <c r="H7" s="112" t="s">
        <v>143</v>
      </c>
      <c r="I7" s="77" t="s">
        <v>144</v>
      </c>
      <c r="J7" s="78">
        <v>20.0</v>
      </c>
    </row>
    <row r="8">
      <c r="A8" s="17"/>
      <c r="B8" s="88"/>
      <c r="E8" s="70"/>
      <c r="F8" s="77"/>
      <c r="G8" s="32" t="s">
        <v>52</v>
      </c>
      <c r="H8" s="112" t="s">
        <v>163</v>
      </c>
      <c r="I8" s="77" t="s">
        <v>164</v>
      </c>
      <c r="J8" s="78" t="s">
        <v>135</v>
      </c>
    </row>
    <row r="9">
      <c r="A9" s="17"/>
      <c r="B9" s="88"/>
      <c r="E9" s="70"/>
      <c r="F9" s="77"/>
      <c r="G9" s="32" t="s">
        <v>64</v>
      </c>
      <c r="H9" s="112" t="s">
        <v>146</v>
      </c>
      <c r="I9" s="77" t="s">
        <v>147</v>
      </c>
      <c r="J9" s="78">
        <v>10.0</v>
      </c>
    </row>
    <row r="10">
      <c r="A10" s="17"/>
      <c r="B10" s="88"/>
      <c r="E10" s="70"/>
      <c r="F10" s="77"/>
      <c r="G10" s="32" t="s">
        <v>74</v>
      </c>
      <c r="H10" s="113" t="s">
        <v>133</v>
      </c>
      <c r="I10" s="114" t="s">
        <v>134</v>
      </c>
      <c r="J10" s="115" t="s">
        <v>135</v>
      </c>
    </row>
    <row r="11">
      <c r="A11" s="17"/>
      <c r="B11" s="88"/>
      <c r="E11" s="70"/>
      <c r="F11" s="77"/>
      <c r="G11" s="32" t="s">
        <v>84</v>
      </c>
      <c r="H11" s="112" t="s">
        <v>155</v>
      </c>
      <c r="I11" s="77" t="s">
        <v>156</v>
      </c>
      <c r="J11" s="78" t="s">
        <v>135</v>
      </c>
    </row>
    <row r="12">
      <c r="A12" s="17"/>
      <c r="B12" s="88"/>
      <c r="E12" s="70"/>
      <c r="F12" s="77"/>
      <c r="G12" s="32" t="s">
        <v>91</v>
      </c>
      <c r="H12" s="113" t="s">
        <v>137</v>
      </c>
      <c r="I12" s="114" t="s">
        <v>138</v>
      </c>
      <c r="J12" s="115" t="s">
        <v>135</v>
      </c>
    </row>
    <row r="13">
      <c r="A13" s="17"/>
      <c r="B13" s="90"/>
      <c r="C13" s="91"/>
      <c r="D13" s="91"/>
      <c r="E13" s="92"/>
      <c r="F13" s="77"/>
      <c r="G13" s="116" t="s">
        <v>94</v>
      </c>
      <c r="H13" s="117" t="s">
        <v>157</v>
      </c>
      <c r="I13" s="118" t="s">
        <v>158</v>
      </c>
      <c r="J13" s="119" t="s">
        <v>135</v>
      </c>
    </row>
    <row r="14">
      <c r="A14" s="17"/>
      <c r="B14" s="30" t="s">
        <v>41</v>
      </c>
      <c r="C14" s="86" t="s">
        <v>121</v>
      </c>
      <c r="D14" s="108"/>
      <c r="E14" s="109"/>
      <c r="F14" s="77"/>
      <c r="G14" s="32" t="s">
        <v>27</v>
      </c>
      <c r="H14" s="45" t="s">
        <v>297</v>
      </c>
      <c r="I14" s="17" t="s">
        <v>298</v>
      </c>
      <c r="J14" s="27" t="s">
        <v>135</v>
      </c>
    </row>
    <row r="15">
      <c r="A15" s="17"/>
      <c r="B15" s="88"/>
      <c r="E15" s="70"/>
      <c r="F15" s="77"/>
      <c r="G15" s="32" t="s">
        <v>40</v>
      </c>
      <c r="H15" s="45" t="s">
        <v>299</v>
      </c>
      <c r="I15" s="17" t="s">
        <v>300</v>
      </c>
      <c r="J15" s="27" t="s">
        <v>135</v>
      </c>
    </row>
    <row r="16">
      <c r="A16" s="17"/>
      <c r="B16" s="88"/>
      <c r="E16" s="70"/>
      <c r="F16" s="77"/>
      <c r="G16" s="32" t="s">
        <v>53</v>
      </c>
      <c r="H16" s="45" t="s">
        <v>301</v>
      </c>
      <c r="I16" s="17" t="s">
        <v>302</v>
      </c>
      <c r="J16" s="27" t="s">
        <v>135</v>
      </c>
    </row>
    <row r="17">
      <c r="A17" s="17"/>
      <c r="B17" s="88"/>
      <c r="E17" s="70"/>
      <c r="F17" s="77"/>
      <c r="G17" s="32" t="s">
        <v>65</v>
      </c>
      <c r="H17" s="45" t="s">
        <v>303</v>
      </c>
      <c r="I17" s="17" t="s">
        <v>304</v>
      </c>
      <c r="J17" s="27" t="s">
        <v>135</v>
      </c>
    </row>
    <row r="18">
      <c r="A18" s="17"/>
      <c r="B18" s="88"/>
      <c r="E18" s="70"/>
      <c r="F18" s="77"/>
      <c r="G18" s="32" t="s">
        <v>75</v>
      </c>
      <c r="H18" s="45" t="s">
        <v>305</v>
      </c>
      <c r="I18" s="17" t="s">
        <v>306</v>
      </c>
      <c r="J18" s="27" t="s">
        <v>135</v>
      </c>
    </row>
    <row r="19">
      <c r="A19" s="17"/>
      <c r="B19" s="88"/>
      <c r="E19" s="70"/>
      <c r="F19" s="77"/>
      <c r="G19" s="32" t="s">
        <v>85</v>
      </c>
      <c r="H19" s="45" t="s">
        <v>307</v>
      </c>
      <c r="I19" s="17" t="s">
        <v>121</v>
      </c>
      <c r="J19" s="70"/>
    </row>
    <row r="20">
      <c r="A20" s="17"/>
      <c r="B20" s="88"/>
      <c r="E20" s="70"/>
      <c r="F20" s="77"/>
      <c r="G20" s="32" t="s">
        <v>92</v>
      </c>
      <c r="H20" s="45" t="s">
        <v>308</v>
      </c>
      <c r="I20" s="17" t="s">
        <v>121</v>
      </c>
      <c r="J20" s="70"/>
    </row>
    <row r="21">
      <c r="A21" s="17"/>
      <c r="B21" s="88"/>
      <c r="E21" s="70"/>
      <c r="F21" s="77"/>
      <c r="G21" s="32" t="s">
        <v>95</v>
      </c>
      <c r="H21" s="45" t="s">
        <v>309</v>
      </c>
      <c r="I21" s="17" t="s">
        <v>310</v>
      </c>
      <c r="J21" s="27" t="s">
        <v>135</v>
      </c>
    </row>
    <row r="22">
      <c r="A22" s="17"/>
      <c r="B22" s="88"/>
      <c r="E22" s="70"/>
      <c r="F22" s="77"/>
      <c r="G22" s="32" t="s">
        <v>96</v>
      </c>
      <c r="H22" s="45" t="s">
        <v>311</v>
      </c>
      <c r="I22" s="17" t="s">
        <v>312</v>
      </c>
      <c r="J22" s="27" t="s">
        <v>135</v>
      </c>
    </row>
    <row r="23">
      <c r="A23" s="17"/>
      <c r="B23" s="88"/>
      <c r="E23" s="70"/>
      <c r="F23" s="77"/>
      <c r="G23" s="32" t="s">
        <v>97</v>
      </c>
      <c r="H23" s="45" t="s">
        <v>313</v>
      </c>
      <c r="I23" s="17" t="s">
        <v>314</v>
      </c>
      <c r="J23" s="27" t="s">
        <v>135</v>
      </c>
    </row>
    <row r="24">
      <c r="A24" s="17"/>
      <c r="B24" s="90"/>
      <c r="C24" s="91"/>
      <c r="D24" s="91"/>
      <c r="E24" s="92"/>
      <c r="F24" s="77"/>
      <c r="G24" s="120" t="s">
        <v>98</v>
      </c>
      <c r="H24" s="45" t="s">
        <v>315</v>
      </c>
      <c r="I24" s="17" t="s">
        <v>121</v>
      </c>
      <c r="J24" s="70"/>
    </row>
    <row r="25">
      <c r="A25" s="17"/>
      <c r="B25" s="30" t="s">
        <v>54</v>
      </c>
      <c r="C25" s="121" t="s">
        <v>316</v>
      </c>
      <c r="D25" s="17" t="s">
        <v>121</v>
      </c>
      <c r="E25" s="27" t="s">
        <v>121</v>
      </c>
      <c r="F25" s="77"/>
      <c r="G25" s="122" t="s">
        <v>317</v>
      </c>
      <c r="H25" s="75" t="s">
        <v>318</v>
      </c>
      <c r="I25" s="123" t="s">
        <v>121</v>
      </c>
      <c r="J25" s="124" t="s">
        <v>121</v>
      </c>
    </row>
    <row r="26">
      <c r="A26" s="17"/>
      <c r="B26" s="88"/>
      <c r="E26" s="70"/>
      <c r="F26" s="77"/>
      <c r="G26" s="125" t="s">
        <v>319</v>
      </c>
      <c r="H26" s="45" t="s">
        <v>320</v>
      </c>
      <c r="I26" s="77" t="s">
        <v>121</v>
      </c>
      <c r="J26" s="78" t="s">
        <v>121</v>
      </c>
    </row>
    <row r="27">
      <c r="A27" s="17"/>
      <c r="B27" s="88"/>
      <c r="E27" s="70"/>
      <c r="F27" s="77"/>
      <c r="G27" s="125" t="s">
        <v>321</v>
      </c>
      <c r="H27" s="45" t="s">
        <v>322</v>
      </c>
      <c r="I27" s="77" t="s">
        <v>121</v>
      </c>
      <c r="J27" s="78" t="s">
        <v>121</v>
      </c>
    </row>
    <row r="28">
      <c r="A28" s="17"/>
      <c r="B28" s="30"/>
      <c r="C28" s="17"/>
      <c r="D28" s="17"/>
      <c r="E28" s="27"/>
      <c r="F28" s="77"/>
      <c r="G28" s="126" t="s">
        <v>323</v>
      </c>
      <c r="H28" s="44" t="s">
        <v>324</v>
      </c>
      <c r="I28" s="118" t="s">
        <v>121</v>
      </c>
      <c r="J28" s="119" t="s">
        <v>121</v>
      </c>
    </row>
    <row r="29">
      <c r="A29" s="17"/>
      <c r="B29" s="30" t="s">
        <v>66</v>
      </c>
      <c r="C29" s="17" t="s">
        <v>325</v>
      </c>
      <c r="D29" s="17" t="s">
        <v>121</v>
      </c>
      <c r="E29" s="27" t="s">
        <v>121</v>
      </c>
      <c r="F29" s="77"/>
      <c r="G29" s="95" t="s">
        <v>121</v>
      </c>
      <c r="H29" s="127"/>
      <c r="I29" s="127"/>
      <c r="J29" s="55"/>
    </row>
    <row r="30">
      <c r="A30" s="17"/>
      <c r="B30" s="94" t="s">
        <v>76</v>
      </c>
      <c r="C30" s="44" t="s">
        <v>326</v>
      </c>
      <c r="D30" s="44" t="s">
        <v>121</v>
      </c>
      <c r="E30" s="35" t="s">
        <v>121</v>
      </c>
      <c r="F30" s="17"/>
      <c r="G30" s="95" t="s">
        <v>121</v>
      </c>
      <c r="H30" s="127"/>
      <c r="I30" s="127"/>
      <c r="J30" s="55"/>
    </row>
    <row r="31">
      <c r="A31" s="17"/>
      <c r="B31" s="17"/>
      <c r="C31" s="17"/>
      <c r="D31" s="17"/>
      <c r="E31" s="17"/>
      <c r="F31" s="17"/>
      <c r="G31" s="17"/>
      <c r="H31" s="17"/>
      <c r="I31" s="17"/>
      <c r="J31" s="17"/>
    </row>
    <row r="32">
      <c r="A32" s="17"/>
      <c r="B32" s="17"/>
      <c r="C32" s="17"/>
      <c r="D32" s="17"/>
      <c r="E32" s="93"/>
      <c r="F32" s="93"/>
      <c r="G32" s="93" t="s">
        <v>327</v>
      </c>
      <c r="H32" s="93"/>
      <c r="I32" s="93"/>
      <c r="J32" s="93"/>
    </row>
    <row r="33">
      <c r="A33" s="17"/>
      <c r="B33" s="34"/>
      <c r="C33" s="17"/>
      <c r="D33" s="17"/>
      <c r="E33" s="93"/>
      <c r="F33" s="93"/>
      <c r="G33" s="128"/>
      <c r="H33" s="129" t="s">
        <v>328</v>
      </c>
      <c r="I33" s="93"/>
      <c r="J33" s="93"/>
    </row>
    <row r="34">
      <c r="A34" s="17"/>
      <c r="B34" s="17"/>
      <c r="C34" s="17"/>
      <c r="D34" s="17"/>
      <c r="E34" s="93"/>
      <c r="F34" s="93"/>
      <c r="G34" s="93"/>
      <c r="H34" s="93"/>
      <c r="I34" s="93"/>
      <c r="J34" s="93"/>
    </row>
  </sheetData>
  <mergeCells count="17">
    <mergeCell ref="C14:E24"/>
    <mergeCell ref="I19:J19"/>
    <mergeCell ref="I20:J20"/>
    <mergeCell ref="I24:J24"/>
    <mergeCell ref="B25:B27"/>
    <mergeCell ref="C25:C27"/>
    <mergeCell ref="D25:D27"/>
    <mergeCell ref="E25:E27"/>
    <mergeCell ref="G29:J29"/>
    <mergeCell ref="G30:J30"/>
    <mergeCell ref="B2:J2"/>
    <mergeCell ref="B3:J3"/>
    <mergeCell ref="B4:E4"/>
    <mergeCell ref="G4:J4"/>
    <mergeCell ref="B6:B13"/>
    <mergeCell ref="C6:E13"/>
    <mergeCell ref="B14:B2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18.88"/>
    <col customWidth="1" min="3" max="4" width="29.88"/>
    <col customWidth="1" min="5" max="5" width="18.38"/>
    <col customWidth="1" min="7" max="7" width="5.0"/>
    <col customWidth="1" min="8" max="8" width="35.88"/>
    <col customWidth="1" min="9" max="9" width="37.75"/>
    <col customWidth="1" min="10" max="10" width="28.63"/>
    <col customWidth="1" min="13" max="13" width="4.88"/>
    <col customWidth="1" min="14" max="14" width="35.88"/>
    <col customWidth="1" min="15" max="15" width="37.75"/>
    <col customWidth="1" min="16" max="16" width="28.63"/>
  </cols>
  <sheetData>
    <row r="1" ht="15.0" customHeight="1">
      <c r="A1" s="17"/>
      <c r="B1" s="61"/>
      <c r="C1" s="61"/>
      <c r="D1" s="61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</row>
    <row r="2" ht="73.5" customHeight="1">
      <c r="A2" s="17"/>
      <c r="B2" s="130"/>
      <c r="C2" s="131"/>
      <c r="D2" s="131"/>
      <c r="E2" s="132"/>
      <c r="F2" s="132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</row>
    <row r="3">
      <c r="A3" s="17"/>
      <c r="B3" s="134" t="s">
        <v>329</v>
      </c>
    </row>
    <row r="4">
      <c r="A4" s="17"/>
      <c r="B4" s="69" t="s">
        <v>115</v>
      </c>
      <c r="F4" s="70"/>
      <c r="G4" s="10"/>
      <c r="H4" s="69" t="s">
        <v>330</v>
      </c>
      <c r="L4" s="70"/>
      <c r="M4" s="10"/>
      <c r="N4" s="69" t="s">
        <v>331</v>
      </c>
      <c r="R4" s="70"/>
    </row>
    <row r="5">
      <c r="A5" s="17"/>
      <c r="B5" s="104" t="s">
        <v>116</v>
      </c>
      <c r="C5" s="105" t="s">
        <v>332</v>
      </c>
      <c r="D5" s="105" t="s">
        <v>117</v>
      </c>
      <c r="E5" s="106" t="s">
        <v>118</v>
      </c>
      <c r="F5" s="107" t="s">
        <v>119</v>
      </c>
      <c r="G5" s="73"/>
      <c r="H5" s="104" t="s">
        <v>116</v>
      </c>
      <c r="I5" s="105" t="s">
        <v>332</v>
      </c>
      <c r="J5" s="105" t="s">
        <v>117</v>
      </c>
      <c r="K5" s="106" t="s">
        <v>118</v>
      </c>
      <c r="L5" s="107" t="s">
        <v>119</v>
      </c>
      <c r="M5" s="73"/>
      <c r="N5" s="104" t="s">
        <v>116</v>
      </c>
      <c r="O5" s="105" t="s">
        <v>332</v>
      </c>
      <c r="P5" s="105" t="s">
        <v>117</v>
      </c>
      <c r="Q5" s="106" t="s">
        <v>118</v>
      </c>
      <c r="R5" s="107" t="s">
        <v>119</v>
      </c>
    </row>
    <row r="6">
      <c r="A6" s="17"/>
      <c r="B6" s="22" t="s">
        <v>3</v>
      </c>
      <c r="C6" s="75" t="s">
        <v>333</v>
      </c>
      <c r="D6" s="75" t="s">
        <v>333</v>
      </c>
      <c r="E6" s="19" t="s">
        <v>121</v>
      </c>
      <c r="F6" s="76" t="s">
        <v>121</v>
      </c>
      <c r="G6" s="17"/>
      <c r="H6" s="32" t="s">
        <v>29</v>
      </c>
      <c r="I6" s="45" t="s">
        <v>334</v>
      </c>
      <c r="J6" s="45" t="s">
        <v>335</v>
      </c>
      <c r="K6" s="17" t="s">
        <v>121</v>
      </c>
      <c r="L6" s="27" t="s">
        <v>121</v>
      </c>
      <c r="M6" s="17"/>
      <c r="N6" s="135" t="s">
        <v>25</v>
      </c>
      <c r="O6" s="45"/>
      <c r="P6" s="45"/>
      <c r="Q6" s="17" t="s">
        <v>121</v>
      </c>
      <c r="R6" s="27" t="s">
        <v>121</v>
      </c>
    </row>
    <row r="7">
      <c r="A7" s="17"/>
      <c r="B7" s="88"/>
      <c r="F7" s="70"/>
      <c r="G7" s="17"/>
      <c r="H7" s="136" t="s">
        <v>42</v>
      </c>
      <c r="I7" s="137" t="s">
        <v>336</v>
      </c>
      <c r="J7" s="137" t="s">
        <v>337</v>
      </c>
      <c r="K7" s="96" t="s">
        <v>121</v>
      </c>
      <c r="L7" s="97" t="s">
        <v>121</v>
      </c>
      <c r="M7" s="17"/>
      <c r="N7" s="138" t="s">
        <v>38</v>
      </c>
      <c r="O7" s="137"/>
      <c r="P7" s="137"/>
      <c r="Q7" s="96" t="s">
        <v>121</v>
      </c>
      <c r="R7" s="97" t="s">
        <v>121</v>
      </c>
    </row>
    <row r="8">
      <c r="A8" s="17"/>
      <c r="B8" s="88"/>
      <c r="F8" s="70"/>
      <c r="G8" s="17"/>
      <c r="H8" s="94" t="s">
        <v>55</v>
      </c>
      <c r="I8" s="44" t="s">
        <v>338</v>
      </c>
      <c r="J8" s="44" t="s">
        <v>339</v>
      </c>
      <c r="K8" s="44" t="s">
        <v>121</v>
      </c>
      <c r="L8" s="35" t="s">
        <v>121</v>
      </c>
      <c r="M8" s="17"/>
      <c r="N8" s="139" t="s">
        <v>51</v>
      </c>
      <c r="O8" s="44"/>
      <c r="P8" s="44"/>
      <c r="Q8" s="44" t="s">
        <v>121</v>
      </c>
      <c r="R8" s="35" t="s">
        <v>121</v>
      </c>
    </row>
    <row r="9">
      <c r="A9" s="17"/>
      <c r="B9" s="88"/>
      <c r="F9" s="70"/>
      <c r="G9" s="17"/>
      <c r="H9" s="93"/>
      <c r="I9" s="93"/>
      <c r="J9" s="93"/>
      <c r="K9" s="93"/>
      <c r="L9" s="93"/>
      <c r="M9" s="17"/>
      <c r="N9" s="139" t="s">
        <v>63</v>
      </c>
      <c r="O9" s="44"/>
      <c r="P9" s="44"/>
      <c r="Q9" s="44" t="s">
        <v>121</v>
      </c>
      <c r="R9" s="35" t="s">
        <v>121</v>
      </c>
    </row>
    <row r="10">
      <c r="A10" s="17"/>
      <c r="B10" s="88"/>
      <c r="F10" s="70"/>
      <c r="G10" s="17"/>
      <c r="H10" s="93"/>
      <c r="I10" s="93"/>
      <c r="J10" s="93"/>
      <c r="K10" s="93"/>
      <c r="L10" s="93"/>
      <c r="M10" s="17"/>
      <c r="N10" s="139" t="s">
        <v>73</v>
      </c>
      <c r="O10" s="140"/>
      <c r="P10" s="140"/>
      <c r="Q10" s="140"/>
      <c r="R10" s="39"/>
    </row>
    <row r="11">
      <c r="A11" s="17"/>
      <c r="B11" s="88"/>
      <c r="F11" s="70"/>
      <c r="G11" s="17"/>
      <c r="H11" s="93"/>
      <c r="I11" s="93"/>
      <c r="J11" s="93"/>
      <c r="K11" s="93"/>
      <c r="L11" s="93"/>
      <c r="M11" s="17"/>
      <c r="N11" s="139" t="s">
        <v>83</v>
      </c>
      <c r="O11" s="140"/>
      <c r="P11" s="140"/>
      <c r="Q11" s="140"/>
      <c r="R11" s="39"/>
    </row>
    <row r="12">
      <c r="A12" s="17"/>
      <c r="B12" s="90"/>
      <c r="C12" s="91"/>
      <c r="D12" s="91"/>
      <c r="E12" s="91"/>
      <c r="F12" s="92"/>
      <c r="G12" s="17"/>
      <c r="H12" s="93"/>
      <c r="I12" s="93"/>
      <c r="J12" s="93"/>
      <c r="K12" s="93"/>
      <c r="L12" s="93"/>
      <c r="M12" s="17"/>
      <c r="N12" s="139" t="s">
        <v>90</v>
      </c>
      <c r="O12" s="140"/>
      <c r="P12" s="140"/>
      <c r="Q12" s="140"/>
      <c r="R12" s="39"/>
    </row>
    <row r="13">
      <c r="A13" s="17"/>
      <c r="B13" s="17"/>
      <c r="C13" s="17"/>
      <c r="D13" s="17"/>
      <c r="E13" s="17"/>
      <c r="F13" s="93"/>
      <c r="G13" s="93"/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/>
    </row>
    <row r="14">
      <c r="A14" s="17"/>
      <c r="B14" s="17"/>
      <c r="C14" s="17"/>
      <c r="D14" s="17"/>
      <c r="E14" s="17"/>
      <c r="F14" s="93"/>
      <c r="G14" s="93"/>
      <c r="H14" s="93"/>
      <c r="I14" s="93"/>
      <c r="J14" s="93"/>
      <c r="K14" s="93"/>
      <c r="L14" s="93"/>
      <c r="M14" s="93"/>
      <c r="N14" s="93"/>
      <c r="O14" s="93"/>
      <c r="P14" s="93"/>
      <c r="Q14" s="93"/>
      <c r="R14" s="93"/>
    </row>
  </sheetData>
  <mergeCells count="10">
    <mergeCell ref="D6:D12"/>
    <mergeCell ref="E6:E12"/>
    <mergeCell ref="B2:D2"/>
    <mergeCell ref="B3:R3"/>
    <mergeCell ref="B4:F4"/>
    <mergeCell ref="H4:L4"/>
    <mergeCell ref="N4:R4"/>
    <mergeCell ref="B6:B12"/>
    <mergeCell ref="C6:C12"/>
    <mergeCell ref="F6:F1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34.5"/>
    <col customWidth="1" min="3" max="3" width="29.88"/>
    <col customWidth="1" min="4" max="4" width="18.38"/>
    <col customWidth="1" min="6" max="6" width="3.5"/>
    <col customWidth="1" min="7" max="7" width="29.5"/>
    <col customWidth="1" min="8" max="9" width="37.25"/>
    <col customWidth="1" min="10" max="10" width="11.5"/>
    <col customWidth="1" min="11" max="11" width="19.38"/>
    <col customWidth="1" min="13" max="13" width="32.13"/>
    <col customWidth="1" min="14" max="14" width="29.75"/>
    <col customWidth="1" min="15" max="15" width="39.63"/>
  </cols>
  <sheetData>
    <row r="1" ht="15.0" customHeight="1">
      <c r="A1" s="17"/>
      <c r="B1" s="61"/>
      <c r="C1" s="61"/>
      <c r="D1" s="64"/>
      <c r="E1" s="64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</row>
    <row r="2" ht="73.5" customHeight="1">
      <c r="A2" s="17"/>
      <c r="B2" s="65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141"/>
    </row>
    <row r="3">
      <c r="A3" s="17"/>
      <c r="B3" s="68" t="s">
        <v>4</v>
      </c>
      <c r="K3" s="70"/>
      <c r="L3" s="134"/>
      <c r="M3" s="134"/>
      <c r="N3" s="134"/>
      <c r="O3" s="134"/>
      <c r="P3" s="134"/>
      <c r="Q3" s="134"/>
    </row>
    <row r="4">
      <c r="A4" s="17"/>
      <c r="B4" s="69" t="s">
        <v>115</v>
      </c>
      <c r="E4" s="70"/>
      <c r="F4" s="77"/>
      <c r="G4" s="69" t="s">
        <v>129</v>
      </c>
      <c r="K4" s="70"/>
      <c r="L4" s="10"/>
      <c r="M4" s="10" t="s">
        <v>129</v>
      </c>
      <c r="Q4" s="70"/>
    </row>
    <row r="5">
      <c r="A5" s="17"/>
      <c r="B5" s="71" t="s">
        <v>116</v>
      </c>
      <c r="C5" s="72" t="s">
        <v>117</v>
      </c>
      <c r="D5" s="73" t="s">
        <v>118</v>
      </c>
      <c r="E5" s="74" t="s">
        <v>119</v>
      </c>
      <c r="F5" s="77"/>
      <c r="G5" s="71" t="s">
        <v>116</v>
      </c>
      <c r="H5" s="72" t="s">
        <v>332</v>
      </c>
      <c r="I5" s="72" t="s">
        <v>117</v>
      </c>
      <c r="J5" s="73" t="s">
        <v>118</v>
      </c>
      <c r="K5" s="74" t="s">
        <v>119</v>
      </c>
      <c r="L5" s="73"/>
      <c r="M5" s="71" t="s">
        <v>116</v>
      </c>
      <c r="N5" s="72" t="s">
        <v>332</v>
      </c>
      <c r="O5" s="72" t="s">
        <v>117</v>
      </c>
      <c r="P5" s="73" t="s">
        <v>118</v>
      </c>
      <c r="Q5" s="74" t="s">
        <v>119</v>
      </c>
    </row>
    <row r="6">
      <c r="A6" s="17"/>
      <c r="B6" s="22" t="s">
        <v>4</v>
      </c>
      <c r="C6" s="75" t="s">
        <v>340</v>
      </c>
      <c r="D6" s="19" t="s">
        <v>121</v>
      </c>
      <c r="E6" s="87" t="s">
        <v>121</v>
      </c>
      <c r="F6" s="77"/>
      <c r="G6" s="22" t="s">
        <v>30</v>
      </c>
      <c r="H6" s="75" t="s">
        <v>334</v>
      </c>
      <c r="I6" s="75" t="s">
        <v>341</v>
      </c>
      <c r="J6" s="19" t="s">
        <v>121</v>
      </c>
      <c r="K6" s="87" t="s">
        <v>121</v>
      </c>
      <c r="L6" s="45"/>
      <c r="M6" s="22" t="s">
        <v>121</v>
      </c>
      <c r="N6" s="108"/>
      <c r="O6" s="108"/>
      <c r="P6" s="108"/>
      <c r="Q6" s="109"/>
    </row>
    <row r="7">
      <c r="A7" s="17"/>
      <c r="B7" s="88"/>
      <c r="E7" s="70"/>
      <c r="F7" s="77"/>
      <c r="G7" s="22" t="s">
        <v>43</v>
      </c>
      <c r="H7" s="86" t="s">
        <v>334</v>
      </c>
      <c r="I7" s="86" t="s">
        <v>342</v>
      </c>
      <c r="J7" s="19" t="s">
        <v>121</v>
      </c>
      <c r="K7" s="87" t="s">
        <v>121</v>
      </c>
      <c r="L7" s="45"/>
      <c r="M7" s="136" t="s">
        <v>343</v>
      </c>
      <c r="N7" s="127"/>
      <c r="O7" s="127"/>
      <c r="P7" s="127"/>
      <c r="Q7" s="55"/>
    </row>
    <row r="8">
      <c r="A8" s="17"/>
      <c r="B8" s="88"/>
      <c r="E8" s="70"/>
      <c r="F8" s="77"/>
      <c r="G8" s="22" t="s">
        <v>344</v>
      </c>
      <c r="H8" s="86" t="s">
        <v>334</v>
      </c>
      <c r="I8" s="142" t="s">
        <v>345</v>
      </c>
      <c r="J8" s="19" t="s">
        <v>121</v>
      </c>
      <c r="K8" s="87" t="s">
        <v>121</v>
      </c>
      <c r="L8" s="17"/>
      <c r="M8" s="116" t="s">
        <v>121</v>
      </c>
      <c r="N8" s="91"/>
      <c r="O8" s="91"/>
      <c r="P8" s="91"/>
      <c r="Q8" s="92"/>
    </row>
    <row r="9">
      <c r="A9" s="17"/>
      <c r="B9" s="88"/>
      <c r="E9" s="70"/>
      <c r="F9" s="17"/>
      <c r="G9" s="95" t="s">
        <v>67</v>
      </c>
      <c r="H9" s="96" t="s">
        <v>334</v>
      </c>
      <c r="I9" s="96" t="s">
        <v>346</v>
      </c>
      <c r="J9" s="96" t="s">
        <v>121</v>
      </c>
      <c r="K9" s="97" t="s">
        <v>121</v>
      </c>
      <c r="L9" s="45"/>
      <c r="M9" s="116" t="s">
        <v>121</v>
      </c>
      <c r="N9" s="91"/>
      <c r="O9" s="91"/>
      <c r="P9" s="91"/>
      <c r="Q9" s="92"/>
    </row>
    <row r="10">
      <c r="A10" s="17"/>
      <c r="B10" s="88"/>
      <c r="E10" s="70"/>
      <c r="F10" s="17"/>
      <c r="G10" s="94" t="s">
        <v>77</v>
      </c>
      <c r="H10" s="44" t="s">
        <v>347</v>
      </c>
      <c r="I10" s="44" t="s">
        <v>348</v>
      </c>
      <c r="J10" s="44"/>
      <c r="K10" s="35" t="s">
        <v>121</v>
      </c>
      <c r="L10" s="93"/>
      <c r="M10" s="116" t="s">
        <v>121</v>
      </c>
      <c r="N10" s="91"/>
      <c r="O10" s="91"/>
      <c r="P10" s="91"/>
      <c r="Q10" s="92"/>
    </row>
    <row r="11">
      <c r="A11" s="17"/>
      <c r="B11" s="90"/>
      <c r="C11" s="91"/>
      <c r="D11" s="91"/>
      <c r="E11" s="92"/>
      <c r="F11" s="17"/>
      <c r="G11" s="95" t="s">
        <v>86</v>
      </c>
      <c r="H11" s="96" t="s">
        <v>334</v>
      </c>
      <c r="I11" s="96" t="s">
        <v>349</v>
      </c>
      <c r="J11" s="96" t="s">
        <v>121</v>
      </c>
      <c r="K11" s="97" t="s">
        <v>121</v>
      </c>
      <c r="L11" s="93"/>
      <c r="M11" s="116" t="s">
        <v>121</v>
      </c>
      <c r="N11" s="91"/>
      <c r="O11" s="91"/>
      <c r="P11" s="91"/>
      <c r="Q11" s="92"/>
    </row>
    <row r="12">
      <c r="A12" s="17"/>
      <c r="B12" s="17"/>
      <c r="C12" s="17"/>
      <c r="D12" s="17"/>
      <c r="E12" s="93"/>
      <c r="F12" s="93"/>
      <c r="G12" s="93"/>
      <c r="H12" s="93"/>
      <c r="I12" s="93"/>
      <c r="J12" s="93"/>
      <c r="K12" s="93"/>
      <c r="L12" s="93"/>
      <c r="M12" s="93"/>
      <c r="N12" s="93"/>
      <c r="O12" s="93"/>
      <c r="P12" s="93"/>
      <c r="Q12" s="93"/>
    </row>
    <row r="13">
      <c r="A13" s="17"/>
      <c r="B13" s="17"/>
      <c r="C13" s="17"/>
      <c r="D13" s="17"/>
      <c r="E13" s="93"/>
      <c r="F13" s="93"/>
      <c r="G13" s="93"/>
      <c r="H13" s="93"/>
      <c r="I13" s="93"/>
      <c r="J13" s="93"/>
      <c r="K13" s="93"/>
      <c r="L13" s="93"/>
      <c r="M13" s="93"/>
      <c r="N13" s="93"/>
      <c r="O13" s="93"/>
      <c r="P13" s="93"/>
      <c r="Q13" s="93"/>
    </row>
    <row r="14">
      <c r="A14" s="17"/>
      <c r="B14" s="17"/>
      <c r="C14" s="17"/>
      <c r="D14" s="17"/>
      <c r="E14" s="93"/>
      <c r="F14" s="93"/>
      <c r="G14" s="93"/>
      <c r="H14" s="93"/>
      <c r="I14" s="93"/>
      <c r="J14" s="93"/>
      <c r="K14" s="93"/>
      <c r="L14" s="93"/>
      <c r="M14" s="93"/>
      <c r="N14" s="93"/>
      <c r="O14" s="93"/>
      <c r="P14" s="93"/>
      <c r="Q14" s="93"/>
    </row>
    <row r="15">
      <c r="A15" s="17"/>
      <c r="B15" s="17"/>
      <c r="C15" s="17"/>
      <c r="D15" s="17"/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</row>
    <row r="16">
      <c r="A16" s="17"/>
      <c r="B16" s="17"/>
      <c r="C16" s="17"/>
      <c r="D16" s="17"/>
      <c r="E16" s="93"/>
      <c r="F16" s="93"/>
      <c r="G16" s="93"/>
      <c r="H16" s="93"/>
      <c r="I16" s="17"/>
      <c r="J16" s="17"/>
      <c r="K16" s="17"/>
      <c r="L16" s="93"/>
      <c r="M16" s="93"/>
      <c r="N16" s="93"/>
      <c r="O16" s="93"/>
      <c r="P16" s="93"/>
      <c r="Q16" s="93"/>
    </row>
    <row r="17">
      <c r="A17" s="17"/>
      <c r="B17" s="17"/>
      <c r="C17" s="17"/>
      <c r="D17" s="17"/>
      <c r="E17" s="93"/>
      <c r="F17" s="93"/>
      <c r="G17" s="93"/>
      <c r="H17" s="93"/>
      <c r="I17" s="17"/>
      <c r="J17" s="17"/>
      <c r="K17" s="17"/>
      <c r="L17" s="93"/>
      <c r="M17" s="93"/>
      <c r="N17" s="93"/>
      <c r="O17" s="93"/>
      <c r="P17" s="93"/>
      <c r="Q17" s="93"/>
    </row>
    <row r="18">
      <c r="A18" s="17"/>
      <c r="B18" s="17"/>
      <c r="C18" s="17"/>
      <c r="D18" s="17"/>
      <c r="E18" s="93"/>
      <c r="F18" s="93"/>
      <c r="G18" s="93"/>
      <c r="H18" s="93"/>
      <c r="I18" s="17"/>
      <c r="J18" s="17"/>
      <c r="K18" s="17"/>
      <c r="L18" s="93"/>
      <c r="M18" s="93"/>
      <c r="N18" s="93"/>
      <c r="O18" s="93"/>
      <c r="P18" s="93"/>
      <c r="Q18" s="93"/>
    </row>
    <row r="19">
      <c r="A19" s="17"/>
      <c r="B19" s="17"/>
      <c r="C19" s="17"/>
      <c r="D19" s="17"/>
      <c r="E19" s="93"/>
      <c r="F19" s="93"/>
      <c r="G19" s="93"/>
      <c r="H19" s="93"/>
      <c r="I19" s="17"/>
      <c r="J19" s="17"/>
      <c r="K19" s="17"/>
      <c r="L19" s="93"/>
      <c r="M19" s="93"/>
      <c r="N19" s="93"/>
      <c r="O19" s="93"/>
      <c r="P19" s="93"/>
      <c r="Q19" s="93"/>
    </row>
    <row r="20">
      <c r="A20" s="17"/>
      <c r="B20" s="17"/>
      <c r="C20" s="17"/>
      <c r="D20" s="17"/>
      <c r="E20" s="93"/>
      <c r="F20" s="93"/>
      <c r="G20" s="93"/>
      <c r="H20" s="93"/>
      <c r="I20" s="17"/>
      <c r="J20" s="17"/>
      <c r="K20" s="17"/>
      <c r="L20" s="93"/>
      <c r="M20" s="93"/>
      <c r="N20" s="93"/>
      <c r="O20" s="93"/>
      <c r="P20" s="93"/>
      <c r="Q20" s="93"/>
    </row>
    <row r="21">
      <c r="A21" s="17"/>
      <c r="B21" s="17"/>
      <c r="C21" s="17"/>
      <c r="D21" s="17"/>
      <c r="E21" s="93"/>
      <c r="F21" s="93"/>
      <c r="G21" s="93"/>
      <c r="H21" s="93"/>
      <c r="I21" s="17"/>
      <c r="J21" s="17"/>
      <c r="K21" s="17"/>
      <c r="L21" s="93"/>
      <c r="M21" s="93"/>
      <c r="N21" s="93"/>
      <c r="O21" s="93"/>
      <c r="P21" s="93"/>
      <c r="Q21" s="93"/>
    </row>
  </sheetData>
  <mergeCells count="15">
    <mergeCell ref="D6:D11"/>
    <mergeCell ref="E6:E11"/>
    <mergeCell ref="M6:Q6"/>
    <mergeCell ref="M7:Q7"/>
    <mergeCell ref="M8:Q8"/>
    <mergeCell ref="M9:Q9"/>
    <mergeCell ref="M10:Q10"/>
    <mergeCell ref="M11:Q11"/>
    <mergeCell ref="B2:P2"/>
    <mergeCell ref="B3:K3"/>
    <mergeCell ref="B4:E4"/>
    <mergeCell ref="G4:K4"/>
    <mergeCell ref="M4:Q4"/>
    <mergeCell ref="B6:B11"/>
    <mergeCell ref="C6:C11"/>
  </mergeCells>
  <drawing r:id="rId4"/>
  <legacy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29.5"/>
    <col customWidth="1" min="3" max="3" width="26.0"/>
  </cols>
  <sheetData>
    <row r="1" ht="15.0" customHeight="1">
      <c r="A1" s="56"/>
      <c r="B1" s="143"/>
      <c r="C1" s="143"/>
      <c r="D1" s="143"/>
      <c r="E1" s="143"/>
    </row>
    <row r="2" ht="73.5" customHeight="1">
      <c r="A2" s="64"/>
      <c r="B2" s="144"/>
      <c r="C2" s="66"/>
      <c r="D2" s="66"/>
      <c r="E2" s="85"/>
    </row>
    <row r="3">
      <c r="A3" s="64"/>
      <c r="B3" s="145" t="s">
        <v>350</v>
      </c>
      <c r="E3" s="70"/>
    </row>
    <row r="4">
      <c r="A4" s="64"/>
      <c r="B4" s="146" t="s">
        <v>115</v>
      </c>
      <c r="E4" s="70"/>
    </row>
    <row r="5">
      <c r="A5" s="64"/>
      <c r="B5" s="147" t="s">
        <v>116</v>
      </c>
      <c r="C5" s="148" t="s">
        <v>117</v>
      </c>
      <c r="D5" s="148" t="s">
        <v>118</v>
      </c>
      <c r="E5" s="149" t="s">
        <v>119</v>
      </c>
    </row>
    <row r="6">
      <c r="A6" s="64"/>
      <c r="B6" s="150" t="s">
        <v>31</v>
      </c>
      <c r="C6" s="151" t="s">
        <v>351</v>
      </c>
      <c r="D6" s="152" t="s">
        <v>121</v>
      </c>
      <c r="E6" s="153" t="s">
        <v>121</v>
      </c>
    </row>
    <row r="7">
      <c r="A7" s="64"/>
      <c r="B7" s="154" t="s">
        <v>352</v>
      </c>
      <c r="C7" s="155" t="s">
        <v>353</v>
      </c>
      <c r="D7" s="56"/>
      <c r="E7" s="156"/>
    </row>
    <row r="8">
      <c r="A8" s="64"/>
      <c r="B8" s="154" t="s">
        <v>354</v>
      </c>
      <c r="C8" s="157" t="s">
        <v>355</v>
      </c>
      <c r="D8" s="56"/>
      <c r="E8" s="156"/>
    </row>
    <row r="9">
      <c r="A9" s="64"/>
      <c r="B9" s="158" t="s">
        <v>68</v>
      </c>
      <c r="C9" s="155" t="s">
        <v>353</v>
      </c>
      <c r="D9" s="159" t="s">
        <v>121</v>
      </c>
      <c r="E9" s="160" t="s">
        <v>121</v>
      </c>
    </row>
    <row r="10">
      <c r="A10" s="64"/>
      <c r="B10" s="158" t="s">
        <v>78</v>
      </c>
      <c r="C10" s="155" t="s">
        <v>353</v>
      </c>
      <c r="D10" s="159" t="s">
        <v>121</v>
      </c>
      <c r="E10" s="160" t="s">
        <v>121</v>
      </c>
    </row>
    <row r="11">
      <c r="A11" s="64"/>
      <c r="B11" s="161" t="s">
        <v>87</v>
      </c>
      <c r="C11" s="157" t="s">
        <v>356</v>
      </c>
      <c r="D11" s="56" t="s">
        <v>121</v>
      </c>
      <c r="E11" s="156" t="s">
        <v>121</v>
      </c>
    </row>
    <row r="12">
      <c r="A12" s="64"/>
      <c r="B12" s="162" t="s">
        <v>93</v>
      </c>
      <c r="C12" s="163" t="s">
        <v>357</v>
      </c>
      <c r="D12" s="164" t="s">
        <v>121</v>
      </c>
      <c r="E12" s="165" t="s">
        <v>121</v>
      </c>
    </row>
    <row r="13">
      <c r="A13" s="64"/>
      <c r="B13" s="166"/>
      <c r="C13" s="166"/>
      <c r="D13" s="166"/>
      <c r="E13" s="166"/>
    </row>
    <row r="14">
      <c r="A14" s="64"/>
      <c r="B14" s="166"/>
      <c r="C14" s="166"/>
      <c r="D14" s="166"/>
      <c r="E14" s="166"/>
    </row>
    <row r="15">
      <c r="A15" s="64"/>
      <c r="B15" s="166"/>
      <c r="C15" s="166"/>
      <c r="D15" s="166"/>
      <c r="E15" s="166"/>
    </row>
    <row r="16">
      <c r="A16" s="64"/>
      <c r="B16" s="166"/>
      <c r="C16" s="166"/>
      <c r="D16" s="166"/>
      <c r="E16" s="166"/>
    </row>
    <row r="17">
      <c r="A17" s="64"/>
      <c r="B17" s="166"/>
      <c r="C17" s="64"/>
      <c r="D17" s="166"/>
      <c r="E17" s="166"/>
    </row>
    <row r="18">
      <c r="A18" s="64"/>
      <c r="B18" s="166"/>
      <c r="C18" s="64"/>
      <c r="D18" s="166"/>
      <c r="E18" s="166"/>
    </row>
    <row r="19">
      <c r="A19" s="64"/>
      <c r="B19" s="166"/>
      <c r="C19" s="64"/>
      <c r="D19" s="166"/>
      <c r="E19" s="166"/>
    </row>
    <row r="20">
      <c r="A20" s="64"/>
      <c r="B20" s="166"/>
      <c r="C20" s="64"/>
      <c r="D20" s="166"/>
      <c r="E20" s="166"/>
    </row>
  </sheetData>
  <mergeCells count="3">
    <mergeCell ref="B2:E2"/>
    <mergeCell ref="B3:E3"/>
    <mergeCell ref="B4:E4"/>
  </mergeCells>
  <hyperlinks>
    <hyperlink r:id="rId1" ref="C7"/>
    <hyperlink r:id="rId2" ref="C9"/>
    <hyperlink r:id="rId3" ref="C10"/>
  </hyperlinks>
  <drawing r:id="rId4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18.88"/>
    <col customWidth="1" min="3" max="4" width="29.88"/>
    <col customWidth="1" min="5" max="5" width="18.38"/>
  </cols>
  <sheetData>
    <row r="1" ht="15.0" customHeight="1">
      <c r="A1" s="17"/>
      <c r="B1" s="61"/>
      <c r="C1" s="61"/>
      <c r="D1" s="61"/>
      <c r="E1" s="64"/>
    </row>
    <row r="2" ht="73.5" customHeight="1">
      <c r="A2" s="17"/>
      <c r="B2" s="65"/>
      <c r="C2" s="66"/>
      <c r="D2" s="66"/>
      <c r="E2" s="67"/>
    </row>
    <row r="3">
      <c r="A3" s="17"/>
      <c r="B3" s="68" t="s">
        <v>6</v>
      </c>
      <c r="E3" s="70"/>
    </row>
    <row r="4">
      <c r="A4" s="17"/>
      <c r="B4" s="69" t="s">
        <v>115</v>
      </c>
      <c r="E4" s="70"/>
    </row>
    <row r="5">
      <c r="A5" s="17"/>
      <c r="B5" s="71" t="s">
        <v>116</v>
      </c>
      <c r="C5" s="72" t="s">
        <v>117</v>
      </c>
      <c r="D5" s="73" t="s">
        <v>118</v>
      </c>
      <c r="E5" s="74" t="s">
        <v>119</v>
      </c>
    </row>
    <row r="6">
      <c r="A6" s="17"/>
      <c r="B6" s="22" t="s">
        <v>32</v>
      </c>
      <c r="C6" s="75" t="s">
        <v>358</v>
      </c>
      <c r="D6" s="19" t="s">
        <v>121</v>
      </c>
      <c r="E6" s="76" t="s">
        <v>121</v>
      </c>
    </row>
    <row r="7">
      <c r="A7" s="17"/>
      <c r="B7" s="32" t="s">
        <v>45</v>
      </c>
      <c r="C7" s="45" t="s">
        <v>359</v>
      </c>
      <c r="D7" s="17" t="s">
        <v>121</v>
      </c>
      <c r="E7" s="27" t="s">
        <v>121</v>
      </c>
    </row>
    <row r="8">
      <c r="A8" s="17"/>
      <c r="B8" s="94" t="s">
        <v>58</v>
      </c>
      <c r="C8" s="167" t="s">
        <v>360</v>
      </c>
      <c r="D8" s="44" t="s">
        <v>121</v>
      </c>
      <c r="E8" s="35" t="s">
        <v>121</v>
      </c>
    </row>
    <row r="9">
      <c r="A9" s="17"/>
      <c r="B9" s="17"/>
      <c r="C9" s="17"/>
      <c r="D9" s="17"/>
      <c r="E9" s="17"/>
    </row>
    <row r="10">
      <c r="A10" s="17"/>
      <c r="B10" s="17"/>
      <c r="C10" s="17"/>
      <c r="D10" s="17"/>
      <c r="E10" s="17"/>
    </row>
    <row r="11">
      <c r="A11" s="17"/>
      <c r="B11" s="17"/>
      <c r="C11" s="17"/>
      <c r="D11" s="17"/>
      <c r="E11" s="17"/>
    </row>
    <row r="12">
      <c r="A12" s="17"/>
      <c r="B12" s="17"/>
      <c r="C12" s="17"/>
      <c r="D12" s="17"/>
      <c r="E12" s="17"/>
    </row>
    <row r="13">
      <c r="A13" s="17"/>
      <c r="B13" s="17"/>
      <c r="C13" s="17"/>
      <c r="D13" s="17"/>
      <c r="E13" s="17"/>
    </row>
    <row r="14">
      <c r="A14" s="17"/>
      <c r="B14" s="17"/>
      <c r="C14" s="17"/>
      <c r="D14" s="17"/>
      <c r="E14" s="17"/>
    </row>
    <row r="15">
      <c r="A15" s="17"/>
      <c r="B15" s="17"/>
      <c r="C15" s="17"/>
      <c r="D15" s="17"/>
      <c r="E15" s="17"/>
    </row>
    <row r="16">
      <c r="A16" s="17"/>
      <c r="B16" s="17"/>
      <c r="C16" s="17"/>
      <c r="D16" s="17"/>
      <c r="E16" s="17"/>
    </row>
    <row r="17">
      <c r="A17" s="17"/>
      <c r="B17" s="17"/>
      <c r="C17" s="17"/>
      <c r="D17" s="17"/>
      <c r="E17" s="17"/>
    </row>
    <row r="18">
      <c r="A18" s="17"/>
      <c r="B18" s="17"/>
      <c r="C18" s="17"/>
      <c r="D18" s="17"/>
      <c r="E18" s="17"/>
    </row>
    <row r="19">
      <c r="A19" s="17"/>
      <c r="B19" s="17"/>
      <c r="C19" s="17"/>
      <c r="D19" s="17"/>
      <c r="E19" s="17"/>
    </row>
    <row r="20">
      <c r="A20" s="17"/>
      <c r="B20" s="17"/>
      <c r="C20" s="17"/>
      <c r="D20" s="17"/>
      <c r="E20" s="17"/>
    </row>
    <row r="21">
      <c r="A21" s="17"/>
      <c r="B21" s="17"/>
      <c r="C21" s="17"/>
      <c r="D21" s="17"/>
      <c r="E21" s="17"/>
    </row>
  </sheetData>
  <mergeCells count="3">
    <mergeCell ref="B2:D2"/>
    <mergeCell ref="B3:E3"/>
    <mergeCell ref="B4:E4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18.88"/>
    <col customWidth="1" min="3" max="3" width="29.88"/>
    <col customWidth="1" min="4" max="4" width="18.38"/>
    <col customWidth="1" min="6" max="6" width="3.5"/>
    <col customWidth="1" min="7" max="7" width="29.5"/>
    <col customWidth="1" min="8" max="9" width="47.5"/>
    <col customWidth="1" min="10" max="10" width="26.0"/>
  </cols>
  <sheetData>
    <row r="1" ht="15.0" customHeight="1">
      <c r="A1" s="17"/>
      <c r="B1" s="61"/>
      <c r="C1" s="61"/>
      <c r="D1" s="64"/>
      <c r="E1" s="64"/>
      <c r="F1" s="83"/>
      <c r="G1" s="83"/>
      <c r="H1" s="83"/>
      <c r="I1" s="83"/>
      <c r="J1" s="83"/>
      <c r="K1" s="83"/>
    </row>
    <row r="2" ht="73.5" customHeight="1">
      <c r="A2" s="17"/>
      <c r="B2" s="65"/>
      <c r="C2" s="66"/>
      <c r="D2" s="67"/>
      <c r="E2" s="67"/>
      <c r="F2" s="84"/>
      <c r="G2" s="66"/>
      <c r="H2" s="66"/>
      <c r="I2" s="66"/>
      <c r="J2" s="66"/>
      <c r="K2" s="85"/>
    </row>
    <row r="3">
      <c r="A3" s="17"/>
      <c r="B3" s="68" t="s">
        <v>7</v>
      </c>
      <c r="K3" s="70"/>
    </row>
    <row r="4">
      <c r="A4" s="17"/>
      <c r="B4" s="69" t="s">
        <v>115</v>
      </c>
      <c r="E4" s="70"/>
      <c r="F4" s="77"/>
      <c r="G4" s="10" t="s">
        <v>129</v>
      </c>
      <c r="K4" s="70"/>
    </row>
    <row r="5">
      <c r="A5" s="17"/>
      <c r="B5" s="71" t="s">
        <v>116</v>
      </c>
      <c r="C5" s="72" t="s">
        <v>117</v>
      </c>
      <c r="D5" s="73" t="s">
        <v>118</v>
      </c>
      <c r="E5" s="74" t="s">
        <v>119</v>
      </c>
      <c r="F5" s="77"/>
      <c r="G5" s="104" t="s">
        <v>116</v>
      </c>
      <c r="H5" s="105" t="s">
        <v>332</v>
      </c>
      <c r="I5" s="105" t="s">
        <v>117</v>
      </c>
      <c r="J5" s="106" t="s">
        <v>118</v>
      </c>
      <c r="K5" s="107" t="s">
        <v>119</v>
      </c>
    </row>
    <row r="6">
      <c r="A6" s="17"/>
      <c r="B6" s="20" t="s">
        <v>7</v>
      </c>
      <c r="C6" s="86" t="s">
        <v>361</v>
      </c>
      <c r="D6" s="19" t="s">
        <v>121</v>
      </c>
      <c r="E6" s="87" t="s">
        <v>121</v>
      </c>
      <c r="F6" s="77"/>
      <c r="G6" s="32" t="s">
        <v>33</v>
      </c>
      <c r="H6" s="45" t="s">
        <v>362</v>
      </c>
      <c r="I6" s="45" t="s">
        <v>363</v>
      </c>
      <c r="J6" s="17" t="s">
        <v>121</v>
      </c>
      <c r="K6" s="89" t="s">
        <v>121</v>
      </c>
    </row>
    <row r="7">
      <c r="A7" s="17"/>
      <c r="B7" s="90"/>
      <c r="C7" s="91"/>
      <c r="D7" s="91"/>
      <c r="E7" s="92"/>
      <c r="F7" s="77"/>
      <c r="G7" s="94" t="s">
        <v>46</v>
      </c>
      <c r="H7" s="44" t="s">
        <v>334</v>
      </c>
      <c r="I7" s="44" t="s">
        <v>364</v>
      </c>
      <c r="J7" s="44" t="s">
        <v>121</v>
      </c>
      <c r="K7" s="35" t="s">
        <v>121</v>
      </c>
    </row>
    <row r="8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</row>
    <row r="9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</row>
    <row r="10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</row>
    <row r="11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</row>
    <row r="1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</row>
    <row r="13">
      <c r="A13" s="17"/>
      <c r="B13" s="17"/>
      <c r="C13" s="17"/>
      <c r="D13" s="17"/>
      <c r="E13" s="17"/>
      <c r="F13" s="17"/>
      <c r="G13" s="93"/>
      <c r="H13" s="93"/>
      <c r="I13" s="93"/>
      <c r="J13" s="93"/>
      <c r="K13" s="93"/>
    </row>
    <row r="14">
      <c r="A14" s="17"/>
      <c r="B14" s="17"/>
      <c r="C14" s="17"/>
      <c r="D14" s="17"/>
      <c r="E14" s="93"/>
      <c r="F14" s="93"/>
      <c r="G14" s="93"/>
      <c r="H14" s="93"/>
      <c r="I14" s="93"/>
      <c r="J14" s="93"/>
      <c r="K14" s="93"/>
    </row>
    <row r="15">
      <c r="A15" s="17"/>
      <c r="B15" s="17"/>
      <c r="C15" s="17"/>
      <c r="D15" s="17"/>
      <c r="E15" s="93"/>
      <c r="F15" s="93"/>
      <c r="G15" s="93"/>
      <c r="H15" s="93"/>
      <c r="I15" s="93"/>
      <c r="J15" s="93"/>
      <c r="K15" s="93"/>
    </row>
    <row r="16">
      <c r="A16" s="17"/>
      <c r="B16" s="17"/>
      <c r="C16" s="17"/>
      <c r="D16" s="17"/>
      <c r="E16" s="93"/>
      <c r="F16" s="93"/>
      <c r="G16" s="93"/>
      <c r="H16" s="93"/>
      <c r="I16" s="93"/>
      <c r="J16" s="93"/>
      <c r="K16" s="93"/>
    </row>
    <row r="17">
      <c r="A17" s="17"/>
      <c r="B17" s="17"/>
      <c r="C17" s="17"/>
      <c r="D17" s="17"/>
      <c r="E17" s="93"/>
      <c r="F17" s="93"/>
      <c r="G17" s="17"/>
      <c r="H17" s="17"/>
      <c r="I17" s="17"/>
      <c r="J17" s="17"/>
      <c r="K17" s="93"/>
    </row>
    <row r="18">
      <c r="A18" s="17"/>
      <c r="B18" s="17"/>
      <c r="C18" s="17"/>
      <c r="D18" s="17"/>
      <c r="E18" s="93"/>
      <c r="F18" s="93"/>
      <c r="G18" s="17"/>
      <c r="H18" s="17"/>
      <c r="I18" s="17"/>
      <c r="J18" s="17"/>
      <c r="K18" s="93"/>
    </row>
  </sheetData>
  <mergeCells count="9">
    <mergeCell ref="D6:D7"/>
    <mergeCell ref="E6:E7"/>
    <mergeCell ref="B2:C2"/>
    <mergeCell ref="F2:K2"/>
    <mergeCell ref="B3:K3"/>
    <mergeCell ref="B4:E4"/>
    <mergeCell ref="G4:K4"/>
    <mergeCell ref="B6:B7"/>
    <mergeCell ref="C6:C7"/>
  </mergeCells>
  <drawing r:id="rId4"/>
  <legacyDrawing r:id="rId5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18.88"/>
    <col customWidth="1" min="3" max="3" width="29.88"/>
    <col customWidth="1" min="4" max="4" width="18.38"/>
    <col customWidth="1" min="6" max="6" width="3.5"/>
    <col customWidth="1" min="7" max="7" width="29.5"/>
    <col customWidth="1" min="8" max="9" width="47.5"/>
    <col customWidth="1" min="10" max="10" width="26.0"/>
  </cols>
  <sheetData>
    <row r="1" ht="15.0" customHeight="1">
      <c r="A1" s="17"/>
      <c r="B1" s="61"/>
      <c r="C1" s="61"/>
      <c r="D1" s="64"/>
      <c r="E1" s="64"/>
      <c r="F1" s="83"/>
      <c r="G1" s="83"/>
      <c r="H1" s="83"/>
      <c r="I1" s="83"/>
      <c r="J1" s="83"/>
      <c r="K1" s="83"/>
    </row>
    <row r="2" ht="73.5" customHeight="1">
      <c r="A2" s="17"/>
      <c r="B2" s="65"/>
      <c r="C2" s="66"/>
      <c r="D2" s="67"/>
      <c r="E2" s="67"/>
      <c r="F2" s="84"/>
      <c r="G2" s="66"/>
      <c r="H2" s="66"/>
      <c r="I2" s="66"/>
      <c r="J2" s="66"/>
      <c r="K2" s="85"/>
    </row>
    <row r="3">
      <c r="A3" s="17"/>
      <c r="B3" s="68" t="s">
        <v>7</v>
      </c>
      <c r="K3" s="70"/>
    </row>
    <row r="4">
      <c r="A4" s="17"/>
      <c r="B4" s="69" t="s">
        <v>115</v>
      </c>
      <c r="E4" s="70"/>
      <c r="F4" s="77"/>
      <c r="G4" s="10" t="s">
        <v>129</v>
      </c>
      <c r="K4" s="70"/>
    </row>
    <row r="5">
      <c r="A5" s="17"/>
      <c r="B5" s="71" t="s">
        <v>116</v>
      </c>
      <c r="C5" s="72" t="s">
        <v>117</v>
      </c>
      <c r="D5" s="73" t="s">
        <v>118</v>
      </c>
      <c r="E5" s="74" t="s">
        <v>119</v>
      </c>
      <c r="F5" s="77"/>
      <c r="G5" s="71" t="s">
        <v>116</v>
      </c>
      <c r="H5" s="72" t="s">
        <v>332</v>
      </c>
      <c r="I5" s="72" t="s">
        <v>117</v>
      </c>
      <c r="J5" s="73" t="s">
        <v>118</v>
      </c>
      <c r="K5" s="74" t="s">
        <v>119</v>
      </c>
    </row>
    <row r="6">
      <c r="A6" s="17"/>
      <c r="B6" s="20" t="s">
        <v>46</v>
      </c>
      <c r="C6" s="86" t="s">
        <v>364</v>
      </c>
      <c r="D6" s="19" t="s">
        <v>121</v>
      </c>
      <c r="E6" s="87" t="s">
        <v>121</v>
      </c>
      <c r="F6" s="77"/>
      <c r="G6" s="22" t="s">
        <v>365</v>
      </c>
      <c r="H6" s="75" t="s">
        <v>334</v>
      </c>
      <c r="I6" s="75" t="s">
        <v>366</v>
      </c>
      <c r="J6" s="19" t="s">
        <v>121</v>
      </c>
      <c r="K6" s="76" t="s">
        <v>121</v>
      </c>
    </row>
    <row r="7">
      <c r="A7" s="17"/>
      <c r="B7" s="88"/>
      <c r="E7" s="70"/>
      <c r="F7" s="77"/>
      <c r="G7" s="32" t="s">
        <v>367</v>
      </c>
      <c r="H7" s="45" t="s">
        <v>368</v>
      </c>
      <c r="I7" s="45" t="s">
        <v>369</v>
      </c>
      <c r="J7" s="17" t="s">
        <v>121</v>
      </c>
      <c r="K7" s="27" t="s">
        <v>121</v>
      </c>
    </row>
    <row r="8">
      <c r="A8" s="17"/>
      <c r="B8" s="88"/>
      <c r="E8" s="70"/>
      <c r="F8" s="17"/>
      <c r="G8" s="30" t="s">
        <v>370</v>
      </c>
      <c r="H8" s="17" t="s">
        <v>334</v>
      </c>
      <c r="I8" s="17" t="s">
        <v>371</v>
      </c>
      <c r="J8" s="17" t="s">
        <v>121</v>
      </c>
      <c r="K8" s="27" t="s">
        <v>121</v>
      </c>
    </row>
    <row r="9">
      <c r="A9" s="17"/>
      <c r="B9" s="90"/>
      <c r="C9" s="91"/>
      <c r="D9" s="91"/>
      <c r="E9" s="92"/>
      <c r="F9" s="17"/>
      <c r="G9" s="94" t="s">
        <v>372</v>
      </c>
      <c r="H9" s="44" t="s">
        <v>373</v>
      </c>
      <c r="I9" s="44" t="s">
        <v>374</v>
      </c>
      <c r="J9" s="44" t="s">
        <v>121</v>
      </c>
      <c r="K9" s="35" t="s">
        <v>121</v>
      </c>
    </row>
    <row r="10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</row>
    <row r="11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</row>
    <row r="1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</row>
    <row r="13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</row>
    <row r="1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</row>
    <row r="16">
      <c r="A16" s="17"/>
      <c r="B16" s="17"/>
      <c r="C16" s="17"/>
      <c r="D16" s="17"/>
      <c r="E16" s="93"/>
      <c r="F16" s="93"/>
      <c r="G16" s="93"/>
      <c r="H16" s="93"/>
      <c r="I16" s="93"/>
      <c r="J16" s="93"/>
      <c r="K16" s="93"/>
    </row>
    <row r="17">
      <c r="A17" s="17"/>
      <c r="B17" s="17"/>
      <c r="C17" s="17"/>
      <c r="D17" s="17"/>
      <c r="E17" s="93"/>
      <c r="F17" s="93"/>
      <c r="G17" s="93"/>
      <c r="H17" s="93"/>
      <c r="I17" s="93"/>
      <c r="J17" s="93"/>
      <c r="K17" s="93"/>
    </row>
    <row r="18">
      <c r="A18" s="17"/>
      <c r="B18" s="17"/>
      <c r="C18" s="17"/>
      <c r="D18" s="17"/>
      <c r="E18" s="93"/>
      <c r="F18" s="93"/>
      <c r="G18" s="93"/>
      <c r="H18" s="93"/>
      <c r="I18" s="93"/>
      <c r="J18" s="93"/>
      <c r="K18" s="93"/>
    </row>
    <row r="19">
      <c r="A19" s="17"/>
      <c r="B19" s="17"/>
      <c r="C19" s="17"/>
      <c r="D19" s="17"/>
      <c r="E19" s="93"/>
      <c r="F19" s="93"/>
      <c r="G19" s="93"/>
      <c r="H19" s="93"/>
      <c r="I19" s="93"/>
      <c r="J19" s="93"/>
      <c r="K19" s="93"/>
    </row>
    <row r="20">
      <c r="A20" s="17"/>
      <c r="B20" s="17"/>
      <c r="C20" s="17"/>
      <c r="D20" s="17"/>
      <c r="E20" s="93"/>
      <c r="F20" s="93"/>
      <c r="G20" s="17"/>
      <c r="H20" s="17"/>
      <c r="I20" s="17"/>
      <c r="J20" s="17"/>
      <c r="K20" s="93"/>
    </row>
    <row r="21">
      <c r="A21" s="17"/>
      <c r="B21" s="17"/>
      <c r="C21" s="17"/>
      <c r="D21" s="17"/>
      <c r="E21" s="93"/>
      <c r="F21" s="77"/>
      <c r="G21" s="17"/>
      <c r="H21" s="17"/>
      <c r="I21" s="17"/>
      <c r="J21" s="17"/>
      <c r="K21" s="93"/>
    </row>
  </sheetData>
  <mergeCells count="9">
    <mergeCell ref="D6:D9"/>
    <mergeCell ref="E6:E9"/>
    <mergeCell ref="B2:C2"/>
    <mergeCell ref="F2:K2"/>
    <mergeCell ref="B3:K3"/>
    <mergeCell ref="B4:E4"/>
    <mergeCell ref="G4:K4"/>
    <mergeCell ref="B6:B9"/>
    <mergeCell ref="C6:C9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21.5"/>
    <col customWidth="1" min="3" max="3" width="29.88"/>
    <col customWidth="1" min="4" max="4" width="33.75"/>
  </cols>
  <sheetData>
    <row r="1" ht="15.0" customHeight="1">
      <c r="A1" s="17"/>
      <c r="B1" s="61"/>
      <c r="C1" s="61"/>
      <c r="D1" s="64"/>
      <c r="E1" s="64"/>
      <c r="F1" s="64"/>
    </row>
    <row r="2" ht="73.5" customHeight="1">
      <c r="A2" s="17"/>
      <c r="B2" s="65"/>
      <c r="C2" s="66"/>
      <c r="D2" s="66"/>
      <c r="E2" s="66"/>
      <c r="F2" s="66"/>
    </row>
    <row r="3">
      <c r="A3" s="17"/>
      <c r="B3" s="68" t="s">
        <v>106</v>
      </c>
      <c r="F3" s="70"/>
    </row>
    <row r="4">
      <c r="A4" s="17"/>
      <c r="B4" s="69" t="s">
        <v>115</v>
      </c>
      <c r="F4" s="70"/>
    </row>
    <row r="5">
      <c r="A5" s="17"/>
      <c r="B5" s="168" t="s">
        <v>116</v>
      </c>
      <c r="C5" s="169" t="s">
        <v>332</v>
      </c>
      <c r="D5" s="169" t="s">
        <v>117</v>
      </c>
      <c r="E5" s="169" t="s">
        <v>118</v>
      </c>
      <c r="F5" s="170" t="s">
        <v>119</v>
      </c>
    </row>
    <row r="6">
      <c r="A6" s="17"/>
      <c r="B6" s="171" t="s">
        <v>109</v>
      </c>
      <c r="C6" s="56" t="s">
        <v>334</v>
      </c>
      <c r="D6" s="56" t="s">
        <v>375</v>
      </c>
      <c r="E6" s="56" t="s">
        <v>121</v>
      </c>
      <c r="F6" s="156" t="s">
        <v>121</v>
      </c>
    </row>
    <row r="7">
      <c r="A7" s="17"/>
      <c r="B7" s="171" t="s">
        <v>87</v>
      </c>
      <c r="C7" s="56" t="s">
        <v>356</v>
      </c>
      <c r="D7" s="56" t="s">
        <v>356</v>
      </c>
      <c r="E7" s="56" t="s">
        <v>121</v>
      </c>
      <c r="F7" s="156" t="s">
        <v>121</v>
      </c>
    </row>
    <row r="8">
      <c r="A8" s="17"/>
      <c r="B8" s="171" t="s">
        <v>8</v>
      </c>
      <c r="C8" s="56" t="s">
        <v>334</v>
      </c>
      <c r="D8" s="56" t="s">
        <v>376</v>
      </c>
      <c r="E8" s="56" t="s">
        <v>121</v>
      </c>
      <c r="F8" s="156" t="s">
        <v>121</v>
      </c>
    </row>
    <row r="9">
      <c r="A9" s="17"/>
      <c r="B9" s="171" t="s">
        <v>58</v>
      </c>
      <c r="C9" s="56" t="s">
        <v>334</v>
      </c>
      <c r="D9" s="56" t="s">
        <v>360</v>
      </c>
      <c r="E9" s="64"/>
      <c r="F9" s="172"/>
    </row>
    <row r="10">
      <c r="A10" s="17"/>
      <c r="B10" s="171" t="s">
        <v>45</v>
      </c>
      <c r="C10" s="56" t="s">
        <v>377</v>
      </c>
      <c r="D10" s="56" t="s">
        <v>359</v>
      </c>
      <c r="E10" s="56" t="s">
        <v>121</v>
      </c>
      <c r="F10" s="156" t="s">
        <v>121</v>
      </c>
    </row>
    <row r="11">
      <c r="A11" s="17"/>
      <c r="B11" s="173" t="s">
        <v>86</v>
      </c>
      <c r="C11" s="56" t="s">
        <v>334</v>
      </c>
      <c r="D11" s="56" t="s">
        <v>349</v>
      </c>
      <c r="E11" s="56" t="s">
        <v>121</v>
      </c>
      <c r="F11" s="156" t="s">
        <v>121</v>
      </c>
    </row>
    <row r="12">
      <c r="A12" s="17"/>
      <c r="B12" s="173" t="s">
        <v>113</v>
      </c>
      <c r="C12" s="174" t="s">
        <v>378</v>
      </c>
      <c r="D12" s="174" t="s">
        <v>378</v>
      </c>
      <c r="E12" s="56" t="s">
        <v>121</v>
      </c>
      <c r="F12" s="156" t="s">
        <v>121</v>
      </c>
    </row>
    <row r="13">
      <c r="A13" s="17"/>
      <c r="B13" s="173" t="s">
        <v>93</v>
      </c>
      <c r="C13" s="56" t="s">
        <v>357</v>
      </c>
      <c r="D13" s="56" t="s">
        <v>379</v>
      </c>
      <c r="E13" s="56" t="s">
        <v>121</v>
      </c>
      <c r="F13" s="156" t="s">
        <v>121</v>
      </c>
    </row>
    <row r="14">
      <c r="A14" s="17"/>
      <c r="B14" s="171" t="s">
        <v>110</v>
      </c>
      <c r="C14" s="56" t="s">
        <v>380</v>
      </c>
      <c r="D14" s="56" t="s">
        <v>380</v>
      </c>
      <c r="E14" s="56" t="s">
        <v>121</v>
      </c>
      <c r="F14" s="156" t="s">
        <v>121</v>
      </c>
    </row>
    <row r="15">
      <c r="A15" s="17"/>
      <c r="B15" s="171" t="s">
        <v>111</v>
      </c>
      <c r="C15" s="56" t="s">
        <v>381</v>
      </c>
      <c r="D15" s="56" t="s">
        <v>381</v>
      </c>
      <c r="E15" s="56" t="s">
        <v>121</v>
      </c>
      <c r="F15" s="156" t="s">
        <v>121</v>
      </c>
    </row>
    <row r="16">
      <c r="A16" s="17"/>
      <c r="B16" s="175" t="s">
        <v>112</v>
      </c>
      <c r="C16" s="164" t="s">
        <v>382</v>
      </c>
      <c r="D16" s="164" t="s">
        <v>382</v>
      </c>
      <c r="E16" s="164" t="s">
        <v>121</v>
      </c>
      <c r="F16" s="176" t="s">
        <v>121</v>
      </c>
    </row>
    <row r="17">
      <c r="A17" s="17"/>
      <c r="B17" s="17"/>
      <c r="C17" s="17"/>
      <c r="D17" s="17"/>
      <c r="E17" s="17"/>
      <c r="F17" s="17"/>
    </row>
    <row r="18">
      <c r="A18" s="17"/>
      <c r="B18" s="17"/>
      <c r="C18" s="17"/>
      <c r="D18" s="17"/>
      <c r="E18" s="17"/>
      <c r="F18" s="17"/>
    </row>
    <row r="19">
      <c r="A19" s="17"/>
      <c r="B19" s="17"/>
      <c r="C19" s="17"/>
      <c r="D19" s="17"/>
      <c r="E19" s="17"/>
      <c r="F19" s="17"/>
    </row>
    <row r="20">
      <c r="A20" s="17"/>
      <c r="B20" s="17"/>
      <c r="C20" s="17"/>
      <c r="D20" s="17"/>
      <c r="E20" s="17"/>
      <c r="F20" s="17"/>
    </row>
    <row r="21">
      <c r="A21" s="17"/>
      <c r="B21" s="17"/>
      <c r="C21" s="17"/>
      <c r="D21" s="17"/>
      <c r="E21" s="17"/>
      <c r="F21" s="17"/>
    </row>
    <row r="22">
      <c r="A22" s="17"/>
      <c r="B22" s="17"/>
      <c r="C22" s="17"/>
      <c r="D22" s="17"/>
      <c r="E22" s="17"/>
      <c r="F22" s="17"/>
    </row>
    <row r="23">
      <c r="A23" s="17"/>
      <c r="B23" s="17"/>
      <c r="C23" s="17"/>
      <c r="D23" s="17"/>
      <c r="E23" s="17"/>
      <c r="F23" s="17"/>
    </row>
    <row r="24">
      <c r="A24" s="17"/>
      <c r="B24" s="17"/>
      <c r="C24" s="17"/>
      <c r="D24" s="17"/>
      <c r="E24" s="17"/>
      <c r="F24" s="17"/>
    </row>
    <row r="25">
      <c r="A25" s="17"/>
      <c r="B25" s="17"/>
      <c r="C25" s="17"/>
      <c r="D25" s="17"/>
      <c r="E25" s="17"/>
      <c r="F25" s="17"/>
    </row>
    <row r="26">
      <c r="A26" s="17"/>
      <c r="B26" s="17"/>
      <c r="C26" s="17"/>
      <c r="D26" s="17"/>
      <c r="E26" s="17"/>
      <c r="F26" s="17"/>
    </row>
  </sheetData>
  <mergeCells count="3">
    <mergeCell ref="B2:F2"/>
    <mergeCell ref="B3:F3"/>
    <mergeCell ref="B4:F4"/>
  </mergeCells>
  <hyperlinks>
    <hyperlink r:id="rId1" ref="C12"/>
    <hyperlink r:id="rId2" ref="D12"/>
  </hyperlinks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hidden="1" min="1" max="1" width="102.13"/>
    <col customWidth="1" hidden="1" min="2" max="2" width="91.25"/>
    <col customWidth="1" min="3" max="3" width="93.5"/>
  </cols>
  <sheetData>
    <row r="1">
      <c r="A1" s="177" t="s">
        <v>383</v>
      </c>
      <c r="C1" s="178" t="s">
        <v>383</v>
      </c>
    </row>
    <row r="2">
      <c r="A2" s="179" t="s">
        <v>384</v>
      </c>
      <c r="B2" s="180" t="str">
        <f>IFERROR(__xludf.DUMMYFUNCTION("REGEXREPLACE(A2, ""&lt;loc&gt;"", """")"),"https://odysia-cruise-uk.client.prod.eu-west.dreamlake.io/cruise-lines/regent-seven-seas-cruises/seven-seas-mariner&lt;/loc&gt;")</f>
        <v>https://odysia-cruise-uk.client.prod.eu-west.dreamlake.io/cruise-lines/regent-seven-seas-cruises/seven-seas-mariner&lt;/loc&gt;</v>
      </c>
      <c r="C2" s="181" t="str">
        <f>IFERROR(__xludf.DUMMYFUNCTION("REGEXREPLACE(B2, ""&lt;/loc&gt;"", """")"),"https://odysia-cruise-uk.client.prod.eu-west.dreamlake.io/cruise-lines/regent-seven-seas-cruises/seven-seas-mariner")</f>
        <v>https://odysia-cruise-uk.client.prod.eu-west.dreamlake.io/cruise-lines/regent-seven-seas-cruises/seven-seas-mariner</v>
      </c>
      <c r="D2" s="180" t="s">
        <v>385</v>
      </c>
      <c r="E2" s="180" t="str">
        <f>IFERROR(__xludf.DUMMYFUNCTION("REGEXREPLACE(D2, ""https://odysia-cruise-uk.client.prod.eu-west.dreamlake.io"", """")"),"/cruise-lines/regent-seven-seas-cruises/seven-seas-mariner")</f>
        <v>/cruise-lines/regent-seven-seas-cruises/seven-seas-mariner</v>
      </c>
    </row>
    <row r="3">
      <c r="A3" s="182" t="s">
        <v>386</v>
      </c>
      <c r="B3" s="180" t="str">
        <f>IFERROR(__xludf.DUMMYFUNCTION("REGEXREPLACE(A3, ""&lt;loc&gt;"", """")"),"https://odysia-cruise-uk.client.prod.eu-west.dreamlake.io/cruise-lines/princess-cruises/royal-princess/cruises&lt;/loc&gt;")</f>
        <v>https://odysia-cruise-uk.client.prod.eu-west.dreamlake.io/cruise-lines/princess-cruises/royal-princess/cruises&lt;/loc&gt;</v>
      </c>
      <c r="C3" s="181" t="str">
        <f>IFERROR(__xludf.DUMMYFUNCTION("REGEXREPLACE(B3, ""&lt;/loc&gt;"", """")"),"https://odysia-cruise-uk.client.prod.eu-west.dreamlake.io/cruise-lines/princess-cruises/royal-princess/cruises")</f>
        <v>https://odysia-cruise-uk.client.prod.eu-west.dreamlake.io/cruise-lines/princess-cruises/royal-princess/cruises</v>
      </c>
      <c r="D3" s="180" t="s">
        <v>387</v>
      </c>
      <c r="E3" s="180" t="str">
        <f>IFERROR(__xludf.DUMMYFUNCTION("REGEXREPLACE(D3, ""https://odysia-cruise-uk.client.prod.eu-west.dreamlake.io"", """")"),"/cruise-lines/princess-cruises/royal-princess/cruises")</f>
        <v>/cruise-lines/princess-cruises/royal-princess/cruises</v>
      </c>
    </row>
    <row r="4">
      <c r="A4" s="182" t="s">
        <v>388</v>
      </c>
      <c r="B4" s="180" t="str">
        <f>IFERROR(__xludf.DUMMYFUNCTION("REGEXREPLACE(A4, ""&lt;loc&gt;"", """")"),"https://odysia-cruise-uk.client.prod.eu-west.dreamlake.io/cruise-lines/royal-caribbean/anthem-of-the-seas/cruises&lt;/loc&gt;")</f>
        <v>https://odysia-cruise-uk.client.prod.eu-west.dreamlake.io/cruise-lines/royal-caribbean/anthem-of-the-seas/cruises&lt;/loc&gt;</v>
      </c>
      <c r="C4" s="181" t="str">
        <f>IFERROR(__xludf.DUMMYFUNCTION("REGEXREPLACE(B4, ""&lt;/loc&gt;"", """")"),"https://odysia-cruise-uk.client.prod.eu-west.dreamlake.io/cruise-lines/royal-caribbean/anthem-of-the-seas/cruises")</f>
        <v>https://odysia-cruise-uk.client.prod.eu-west.dreamlake.io/cruise-lines/royal-caribbean/anthem-of-the-seas/cruises</v>
      </c>
      <c r="D4" s="180" t="s">
        <v>389</v>
      </c>
      <c r="E4" s="180" t="str">
        <f>IFERROR(__xludf.DUMMYFUNCTION("REGEXREPLACE(D4, ""https://odysia-cruise-uk.client.prod.eu-west.dreamlake.io"", """")"),"/cruise-lines/royal-caribbean/anthem-of-the-seas/cruises")</f>
        <v>/cruise-lines/royal-caribbean/anthem-of-the-seas/cruises</v>
      </c>
    </row>
    <row r="5">
      <c r="A5" s="182" t="s">
        <v>390</v>
      </c>
      <c r="B5" s="180" t="str">
        <f>IFERROR(__xludf.DUMMYFUNCTION("REGEXREPLACE(A5, ""&lt;loc&gt;"", """")"),"https://odysia-cruise-uk.client.prod.eu-west.dreamlake.io/cruise-lines/holland-america-line/zaandam&lt;/loc&gt;")</f>
        <v>https://odysia-cruise-uk.client.prod.eu-west.dreamlake.io/cruise-lines/holland-america-line/zaandam&lt;/loc&gt;</v>
      </c>
      <c r="C5" s="181" t="str">
        <f>IFERROR(__xludf.DUMMYFUNCTION("REGEXREPLACE(B5, ""&lt;/loc&gt;"", """")"),"https://odysia-cruise-uk.client.prod.eu-west.dreamlake.io/cruise-lines/holland-america-line/zaandam")</f>
        <v>https://odysia-cruise-uk.client.prod.eu-west.dreamlake.io/cruise-lines/holland-america-line/zaandam</v>
      </c>
      <c r="D5" s="180" t="s">
        <v>391</v>
      </c>
      <c r="E5" s="180" t="str">
        <f>IFERROR(__xludf.DUMMYFUNCTION("REGEXREPLACE(D5, ""https://odysia-cruise-uk.client.prod.eu-west.dreamlake.io"", """")"),"/cruise-lines/holland-america-line/zaandam")</f>
        <v>/cruise-lines/holland-america-line/zaandam</v>
      </c>
    </row>
    <row r="6">
      <c r="A6" s="182" t="s">
        <v>392</v>
      </c>
      <c r="B6" s="180" t="str">
        <f>IFERROR(__xludf.DUMMYFUNCTION("REGEXREPLACE(A6, ""&lt;loc&gt;"", """")"),"https://odysia-cruise-uk.client.prod.eu-west.dreamlake.io/cruise-lines/regent-seven-seas-cruises/seven-seas-splendor/cruises&lt;/loc&gt;")</f>
        <v>https://odysia-cruise-uk.client.prod.eu-west.dreamlake.io/cruise-lines/regent-seven-seas-cruises/seven-seas-splendor/cruises&lt;/loc&gt;</v>
      </c>
      <c r="C6" s="181" t="str">
        <f>IFERROR(__xludf.DUMMYFUNCTION("REGEXREPLACE(B6, ""&lt;/loc&gt;"", """")"),"https://odysia-cruise-uk.client.prod.eu-west.dreamlake.io/cruise-lines/regent-seven-seas-cruises/seven-seas-splendor/cruises")</f>
        <v>https://odysia-cruise-uk.client.prod.eu-west.dreamlake.io/cruise-lines/regent-seven-seas-cruises/seven-seas-splendor/cruises</v>
      </c>
      <c r="D6" s="180" t="s">
        <v>393</v>
      </c>
      <c r="E6" s="180" t="str">
        <f>IFERROR(__xludf.DUMMYFUNCTION("REGEXREPLACE(D6, ""https://odysia-cruise-uk.client.prod.eu-west.dreamlake.io"", """")"),"/cruise-lines/regent-seven-seas-cruises/seven-seas-splendor/cruises")</f>
        <v>/cruise-lines/regent-seven-seas-cruises/seven-seas-splendor/cruises</v>
      </c>
    </row>
    <row r="7">
      <c r="A7" s="182" t="s">
        <v>394</v>
      </c>
      <c r="B7" s="180" t="str">
        <f>IFERROR(__xludf.DUMMYFUNCTION("REGEXREPLACE(A7, ""&lt;loc&gt;"", """")"),"https://odysia-cruise-uk.client.prod.eu-west.dreamlake.io&lt;/loc&gt;")</f>
        <v>https://odysia-cruise-uk.client.prod.eu-west.dreamlake.io&lt;/loc&gt;</v>
      </c>
      <c r="C7" s="181" t="str">
        <f>IFERROR(__xludf.DUMMYFUNCTION("REGEXREPLACE(B7, ""&lt;/loc&gt;"", """")"),"https://odysia-cruise-uk.client.prod.eu-west.dreamlake.io")</f>
        <v>https://odysia-cruise-uk.client.prod.eu-west.dreamlake.io</v>
      </c>
    </row>
    <row r="8">
      <c r="A8" s="182" t="s">
        <v>395</v>
      </c>
      <c r="B8" s="180" t="str">
        <f>IFERROR(__xludf.DUMMYFUNCTION("REGEXREPLACE(A8, ""&lt;loc&gt;"", """")"),"https://odysia-cruise-uk.client.prod.eu-west.dreamlake.io/cruise-lines/msc-cruises/msc-armonia&lt;/loc&gt;")</f>
        <v>https://odysia-cruise-uk.client.prod.eu-west.dreamlake.io/cruise-lines/msc-cruises/msc-armonia&lt;/loc&gt;</v>
      </c>
      <c r="C8" s="181" t="str">
        <f>IFERROR(__xludf.DUMMYFUNCTION("REGEXREPLACE(B8, ""&lt;/loc&gt;"", """")"),"https://odysia-cruise-uk.client.prod.eu-west.dreamlake.io/cruise-lines/msc-cruises/msc-armonia")</f>
        <v>https://odysia-cruise-uk.client.prod.eu-west.dreamlake.io/cruise-lines/msc-cruises/msc-armonia</v>
      </c>
      <c r="D8" s="183" t="s">
        <v>396</v>
      </c>
      <c r="E8" s="180" t="str">
        <f>IFERROR(__xludf.DUMMYFUNCTION("REGEXREPLACE(D8, ""https://odysia-cruise-uk.client.prod.eu-west.dreamlake.io"", """")"),"/cruise-lines/msc-cruises/msc-armonia")</f>
        <v>/cruise-lines/msc-cruises/msc-armonia</v>
      </c>
    </row>
    <row r="9">
      <c r="A9" s="182" t="s">
        <v>397</v>
      </c>
      <c r="B9" s="180" t="str">
        <f>IFERROR(__xludf.DUMMYFUNCTION("REGEXREPLACE(A9, ""&lt;loc&gt;"", """")"),"https://odysia-cruise-uk.client.prod.eu-west.dreamlake.io/destinations/british-isles-cruises&lt;/loc&gt;")</f>
        <v>https://odysia-cruise-uk.client.prod.eu-west.dreamlake.io/destinations/british-isles-cruises&lt;/loc&gt;</v>
      </c>
      <c r="C9" s="181" t="str">
        <f>IFERROR(__xludf.DUMMYFUNCTION("REGEXREPLACE(B9, ""&lt;/loc&gt;"", """")"),"https://odysia-cruise-uk.client.prod.eu-west.dreamlake.io/destinations/british-isles-cruises")</f>
        <v>https://odysia-cruise-uk.client.prod.eu-west.dreamlake.io/destinations/british-isles-cruises</v>
      </c>
    </row>
    <row r="10">
      <c r="A10" s="182" t="s">
        <v>398</v>
      </c>
      <c r="B10" s="180" t="str">
        <f>IFERROR(__xludf.DUMMYFUNCTION("REGEXREPLACE(A10, ""&lt;loc&gt;"", """")"),"https://odysia-cruise-uk.client.prod.eu-west.dreamlake.io/cruise-lines/costa-cruises/costa-smeralda/cruises&lt;/loc&gt;")</f>
        <v>https://odysia-cruise-uk.client.prod.eu-west.dreamlake.io/cruise-lines/costa-cruises/costa-smeralda/cruises&lt;/loc&gt;</v>
      </c>
      <c r="C10" s="181" t="str">
        <f>IFERROR(__xludf.DUMMYFUNCTION("REGEXREPLACE(B10, ""&lt;/loc&gt;"", """")"),"https://odysia-cruise-uk.client.prod.eu-west.dreamlake.io/cruise-lines/costa-cruises/costa-smeralda/cruises")</f>
        <v>https://odysia-cruise-uk.client.prod.eu-west.dreamlake.io/cruise-lines/costa-cruises/costa-smeralda/cruises</v>
      </c>
      <c r="D10" s="180" t="s">
        <v>399</v>
      </c>
      <c r="E10" s="180" t="str">
        <f>IFERROR(__xludf.DUMMYFUNCTION("REGEXREPLACE(D10, ""https://odysia-cruise-uk.client.prod.eu-west.dreamlake.io"", """")"),"/cruise-lines/costa-cruises/costa-smeralda/cruises")</f>
        <v>/cruise-lines/costa-cruises/costa-smeralda/cruises</v>
      </c>
    </row>
    <row r="11">
      <c r="A11" s="182" t="s">
        <v>400</v>
      </c>
      <c r="B11" s="180" t="str">
        <f>IFERROR(__xludf.DUMMYFUNCTION("REGEXREPLACE(A11, ""&lt;loc&gt;"", """")"),"https://odysia-cruise-uk.client.prod.eu-west.dreamlake.io/cruise-lines/holland-america-line/rotterdam/cruises&lt;/loc&gt;")</f>
        <v>https://odysia-cruise-uk.client.prod.eu-west.dreamlake.io/cruise-lines/holland-america-line/rotterdam/cruises&lt;/loc&gt;</v>
      </c>
      <c r="C11" s="181" t="str">
        <f>IFERROR(__xludf.DUMMYFUNCTION("REGEXREPLACE(B11, ""&lt;/loc&gt;"", """")"),"https://odysia-cruise-uk.client.prod.eu-west.dreamlake.io/cruise-lines/holland-america-line/rotterdam/cruises")</f>
        <v>https://odysia-cruise-uk.client.prod.eu-west.dreamlake.io/cruise-lines/holland-america-line/rotterdam/cruises</v>
      </c>
      <c r="D11" s="180" t="s">
        <v>401</v>
      </c>
      <c r="E11" s="180" t="str">
        <f>IFERROR(__xludf.DUMMYFUNCTION("REGEXREPLACE(D11, ""https://odysia-cruise-uk.client.prod.eu-west.dreamlake.io"", """")"),"/cruise-lines/holland-america-line/rotterdam/cruises")</f>
        <v>/cruise-lines/holland-america-line/rotterdam/cruises</v>
      </c>
    </row>
    <row r="12">
      <c r="A12" s="182" t="s">
        <v>402</v>
      </c>
      <c r="B12" s="180" t="str">
        <f>IFERROR(__xludf.DUMMYFUNCTION("REGEXREPLACE(A12, ""&lt;loc&gt;"", """")"),"https://odysia-cruise-uk.client.prod.eu-west.dreamlake.io/cruise-lines/regent-seven-seas-cruises/seven-seas-grandeur/cruises&lt;/loc&gt;")</f>
        <v>https://odysia-cruise-uk.client.prod.eu-west.dreamlake.io/cruise-lines/regent-seven-seas-cruises/seven-seas-grandeur/cruises&lt;/loc&gt;</v>
      </c>
      <c r="C12" s="181" t="str">
        <f>IFERROR(__xludf.DUMMYFUNCTION("REGEXREPLACE(B12, ""&lt;/loc&gt;"", """")"),"https://odysia-cruise-uk.client.prod.eu-west.dreamlake.io/cruise-lines/regent-seven-seas-cruises/seven-seas-grandeur/cruises")</f>
        <v>https://odysia-cruise-uk.client.prod.eu-west.dreamlake.io/cruise-lines/regent-seven-seas-cruises/seven-seas-grandeur/cruises</v>
      </c>
      <c r="D12" s="180" t="s">
        <v>403</v>
      </c>
      <c r="E12" s="180" t="str">
        <f>IFERROR(__xludf.DUMMYFUNCTION("REGEXREPLACE(D12, ""https://odysia-cruise-uk.client.prod.eu-west.dreamlake.io"", """")"),"/cruise-lines/regent-seven-seas-cruises/seven-seas-grandeur/cruises")</f>
        <v>/cruise-lines/regent-seven-seas-cruises/seven-seas-grandeur/cruises</v>
      </c>
    </row>
    <row r="13">
      <c r="A13" s="182" t="s">
        <v>404</v>
      </c>
      <c r="B13" s="180" t="str">
        <f>IFERROR(__xludf.DUMMYFUNCTION("REGEXREPLACE(A13, ""&lt;loc&gt;"", """")"),"https://odysia-cruise-uk.client.prod.eu-west.dreamlake.io/cruise-lines/royal-caribbean/icon-of-the-seas/cruises&lt;/loc&gt;")</f>
        <v>https://odysia-cruise-uk.client.prod.eu-west.dreamlake.io/cruise-lines/royal-caribbean/icon-of-the-seas/cruises&lt;/loc&gt;</v>
      </c>
      <c r="C13" s="181" t="str">
        <f>IFERROR(__xludf.DUMMYFUNCTION("REGEXREPLACE(B13, ""&lt;/loc&gt;"", """")"),"https://odysia-cruise-uk.client.prod.eu-west.dreamlake.io/cruise-lines/royal-caribbean/icon-of-the-seas/cruises")</f>
        <v>https://odysia-cruise-uk.client.prod.eu-west.dreamlake.io/cruise-lines/royal-caribbean/icon-of-the-seas/cruises</v>
      </c>
      <c r="D13" s="180" t="s">
        <v>405</v>
      </c>
      <c r="E13" s="180" t="str">
        <f>IFERROR(__xludf.DUMMYFUNCTION("REGEXREPLACE(D13, ""https://odysia-cruise-uk.client.prod.eu-west.dreamlake.io"", """")"),"/cruise-lines/royal-caribbean/icon-of-the-seas/cruises")</f>
        <v>/cruise-lines/royal-caribbean/icon-of-the-seas/cruises</v>
      </c>
    </row>
    <row r="14">
      <c r="A14" s="182" t="s">
        <v>406</v>
      </c>
      <c r="B14" s="180" t="str">
        <f>IFERROR(__xludf.DUMMYFUNCTION("REGEXREPLACE(A14, ""&lt;loc&gt;"", """")"),"https://odysia-cruise-uk.client.prod.eu-west.dreamlake.io/cruise-lines/virgin-voyages/resilient-lady&lt;/loc&gt;")</f>
        <v>https://odysia-cruise-uk.client.prod.eu-west.dreamlake.io/cruise-lines/virgin-voyages/resilient-lady&lt;/loc&gt;</v>
      </c>
      <c r="C14" s="181" t="str">
        <f>IFERROR(__xludf.DUMMYFUNCTION("REGEXREPLACE(B14, ""&lt;/loc&gt;"", """")"),"https://odysia-cruise-uk.client.prod.eu-west.dreamlake.io/cruise-lines/virgin-voyages/resilient-lady")</f>
        <v>https://odysia-cruise-uk.client.prod.eu-west.dreamlake.io/cruise-lines/virgin-voyages/resilient-lady</v>
      </c>
      <c r="D14" s="180" t="s">
        <v>407</v>
      </c>
      <c r="E14" s="180" t="str">
        <f>IFERROR(__xludf.DUMMYFUNCTION("REGEXREPLACE(D14, ""https://odysia-cruise-uk.client.prod.eu-west.dreamlake.io"", """")"),"/cruise-lines/virgin-voyages/resilient-lady")</f>
        <v>/cruise-lines/virgin-voyages/resilient-lady</v>
      </c>
    </row>
    <row r="15">
      <c r="A15" s="182" t="s">
        <v>408</v>
      </c>
      <c r="B15" s="180" t="str">
        <f>IFERROR(__xludf.DUMMYFUNCTION("REGEXREPLACE(A15, ""&lt;loc&gt;"", """")"),"https://odysia-cruise-uk.client.prod.eu-west.dreamlake.io/cruise-lines/norwegian-cruise-line/norwegian-jade/cruises&lt;/loc&gt;")</f>
        <v>https://odysia-cruise-uk.client.prod.eu-west.dreamlake.io/cruise-lines/norwegian-cruise-line/norwegian-jade/cruises&lt;/loc&gt;</v>
      </c>
      <c r="C15" s="181" t="str">
        <f>IFERROR(__xludf.DUMMYFUNCTION("REGEXREPLACE(B15, ""&lt;/loc&gt;"", """")"),"https://odysia-cruise-uk.client.prod.eu-west.dreamlake.io/cruise-lines/norwegian-cruise-line/norwegian-jade/cruises")</f>
        <v>https://odysia-cruise-uk.client.prod.eu-west.dreamlake.io/cruise-lines/norwegian-cruise-line/norwegian-jade/cruises</v>
      </c>
      <c r="D15" s="180" t="s">
        <v>409</v>
      </c>
      <c r="E15" s="180" t="str">
        <f>IFERROR(__xludf.DUMMYFUNCTION("REGEXREPLACE(D15, ""https://odysia-cruise-uk.client.prod.eu-west.dreamlake.io"", """")"),"/cruise-lines/norwegian-cruise-line/norwegian-jade/cruises")</f>
        <v>/cruise-lines/norwegian-cruise-line/norwegian-jade/cruises</v>
      </c>
    </row>
    <row r="16">
      <c r="A16" s="182" t="s">
        <v>410</v>
      </c>
      <c r="B16" s="180" t="str">
        <f>IFERROR(__xludf.DUMMYFUNCTION("REGEXREPLACE(A16, ""&lt;loc&gt;"", """")"),"https://odysia-cruise-uk.client.prod.eu-west.dreamlake.io/cruise-lines/cunard/cruises&lt;/loc&gt;")</f>
        <v>https://odysia-cruise-uk.client.prod.eu-west.dreamlake.io/cruise-lines/cunard/cruises&lt;/loc&gt;</v>
      </c>
      <c r="C16" s="181" t="str">
        <f>IFERROR(__xludf.DUMMYFUNCTION("REGEXREPLACE(B16, ""&lt;/loc&gt;"", """")"),"https://odysia-cruise-uk.client.prod.eu-west.dreamlake.io/cruise-lines/cunard/cruises")</f>
        <v>https://odysia-cruise-uk.client.prod.eu-west.dreamlake.io/cruise-lines/cunard/cruises</v>
      </c>
      <c r="D16" s="180" t="s">
        <v>411</v>
      </c>
      <c r="E16" s="180" t="str">
        <f>IFERROR(__xludf.DUMMYFUNCTION("REGEXREPLACE(D16, ""https://odysia-cruise-uk.client.prod.eu-west.dreamlake.io"", """")"),"/cruise-lines/cunard/cruises")</f>
        <v>/cruise-lines/cunard/cruises</v>
      </c>
    </row>
    <row r="17">
      <c r="A17" s="182" t="s">
        <v>412</v>
      </c>
      <c r="B17" s="180" t="str">
        <f>IFERROR(__xludf.DUMMYFUNCTION("REGEXREPLACE(A17, ""&lt;loc&gt;"", """")"),"https://odysia-cruise-uk.client.prod.eu-west.dreamlake.io/cruise-lines/celebrity-cruises/celebrity-beyond/cruises&lt;/loc&gt;")</f>
        <v>https://odysia-cruise-uk.client.prod.eu-west.dreamlake.io/cruise-lines/celebrity-cruises/celebrity-beyond/cruises&lt;/loc&gt;</v>
      </c>
      <c r="C17" s="181" t="str">
        <f>IFERROR(__xludf.DUMMYFUNCTION("REGEXREPLACE(B17, ""&lt;/loc&gt;"", """")"),"https://odysia-cruise-uk.client.prod.eu-west.dreamlake.io/cruise-lines/celebrity-cruises/celebrity-beyond/cruises")</f>
        <v>https://odysia-cruise-uk.client.prod.eu-west.dreamlake.io/cruise-lines/celebrity-cruises/celebrity-beyond/cruises</v>
      </c>
      <c r="D17" s="180" t="s">
        <v>413</v>
      </c>
      <c r="E17" s="180" t="str">
        <f>IFERROR(__xludf.DUMMYFUNCTION("REGEXREPLACE(D17, ""https://odysia-cruise-uk.client.prod.eu-west.dreamlake.io"", """")"),"/cruise-lines/celebrity-cruises/celebrity-beyond/cruises")</f>
        <v>/cruise-lines/celebrity-cruises/celebrity-beyond/cruises</v>
      </c>
    </row>
    <row r="18">
      <c r="A18" s="182" t="s">
        <v>414</v>
      </c>
      <c r="B18" s="180" t="str">
        <f>IFERROR(__xludf.DUMMYFUNCTION("REGEXREPLACE(A18, ""&lt;loc&gt;"", """")"),"https://odysia-cruise-uk.client.prod.eu-west.dreamlake.io/cruise-lines/royal-caribbean/icon-of-the-seas&lt;/loc&gt;")</f>
        <v>https://odysia-cruise-uk.client.prod.eu-west.dreamlake.io/cruise-lines/royal-caribbean/icon-of-the-seas&lt;/loc&gt;</v>
      </c>
      <c r="C18" s="181" t="str">
        <f>IFERROR(__xludf.DUMMYFUNCTION("REGEXREPLACE(B18, ""&lt;/loc&gt;"", """")"),"https://odysia-cruise-uk.client.prod.eu-west.dreamlake.io/cruise-lines/royal-caribbean/icon-of-the-seas")</f>
        <v>https://odysia-cruise-uk.client.prod.eu-west.dreamlake.io/cruise-lines/royal-caribbean/icon-of-the-seas</v>
      </c>
      <c r="D18" s="180" t="s">
        <v>415</v>
      </c>
      <c r="E18" s="180" t="str">
        <f>IFERROR(__xludf.DUMMYFUNCTION("REGEXREPLACE(D18, ""https://odysia-cruise-uk.client.prod.eu-west.dreamlake.io"", """")"),"/cruise-lines/royal-caribbean/icon-of-the-seas")</f>
        <v>/cruise-lines/royal-caribbean/icon-of-the-seas</v>
      </c>
    </row>
    <row r="19">
      <c r="A19" s="182" t="s">
        <v>416</v>
      </c>
      <c r="B19" s="180" t="str">
        <f>IFERROR(__xludf.DUMMYFUNCTION("REGEXREPLACE(A19, ""&lt;loc&gt;"", """")"),"https://odysia-cruise-uk.client.prod.eu-west.dreamlake.io/cruise-lines/princess-cruises/regal-princess&lt;/loc&gt;")</f>
        <v>https://odysia-cruise-uk.client.prod.eu-west.dreamlake.io/cruise-lines/princess-cruises/regal-princess&lt;/loc&gt;</v>
      </c>
      <c r="C19" s="181" t="str">
        <f>IFERROR(__xludf.DUMMYFUNCTION("REGEXREPLACE(B19, ""&lt;/loc&gt;"", """")"),"https://odysia-cruise-uk.client.prod.eu-west.dreamlake.io/cruise-lines/princess-cruises/regal-princess")</f>
        <v>https://odysia-cruise-uk.client.prod.eu-west.dreamlake.io/cruise-lines/princess-cruises/regal-princess</v>
      </c>
      <c r="D19" s="180" t="s">
        <v>417</v>
      </c>
      <c r="E19" s="180" t="str">
        <f>IFERROR(__xludf.DUMMYFUNCTION("REGEXREPLACE(D19, ""https://odysia-cruise-uk.client.prod.eu-west.dreamlake.io"", """")"),"/cruise-lines/princess-cruises/regal-princess")</f>
        <v>/cruise-lines/princess-cruises/regal-princess</v>
      </c>
    </row>
    <row r="20">
      <c r="A20" s="182" t="s">
        <v>418</v>
      </c>
      <c r="B20" s="180" t="str">
        <f>IFERROR(__xludf.DUMMYFUNCTION("REGEXREPLACE(A20, ""&lt;loc&gt;"", """")"),"https://odysia-cruise-uk.client.prod.eu-west.dreamlake.io/cruise-lines/royal-caribbean/utopia-of-the-seas/cruises&lt;/loc&gt;")</f>
        <v>https://odysia-cruise-uk.client.prod.eu-west.dreamlake.io/cruise-lines/royal-caribbean/utopia-of-the-seas/cruises&lt;/loc&gt;</v>
      </c>
      <c r="C20" s="181" t="str">
        <f>IFERROR(__xludf.DUMMYFUNCTION("REGEXREPLACE(B20, ""&lt;/loc&gt;"", """")"),"https://odysia-cruise-uk.client.prod.eu-west.dreamlake.io/cruise-lines/royal-caribbean/utopia-of-the-seas/cruises")</f>
        <v>https://odysia-cruise-uk.client.prod.eu-west.dreamlake.io/cruise-lines/royal-caribbean/utopia-of-the-seas/cruises</v>
      </c>
      <c r="D20" s="180" t="s">
        <v>419</v>
      </c>
      <c r="E20" s="180" t="str">
        <f>IFERROR(__xludf.DUMMYFUNCTION("REGEXREPLACE(D20, ""https://odysia-cruise-uk.client.prod.eu-west.dreamlake.io"", """")"),"/cruise-lines/royal-caribbean/utopia-of-the-seas/cruises")</f>
        <v>/cruise-lines/royal-caribbean/utopia-of-the-seas/cruises</v>
      </c>
    </row>
    <row r="21">
      <c r="A21" s="182" t="s">
        <v>420</v>
      </c>
      <c r="B21" s="180" t="str">
        <f>IFERROR(__xludf.DUMMYFUNCTION("REGEXREPLACE(A21, ""&lt;loc&gt;"", """")"),"https://odysia-cruise-uk.client.prod.eu-west.dreamlake.io/cruise-lines/oceania-cruises/oceania-riviera/cruises&lt;/loc&gt;")</f>
        <v>https://odysia-cruise-uk.client.prod.eu-west.dreamlake.io/cruise-lines/oceania-cruises/oceania-riviera/cruises&lt;/loc&gt;</v>
      </c>
      <c r="C21" s="181" t="str">
        <f>IFERROR(__xludf.DUMMYFUNCTION("REGEXREPLACE(B21, ""&lt;/loc&gt;"", """")"),"https://odysia-cruise-uk.client.prod.eu-west.dreamlake.io/cruise-lines/oceania-cruises/oceania-riviera/cruises")</f>
        <v>https://odysia-cruise-uk.client.prod.eu-west.dreamlake.io/cruise-lines/oceania-cruises/oceania-riviera/cruises</v>
      </c>
      <c r="D21" s="180" t="s">
        <v>421</v>
      </c>
      <c r="E21" s="180" t="str">
        <f>IFERROR(__xludf.DUMMYFUNCTION("REGEXREPLACE(D21, ""https://odysia-cruise-uk.client.prod.eu-west.dreamlake.io"", """")"),"/cruise-lines/oceania-cruises/oceania-riviera/cruises")</f>
        <v>/cruise-lines/oceania-cruises/oceania-riviera/cruises</v>
      </c>
    </row>
    <row r="22">
      <c r="A22" s="182" t="s">
        <v>422</v>
      </c>
      <c r="B22" s="180" t="str">
        <f>IFERROR(__xludf.DUMMYFUNCTION("REGEXREPLACE(A22, ""&lt;loc&gt;"", """")"),"https://odysia-cruise-uk.client.prod.eu-west.dreamlake.io/cruise-lines/cunard/queen-anne/cruises&lt;/loc&gt;")</f>
        <v>https://odysia-cruise-uk.client.prod.eu-west.dreamlake.io/cruise-lines/cunard/queen-anne/cruises&lt;/loc&gt;</v>
      </c>
      <c r="C22" s="181" t="str">
        <f>IFERROR(__xludf.DUMMYFUNCTION("REGEXREPLACE(B22, ""&lt;/loc&gt;"", """")"),"https://odysia-cruise-uk.client.prod.eu-west.dreamlake.io/cruise-lines/cunard/queen-anne/cruises")</f>
        <v>https://odysia-cruise-uk.client.prod.eu-west.dreamlake.io/cruise-lines/cunard/queen-anne/cruises</v>
      </c>
      <c r="D22" s="180" t="s">
        <v>423</v>
      </c>
      <c r="E22" s="180" t="str">
        <f>IFERROR(__xludf.DUMMYFUNCTION("REGEXREPLACE(D22, ""https://odysia-cruise-uk.client.prod.eu-west.dreamlake.io"", """")"),"/cruise-lines/cunard/queen-anne/cruises")</f>
        <v>/cruise-lines/cunard/queen-anne/cruises</v>
      </c>
    </row>
    <row r="23">
      <c r="A23" s="182" t="s">
        <v>424</v>
      </c>
      <c r="B23" s="180" t="str">
        <f>IFERROR(__xludf.DUMMYFUNCTION("REGEXREPLACE(A23, ""&lt;loc&gt;"", """")"),"https://odysia-cruise-uk.client.prod.eu-west.dreamlake.io/cruise-lines/norwegian-cruise-line/norwegian-dawn&lt;/loc&gt;")</f>
        <v>https://odysia-cruise-uk.client.prod.eu-west.dreamlake.io/cruise-lines/norwegian-cruise-line/norwegian-dawn&lt;/loc&gt;</v>
      </c>
      <c r="C23" s="181" t="str">
        <f>IFERROR(__xludf.DUMMYFUNCTION("REGEXREPLACE(B23, ""&lt;/loc&gt;"", """")"),"https://odysia-cruise-uk.client.prod.eu-west.dreamlake.io/cruise-lines/norwegian-cruise-line/norwegian-dawn")</f>
        <v>https://odysia-cruise-uk.client.prod.eu-west.dreamlake.io/cruise-lines/norwegian-cruise-line/norwegian-dawn</v>
      </c>
      <c r="D23" s="180" t="s">
        <v>425</v>
      </c>
      <c r="E23" s="180" t="str">
        <f>IFERROR(__xludf.DUMMYFUNCTION("REGEXREPLACE(D23, ""https://odysia-cruise-uk.client.prod.eu-west.dreamlake.io"", """")"),"/cruise-lines/norwegian-cruise-line/norwegian-dawn")</f>
        <v>/cruise-lines/norwegian-cruise-line/norwegian-dawn</v>
      </c>
    </row>
    <row r="24">
      <c r="A24" s="182" t="s">
        <v>426</v>
      </c>
      <c r="B24" s="180" t="str">
        <f>IFERROR(__xludf.DUMMYFUNCTION("REGEXREPLACE(A24, ""&lt;loc&gt;"", """")"),"https://odysia-cruise-uk.client.prod.eu-west.dreamlake.io/destinations/mediterranean-cruises&lt;/loc&gt;")</f>
        <v>https://odysia-cruise-uk.client.prod.eu-west.dreamlake.io/destinations/mediterranean-cruises&lt;/loc&gt;</v>
      </c>
      <c r="C24" s="181" t="str">
        <f>IFERROR(__xludf.DUMMYFUNCTION("REGEXREPLACE(B24, ""&lt;/loc&gt;"", """")"),"https://odysia-cruise-uk.client.prod.eu-west.dreamlake.io/destinations/mediterranean-cruises")</f>
        <v>https://odysia-cruise-uk.client.prod.eu-west.dreamlake.io/destinations/mediterranean-cruises</v>
      </c>
    </row>
    <row r="25">
      <c r="A25" s="182" t="s">
        <v>427</v>
      </c>
      <c r="B25" s="180" t="str">
        <f>IFERROR(__xludf.DUMMYFUNCTION("REGEXREPLACE(A25, ""&lt;loc&gt;"", """")"),"https://odysia-cruise-uk.client.prod.eu-west.dreamlake.io/cruise-lines/norwegian-cruise-line/norwegian-epic&lt;/loc&gt;")</f>
        <v>https://odysia-cruise-uk.client.prod.eu-west.dreamlake.io/cruise-lines/norwegian-cruise-line/norwegian-epic&lt;/loc&gt;</v>
      </c>
      <c r="C25" s="181" t="str">
        <f>IFERROR(__xludf.DUMMYFUNCTION("REGEXREPLACE(B25, ""&lt;/loc&gt;"", """")"),"https://odysia-cruise-uk.client.prod.eu-west.dreamlake.io/cruise-lines/norwegian-cruise-line/norwegian-epic")</f>
        <v>https://odysia-cruise-uk.client.prod.eu-west.dreamlake.io/cruise-lines/norwegian-cruise-line/norwegian-epic</v>
      </c>
      <c r="D25" s="180" t="s">
        <v>428</v>
      </c>
      <c r="E25" s="180" t="str">
        <f>IFERROR(__xludf.DUMMYFUNCTION("REGEXREPLACE(D25, ""https://odysia-cruise-uk.client.prod.eu-west.dreamlake.io"", """")"),"/cruise-lines/norwegian-cruise-line/norwegian-epic")</f>
        <v>/cruise-lines/norwegian-cruise-line/norwegian-epic</v>
      </c>
    </row>
    <row r="26">
      <c r="A26" s="182" t="s">
        <v>429</v>
      </c>
      <c r="B26" s="180" t="str">
        <f>IFERROR(__xludf.DUMMYFUNCTION("REGEXREPLACE(A26, ""&lt;loc&gt;"", """")"),"https://odysia-cruise-uk.client.prod.eu-west.dreamlake.io/cruise-lines/celebrity-cruises/celebrity-silhouette&lt;/loc&gt;")</f>
        <v>https://odysia-cruise-uk.client.prod.eu-west.dreamlake.io/cruise-lines/celebrity-cruises/celebrity-silhouette&lt;/loc&gt;</v>
      </c>
      <c r="C26" s="181" t="str">
        <f>IFERROR(__xludf.DUMMYFUNCTION("REGEXREPLACE(B26, ""&lt;/loc&gt;"", """")"),"https://odysia-cruise-uk.client.prod.eu-west.dreamlake.io/cruise-lines/celebrity-cruises/celebrity-silhouette")</f>
        <v>https://odysia-cruise-uk.client.prod.eu-west.dreamlake.io/cruise-lines/celebrity-cruises/celebrity-silhouette</v>
      </c>
      <c r="D26" s="180" t="s">
        <v>430</v>
      </c>
      <c r="E26" s="180" t="str">
        <f>IFERROR(__xludf.DUMMYFUNCTION("REGEXREPLACE(D26, ""https://odysia-cruise-uk.client.prod.eu-west.dreamlake.io"", """")"),"/cruise-lines/celebrity-cruises/celebrity-silhouette")</f>
        <v>/cruise-lines/celebrity-cruises/celebrity-silhouette</v>
      </c>
    </row>
    <row r="27">
      <c r="A27" s="182" t="s">
        <v>431</v>
      </c>
      <c r="B27" s="180" t="str">
        <f>IFERROR(__xludf.DUMMYFUNCTION("REGEXREPLACE(A27, ""&lt;loc&gt;"", """")"),"https://odysia-cruise-uk.client.prod.eu-west.dreamlake.io/destinations/usa-cruises&lt;/loc&gt;")</f>
        <v>https://odysia-cruise-uk.client.prod.eu-west.dreamlake.io/destinations/usa-cruises&lt;/loc&gt;</v>
      </c>
      <c r="C27" s="181" t="str">
        <f>IFERROR(__xludf.DUMMYFUNCTION("REGEXREPLACE(B27, ""&lt;/loc&gt;"", """")"),"https://odysia-cruise-uk.client.prod.eu-west.dreamlake.io/destinations/usa-cruises")</f>
        <v>https://odysia-cruise-uk.client.prod.eu-west.dreamlake.io/destinations/usa-cruises</v>
      </c>
    </row>
    <row r="28">
      <c r="A28" s="182" t="s">
        <v>432</v>
      </c>
      <c r="B28" s="180" t="str">
        <f>IFERROR(__xludf.DUMMYFUNCTION("REGEXREPLACE(A28, ""&lt;loc&gt;"", """")"),"https://odysia-cruise-uk.client.prod.eu-west.dreamlake.io/cruise-lines/royal-caribbean/radiance-of-the-seas/cruises&lt;/loc&gt;")</f>
        <v>https://odysia-cruise-uk.client.prod.eu-west.dreamlake.io/cruise-lines/royal-caribbean/radiance-of-the-seas/cruises&lt;/loc&gt;</v>
      </c>
      <c r="C28" s="181" t="str">
        <f>IFERROR(__xludf.DUMMYFUNCTION("REGEXREPLACE(B28, ""&lt;/loc&gt;"", """")"),"https://odysia-cruise-uk.client.prod.eu-west.dreamlake.io/cruise-lines/royal-caribbean/radiance-of-the-seas/cruises")</f>
        <v>https://odysia-cruise-uk.client.prod.eu-west.dreamlake.io/cruise-lines/royal-caribbean/radiance-of-the-seas/cruises</v>
      </c>
      <c r="D28" s="180" t="s">
        <v>433</v>
      </c>
      <c r="E28" s="180" t="str">
        <f>IFERROR(__xludf.DUMMYFUNCTION("REGEXREPLACE(D28, ""https://odysia-cruise-uk.client.prod.eu-west.dreamlake.io"", """")"),"/cruise-lines/royal-caribbean/radiance-of-the-seas/cruises")</f>
        <v>/cruise-lines/royal-caribbean/radiance-of-the-seas/cruises</v>
      </c>
    </row>
    <row r="29">
      <c r="A29" s="182" t="s">
        <v>434</v>
      </c>
      <c r="B29" s="180" t="str">
        <f>IFERROR(__xludf.DUMMYFUNCTION("REGEXREPLACE(A29, ""&lt;loc&gt;"", """")"),"https://odysia-cruise-uk.client.prod.eu-west.dreamlake.io/cruise-lines/holland-america-line/rotterdam&lt;/loc&gt;")</f>
        <v>https://odysia-cruise-uk.client.prod.eu-west.dreamlake.io/cruise-lines/holland-america-line/rotterdam&lt;/loc&gt;</v>
      </c>
      <c r="C29" s="181" t="str">
        <f>IFERROR(__xludf.DUMMYFUNCTION("REGEXREPLACE(B29, ""&lt;/loc&gt;"", """")"),"https://odysia-cruise-uk.client.prod.eu-west.dreamlake.io/cruise-lines/holland-america-line/rotterdam")</f>
        <v>https://odysia-cruise-uk.client.prod.eu-west.dreamlake.io/cruise-lines/holland-america-line/rotterdam</v>
      </c>
      <c r="D29" s="180" t="s">
        <v>435</v>
      </c>
      <c r="E29" s="180" t="str">
        <f>IFERROR(__xludf.DUMMYFUNCTION("REGEXREPLACE(D29, ""https://odysia-cruise-uk.client.prod.eu-west.dreamlake.io"", """")"),"/cruise-lines/holland-america-line/rotterdam")</f>
        <v>/cruise-lines/holland-america-line/rotterdam</v>
      </c>
    </row>
    <row r="30">
      <c r="A30" s="182" t="s">
        <v>436</v>
      </c>
      <c r="B30" s="180" t="str">
        <f>IFERROR(__xludf.DUMMYFUNCTION("REGEXREPLACE(A30, ""&lt;loc&gt;"", """")"),"https://odysia-cruise-uk.client.prod.eu-west.dreamlake.io/cruise-lines/royal-caribbean/anthem-of-the-seas&lt;/loc&gt;")</f>
        <v>https://odysia-cruise-uk.client.prod.eu-west.dreamlake.io/cruise-lines/royal-caribbean/anthem-of-the-seas&lt;/loc&gt;</v>
      </c>
      <c r="C30" s="181" t="str">
        <f>IFERROR(__xludf.DUMMYFUNCTION("REGEXREPLACE(B30, ""&lt;/loc&gt;"", """")"),"https://odysia-cruise-uk.client.prod.eu-west.dreamlake.io/cruise-lines/royal-caribbean/anthem-of-the-seas")</f>
        <v>https://odysia-cruise-uk.client.prod.eu-west.dreamlake.io/cruise-lines/royal-caribbean/anthem-of-the-seas</v>
      </c>
      <c r="D30" s="180" t="s">
        <v>437</v>
      </c>
      <c r="E30" s="180" t="str">
        <f>IFERROR(__xludf.DUMMYFUNCTION("REGEXREPLACE(D30, ""https://odysia-cruise-uk.client.prod.eu-west.dreamlake.io"", """")"),"/cruise-lines/royal-caribbean/anthem-of-the-seas")</f>
        <v>/cruise-lines/royal-caribbean/anthem-of-the-seas</v>
      </c>
    </row>
    <row r="31">
      <c r="A31" s="182" t="s">
        <v>438</v>
      </c>
      <c r="B31" s="180" t="str">
        <f>IFERROR(__xludf.DUMMYFUNCTION("REGEXREPLACE(A31, ""&lt;loc&gt;"", """")"),"https://odysia-cruise-uk.client.prod.eu-west.dreamlake.io/cruise-deals/cruises-from-southampton&lt;/loc&gt;")</f>
        <v>https://odysia-cruise-uk.client.prod.eu-west.dreamlake.io/cruise-deals/cruises-from-southampton&lt;/loc&gt;</v>
      </c>
      <c r="C31" s="181" t="str">
        <f>IFERROR(__xludf.DUMMYFUNCTION("REGEXREPLACE(B31, ""&lt;/loc&gt;"", """")"),"https://odysia-cruise-uk.client.prod.eu-west.dreamlake.io/cruise-deals/cruises-from-southampton")</f>
        <v>https://odysia-cruise-uk.client.prod.eu-west.dreamlake.io/cruise-deals/cruises-from-southampton</v>
      </c>
      <c r="D31" s="180" t="s">
        <v>439</v>
      </c>
    </row>
    <row r="32">
      <c r="A32" s="182" t="s">
        <v>440</v>
      </c>
      <c r="B32" s="180" t="str">
        <f>IFERROR(__xludf.DUMMYFUNCTION("REGEXREPLACE(A32, ""&lt;loc&gt;"", """")"),"https://odysia-cruise-uk.client.prod.eu-west.dreamlake.io/cruise-lines/celebrity-cruises/celebrity-silhouette/cruises&lt;/loc&gt;")</f>
        <v>https://odysia-cruise-uk.client.prod.eu-west.dreamlake.io/cruise-lines/celebrity-cruises/celebrity-silhouette/cruises&lt;/loc&gt;</v>
      </c>
      <c r="C32" s="181" t="str">
        <f>IFERROR(__xludf.DUMMYFUNCTION("REGEXREPLACE(B32, ""&lt;/loc&gt;"", """")"),"https://odysia-cruise-uk.client.prod.eu-west.dreamlake.io/cruise-lines/celebrity-cruises/celebrity-silhouette/cruises")</f>
        <v>https://odysia-cruise-uk.client.prod.eu-west.dreamlake.io/cruise-lines/celebrity-cruises/celebrity-silhouette/cruises</v>
      </c>
      <c r="D32" s="180" t="s">
        <v>441</v>
      </c>
      <c r="E32" s="180" t="str">
        <f>IFERROR(__xludf.DUMMYFUNCTION("REGEXREPLACE(D32, ""https://odysia-cruise-uk.client.prod.eu-west.dreamlake.io"", """")"),"/cruise-lines/celebrity-cruises/celebrity-silhouette/cruises")</f>
        <v>/cruise-lines/celebrity-cruises/celebrity-silhouette/cruises</v>
      </c>
    </row>
    <row r="33">
      <c r="A33" s="182" t="s">
        <v>442</v>
      </c>
      <c r="B33" s="180" t="str">
        <f>IFERROR(__xludf.DUMMYFUNCTION("REGEXREPLACE(A33, ""&lt;loc&gt;"", """")"),"https://odysia-cruise-uk.client.prod.eu-west.dreamlake.io/cruise-lines/royal-caribbean/enchantment-of-the-seas&lt;/loc&gt;")</f>
        <v>https://odysia-cruise-uk.client.prod.eu-west.dreamlake.io/cruise-lines/royal-caribbean/enchantment-of-the-seas&lt;/loc&gt;</v>
      </c>
      <c r="C33" s="181" t="str">
        <f>IFERROR(__xludf.DUMMYFUNCTION("REGEXREPLACE(B33, ""&lt;/loc&gt;"", """")"),"https://odysia-cruise-uk.client.prod.eu-west.dreamlake.io/cruise-lines/royal-caribbean/enchantment-of-the-seas")</f>
        <v>https://odysia-cruise-uk.client.prod.eu-west.dreamlake.io/cruise-lines/royal-caribbean/enchantment-of-the-seas</v>
      </c>
      <c r="D33" s="180" t="s">
        <v>443</v>
      </c>
      <c r="E33" s="180" t="str">
        <f>IFERROR(__xludf.DUMMYFUNCTION("REGEXREPLACE(D33, ""https://odysia-cruise-uk.client.prod.eu-west.dreamlake.io"", """")"),"/cruise-lines/royal-caribbean/enchantment-of-the-seas")</f>
        <v>/cruise-lines/royal-caribbean/enchantment-of-the-seas</v>
      </c>
    </row>
    <row r="34">
      <c r="A34" s="182" t="s">
        <v>444</v>
      </c>
      <c r="B34" s="180" t="str">
        <f>IFERROR(__xludf.DUMMYFUNCTION("REGEXREPLACE(A34, ""&lt;loc&gt;"", """")"),"https://odysia-cruise-uk.client.prod.eu-west.dreamlake.io/cruise-lines/norwegian-cruise-line/norwegian-gem/cruises&lt;/loc&gt;")</f>
        <v>https://odysia-cruise-uk.client.prod.eu-west.dreamlake.io/cruise-lines/norwegian-cruise-line/norwegian-gem/cruises&lt;/loc&gt;</v>
      </c>
      <c r="C34" s="181" t="str">
        <f>IFERROR(__xludf.DUMMYFUNCTION("REGEXREPLACE(B34, ""&lt;/loc&gt;"", """")"),"https://odysia-cruise-uk.client.prod.eu-west.dreamlake.io/cruise-lines/norwegian-cruise-line/norwegian-gem/cruises")</f>
        <v>https://odysia-cruise-uk.client.prod.eu-west.dreamlake.io/cruise-lines/norwegian-cruise-line/norwegian-gem/cruises</v>
      </c>
      <c r="D34" s="180" t="s">
        <v>445</v>
      </c>
      <c r="E34" s="180" t="str">
        <f>IFERROR(__xludf.DUMMYFUNCTION("REGEXREPLACE(D34, ""https://odysia-cruise-uk.client.prod.eu-west.dreamlake.io"", """")"),"/cruise-lines/norwegian-cruise-line/norwegian-gem/cruises")</f>
        <v>/cruise-lines/norwegian-cruise-line/norwegian-gem/cruises</v>
      </c>
    </row>
    <row r="35">
      <c r="A35" s="182" t="s">
        <v>446</v>
      </c>
      <c r="B35" s="180" t="str">
        <f>IFERROR(__xludf.DUMMYFUNCTION("REGEXREPLACE(A35, ""&lt;loc&gt;"", """")"),"https://odysia-cruise-uk.client.prod.eu-west.dreamlake.io/cruise-lines/virgin-voyages/scarlet-lady/cruises&lt;/loc&gt;")</f>
        <v>https://odysia-cruise-uk.client.prod.eu-west.dreamlake.io/cruise-lines/virgin-voyages/scarlet-lady/cruises&lt;/loc&gt;</v>
      </c>
      <c r="C35" s="181" t="str">
        <f>IFERROR(__xludf.DUMMYFUNCTION("REGEXREPLACE(B35, ""&lt;/loc&gt;"", """")"),"https://odysia-cruise-uk.client.prod.eu-west.dreamlake.io/cruise-lines/virgin-voyages/scarlet-lady/cruises")</f>
        <v>https://odysia-cruise-uk.client.prod.eu-west.dreamlake.io/cruise-lines/virgin-voyages/scarlet-lady/cruises</v>
      </c>
      <c r="D35" s="180" t="s">
        <v>447</v>
      </c>
      <c r="E35" s="180" t="str">
        <f>IFERROR(__xludf.DUMMYFUNCTION("REGEXREPLACE(D35, ""https://odysia-cruise-uk.client.prod.eu-west.dreamlake.io"", """")"),"/cruise-lines/virgin-voyages/scarlet-lady/cruises")</f>
        <v>/cruise-lines/virgin-voyages/scarlet-lady/cruises</v>
      </c>
    </row>
    <row r="36">
      <c r="A36" s="182" t="s">
        <v>448</v>
      </c>
      <c r="B36" s="180" t="str">
        <f>IFERROR(__xludf.DUMMYFUNCTION("REGEXREPLACE(A36, ""&lt;loc&gt;"", """")"),"https://odysia-cruise-uk.client.prod.eu-west.dreamlake.io/cruise-lines/msc-cruises/msc-splendida/cruises&lt;/loc&gt;")</f>
        <v>https://odysia-cruise-uk.client.prod.eu-west.dreamlake.io/cruise-lines/msc-cruises/msc-splendida/cruises&lt;/loc&gt;</v>
      </c>
      <c r="C36" s="181" t="str">
        <f>IFERROR(__xludf.DUMMYFUNCTION("REGEXREPLACE(B36, ""&lt;/loc&gt;"", """")"),"https://odysia-cruise-uk.client.prod.eu-west.dreamlake.io/cruise-lines/msc-cruises/msc-splendida/cruises")</f>
        <v>https://odysia-cruise-uk.client.prod.eu-west.dreamlake.io/cruise-lines/msc-cruises/msc-splendida/cruises</v>
      </c>
      <c r="D36" s="180" t="s">
        <v>449</v>
      </c>
      <c r="E36" s="180" t="str">
        <f>IFERROR(__xludf.DUMMYFUNCTION("REGEXREPLACE(D36, ""https://odysia-cruise-uk.client.prod.eu-west.dreamlake.io"", """")"),"/cruise-lines/msc-cruises/msc-splendida/cruises")</f>
        <v>/cruise-lines/msc-cruises/msc-splendida/cruises</v>
      </c>
    </row>
    <row r="37">
      <c r="A37" s="182" t="s">
        <v>450</v>
      </c>
      <c r="B37" s="180" t="str">
        <f>IFERROR(__xludf.DUMMYFUNCTION("REGEXREPLACE(A37, ""&lt;loc&gt;"", """")"),"https://odysia-cruise-uk.client.prod.eu-west.dreamlake.io/cruise-lines/norwegian-cruise-line/norwegian-dawn/cruises&lt;/loc&gt;")</f>
        <v>https://odysia-cruise-uk.client.prod.eu-west.dreamlake.io/cruise-lines/norwegian-cruise-line/norwegian-dawn/cruises&lt;/loc&gt;</v>
      </c>
      <c r="C37" s="181" t="str">
        <f>IFERROR(__xludf.DUMMYFUNCTION("REGEXREPLACE(B37, ""&lt;/loc&gt;"", """")"),"https://odysia-cruise-uk.client.prod.eu-west.dreamlake.io/cruise-lines/norwegian-cruise-line/norwegian-dawn/cruises")</f>
        <v>https://odysia-cruise-uk.client.prod.eu-west.dreamlake.io/cruise-lines/norwegian-cruise-line/norwegian-dawn/cruises</v>
      </c>
      <c r="D37" s="180" t="s">
        <v>451</v>
      </c>
      <c r="E37" s="180" t="str">
        <f>IFERROR(__xludf.DUMMYFUNCTION("REGEXREPLACE(D37, ""https://odysia-cruise-uk.client.prod.eu-west.dreamlake.io"", """")"),"/cruise-lines/norwegian-cruise-line/norwegian-dawn/cruises")</f>
        <v>/cruise-lines/norwegian-cruise-line/norwegian-dawn/cruises</v>
      </c>
    </row>
    <row r="38">
      <c r="A38" s="182" t="s">
        <v>452</v>
      </c>
      <c r="B38" s="180" t="str">
        <f>IFERROR(__xludf.DUMMYFUNCTION("REGEXREPLACE(A38, ""&lt;loc&gt;"", """")"),"https://odysia-cruise-uk.client.prod.eu-west.dreamlake.io/cruise-lines/msc-cruises/msc-seascape&lt;/loc&gt;")</f>
        <v>https://odysia-cruise-uk.client.prod.eu-west.dreamlake.io/cruise-lines/msc-cruises/msc-seascape&lt;/loc&gt;</v>
      </c>
      <c r="C38" s="181" t="str">
        <f>IFERROR(__xludf.DUMMYFUNCTION("REGEXREPLACE(B38, ""&lt;/loc&gt;"", """")"),"https://odysia-cruise-uk.client.prod.eu-west.dreamlake.io/cruise-lines/msc-cruises/msc-seascape")</f>
        <v>https://odysia-cruise-uk.client.prod.eu-west.dreamlake.io/cruise-lines/msc-cruises/msc-seascape</v>
      </c>
      <c r="D38" s="180" t="s">
        <v>453</v>
      </c>
      <c r="E38" s="180" t="str">
        <f>IFERROR(__xludf.DUMMYFUNCTION("REGEXREPLACE(D38, ""https://odysia-cruise-uk.client.prod.eu-west.dreamlake.io"", """")"),"/cruise-lines/msc-cruises/msc-seascape")</f>
        <v>/cruise-lines/msc-cruises/msc-seascape</v>
      </c>
    </row>
    <row r="39">
      <c r="A39" s="182" t="s">
        <v>454</v>
      </c>
      <c r="B39" s="180" t="str">
        <f>IFERROR(__xludf.DUMMYFUNCTION("REGEXREPLACE(A39, ""&lt;loc&gt;"", """")"),"https://odysia-cruise-uk.client.prod.eu-west.dreamlake.io/cruise-lines/msc-cruises/cruises&lt;/loc&gt;")</f>
        <v>https://odysia-cruise-uk.client.prod.eu-west.dreamlake.io/cruise-lines/msc-cruises/cruises&lt;/loc&gt;</v>
      </c>
      <c r="C39" s="181" t="str">
        <f>IFERROR(__xludf.DUMMYFUNCTION("REGEXREPLACE(B39, ""&lt;/loc&gt;"", """")"),"https://odysia-cruise-uk.client.prod.eu-west.dreamlake.io/cruise-lines/msc-cruises/cruises")</f>
        <v>https://odysia-cruise-uk.client.prod.eu-west.dreamlake.io/cruise-lines/msc-cruises/cruises</v>
      </c>
      <c r="D39" s="180" t="s">
        <v>455</v>
      </c>
      <c r="E39" s="180" t="str">
        <f>IFERROR(__xludf.DUMMYFUNCTION("REGEXREPLACE(D39, ""https://odysia-cruise-uk.client.prod.eu-west.dreamlake.io"", """")"),"/cruise-lines/msc-cruises/cruises")</f>
        <v>/cruise-lines/msc-cruises/cruises</v>
      </c>
    </row>
    <row r="40">
      <c r="A40" s="182" t="s">
        <v>456</v>
      </c>
      <c r="B40" s="180" t="str">
        <f>IFERROR(__xludf.DUMMYFUNCTION("REGEXREPLACE(A40, ""&lt;loc&gt;"", """")"),"https://odysia-cruise-uk.client.prod.eu-west.dreamlake.io/cruise-lines/virgin-voyages/valiant-lady/cruises&lt;/loc&gt;")</f>
        <v>https://odysia-cruise-uk.client.prod.eu-west.dreamlake.io/cruise-lines/virgin-voyages/valiant-lady/cruises&lt;/loc&gt;</v>
      </c>
      <c r="C40" s="181" t="str">
        <f>IFERROR(__xludf.DUMMYFUNCTION("REGEXREPLACE(B40, ""&lt;/loc&gt;"", """")"),"https://odysia-cruise-uk.client.prod.eu-west.dreamlake.io/cruise-lines/virgin-voyages/valiant-lady/cruises")</f>
        <v>https://odysia-cruise-uk.client.prod.eu-west.dreamlake.io/cruise-lines/virgin-voyages/valiant-lady/cruises</v>
      </c>
      <c r="D40" s="180" t="s">
        <v>457</v>
      </c>
      <c r="E40" s="180" t="str">
        <f>IFERROR(__xludf.DUMMYFUNCTION("REGEXREPLACE(D40, ""https://odysia-cruise-uk.client.prod.eu-west.dreamlake.io"", """")"),"/cruise-lines/virgin-voyages/valiant-lady/cruises")</f>
        <v>/cruise-lines/virgin-voyages/valiant-lady/cruises</v>
      </c>
    </row>
    <row r="41">
      <c r="A41" s="182" t="s">
        <v>458</v>
      </c>
      <c r="B41" s="180" t="str">
        <f>IFERROR(__xludf.DUMMYFUNCTION("REGEXREPLACE(A41, ""&lt;loc&gt;"", """")"),"https://odysia-cruise-uk.client.prod.eu-west.dreamlake.io/cruise-deals/fly-cruise-deals&lt;/loc&gt;")</f>
        <v>https://odysia-cruise-uk.client.prod.eu-west.dreamlake.io/cruise-deals/fly-cruise-deals&lt;/loc&gt;</v>
      </c>
      <c r="C41" s="181" t="str">
        <f>IFERROR(__xludf.DUMMYFUNCTION("REGEXREPLACE(B41, ""&lt;/loc&gt;"", """")"),"https://odysia-cruise-uk.client.prod.eu-west.dreamlake.io/cruise-deals/fly-cruise-deals")</f>
        <v>https://odysia-cruise-uk.client.prod.eu-west.dreamlake.io/cruise-deals/fly-cruise-deals</v>
      </c>
      <c r="D41" s="180" t="s">
        <v>459</v>
      </c>
    </row>
    <row r="42">
      <c r="A42" s="182" t="s">
        <v>460</v>
      </c>
      <c r="B42" s="180" t="str">
        <f>IFERROR(__xludf.DUMMYFUNCTION("REGEXREPLACE(A42, ""&lt;loc&gt;"", """")"),"https://odysia-cruise-uk.client.prod.eu-west.dreamlake.io/cruise-lines/virgin-voyages/cruises&lt;/loc&gt;")</f>
        <v>https://odysia-cruise-uk.client.prod.eu-west.dreamlake.io/cruise-lines/virgin-voyages/cruises&lt;/loc&gt;</v>
      </c>
      <c r="C42" s="181" t="str">
        <f>IFERROR(__xludf.DUMMYFUNCTION("REGEXREPLACE(B42, ""&lt;/loc&gt;"", """")"),"https://odysia-cruise-uk.client.prod.eu-west.dreamlake.io/cruise-lines/virgin-voyages/cruises")</f>
        <v>https://odysia-cruise-uk.client.prod.eu-west.dreamlake.io/cruise-lines/virgin-voyages/cruises</v>
      </c>
      <c r="D42" s="180" t="s">
        <v>461</v>
      </c>
      <c r="E42" s="180" t="str">
        <f>IFERROR(__xludf.DUMMYFUNCTION("REGEXREPLACE(D42, ""https://odysia-cruise-uk.client.prod.eu-west.dreamlake.io"", """")"),"/cruise-lines/virgin-voyages/cruises")</f>
        <v>/cruise-lines/virgin-voyages/cruises</v>
      </c>
    </row>
    <row r="43">
      <c r="A43" s="182" t="s">
        <v>462</v>
      </c>
      <c r="B43" s="180" t="str">
        <f>IFERROR(__xludf.DUMMYFUNCTION("REGEXREPLACE(A43, ""&lt;loc&gt;"", """")"),"https://odysia-cruise-uk.client.prod.eu-west.dreamlake.io/cruise-lines/royal-caribbean/vision-of-the-seas&lt;/loc&gt;")</f>
        <v>https://odysia-cruise-uk.client.prod.eu-west.dreamlake.io/cruise-lines/royal-caribbean/vision-of-the-seas&lt;/loc&gt;</v>
      </c>
      <c r="C43" s="181" t="str">
        <f>IFERROR(__xludf.DUMMYFUNCTION("REGEXREPLACE(B43, ""&lt;/loc&gt;"", """")"),"https://odysia-cruise-uk.client.prod.eu-west.dreamlake.io/cruise-lines/royal-caribbean/vision-of-the-seas")</f>
        <v>https://odysia-cruise-uk.client.prod.eu-west.dreamlake.io/cruise-lines/royal-caribbean/vision-of-the-seas</v>
      </c>
      <c r="D43" s="180" t="s">
        <v>463</v>
      </c>
      <c r="E43" s="180" t="str">
        <f>IFERROR(__xludf.DUMMYFUNCTION("REGEXREPLACE(D43, ""https://odysia-cruise-uk.client.prod.eu-west.dreamlake.io"", """")"),"/cruise-lines/royal-caribbean/vision-of-the-seas")</f>
        <v>/cruise-lines/royal-caribbean/vision-of-the-seas</v>
      </c>
    </row>
    <row r="44">
      <c r="A44" s="182" t="s">
        <v>464</v>
      </c>
      <c r="B44" s="180" t="str">
        <f>IFERROR(__xludf.DUMMYFUNCTION("REGEXREPLACE(A44, ""&lt;loc&gt;"", """")"),"https://odysia-cruise-uk.client.prod.eu-west.dreamlake.io/cruise-lines/explora-journeys/explora-iii/cruises&lt;/loc&gt;")</f>
        <v>https://odysia-cruise-uk.client.prod.eu-west.dreamlake.io/cruise-lines/explora-journeys/explora-iii/cruises&lt;/loc&gt;</v>
      </c>
      <c r="C44" s="181" t="str">
        <f>IFERROR(__xludf.DUMMYFUNCTION("REGEXREPLACE(B44, ""&lt;/loc&gt;"", """")"),"https://odysia-cruise-uk.client.prod.eu-west.dreamlake.io/cruise-lines/explora-journeys/explora-iii/cruises")</f>
        <v>https://odysia-cruise-uk.client.prod.eu-west.dreamlake.io/cruise-lines/explora-journeys/explora-iii/cruises</v>
      </c>
      <c r="D44" s="180" t="s">
        <v>465</v>
      </c>
      <c r="E44" s="180" t="str">
        <f>IFERROR(__xludf.DUMMYFUNCTION("REGEXREPLACE(D44, ""https://odysia-cruise-uk.client.prod.eu-west.dreamlake.io"", """")"),"/cruise-lines/explora-journeys/explora-iii/cruises")</f>
        <v>/cruise-lines/explora-journeys/explora-iii/cruises</v>
      </c>
    </row>
    <row r="45">
      <c r="A45" s="182" t="s">
        <v>466</v>
      </c>
      <c r="B45" s="180" t="str">
        <f>IFERROR(__xludf.DUMMYFUNCTION("REGEXREPLACE(A45, ""&lt;loc&gt;"", """")"),"https://odysia-cruise-uk.client.prod.eu-west.dreamlake.io/cruise-lines/holland-america-line/nieuw-amsterdam/cruises&lt;/loc&gt;")</f>
        <v>https://odysia-cruise-uk.client.prod.eu-west.dreamlake.io/cruise-lines/holland-america-line/nieuw-amsterdam/cruises&lt;/loc&gt;</v>
      </c>
      <c r="C45" s="181" t="str">
        <f>IFERROR(__xludf.DUMMYFUNCTION("REGEXREPLACE(B45, ""&lt;/loc&gt;"", """")"),"https://odysia-cruise-uk.client.prod.eu-west.dreamlake.io/cruise-lines/holland-america-line/nieuw-amsterdam/cruises")</f>
        <v>https://odysia-cruise-uk.client.prod.eu-west.dreamlake.io/cruise-lines/holland-america-line/nieuw-amsterdam/cruises</v>
      </c>
      <c r="D45" s="180" t="s">
        <v>467</v>
      </c>
      <c r="E45" s="180" t="str">
        <f>IFERROR(__xludf.DUMMYFUNCTION("REGEXREPLACE(D45, ""https://odysia-cruise-uk.client.prod.eu-west.dreamlake.io"", """")"),"/cruise-lines/holland-america-line/nieuw-amsterdam/cruises")</f>
        <v>/cruise-lines/holland-america-line/nieuw-amsterdam/cruises</v>
      </c>
    </row>
    <row r="46">
      <c r="A46" s="182" t="s">
        <v>468</v>
      </c>
      <c r="B46" s="180" t="str">
        <f>IFERROR(__xludf.DUMMYFUNCTION("REGEXREPLACE(A46, ""&lt;loc&gt;"", """")"),"https://odysia-cruise-uk.client.prod.eu-west.dreamlake.io/cruise-lines/holland-america-line/eurodam&lt;/loc&gt;")</f>
        <v>https://odysia-cruise-uk.client.prod.eu-west.dreamlake.io/cruise-lines/holland-america-line/eurodam&lt;/loc&gt;</v>
      </c>
      <c r="C46" s="181" t="str">
        <f>IFERROR(__xludf.DUMMYFUNCTION("REGEXREPLACE(B46, ""&lt;/loc&gt;"", """")"),"https://odysia-cruise-uk.client.prod.eu-west.dreamlake.io/cruise-lines/holland-america-line/eurodam")</f>
        <v>https://odysia-cruise-uk.client.prod.eu-west.dreamlake.io/cruise-lines/holland-america-line/eurodam</v>
      </c>
      <c r="D46" s="180" t="s">
        <v>469</v>
      </c>
      <c r="E46" s="180" t="str">
        <f>IFERROR(__xludf.DUMMYFUNCTION("REGEXREPLACE(D46, ""https://odysia-cruise-uk.client.prod.eu-west.dreamlake.io"", """")"),"/cruise-lines/holland-america-line/eurodam")</f>
        <v>/cruise-lines/holland-america-line/eurodam</v>
      </c>
    </row>
    <row r="47">
      <c r="A47" s="182" t="s">
        <v>470</v>
      </c>
      <c r="B47" s="180" t="str">
        <f>IFERROR(__xludf.DUMMYFUNCTION("REGEXREPLACE(A47, ""&lt;loc&gt;"", """")"),"https://odysia-cruise-uk.client.prod.eu-west.dreamlake.io/cruise-lines/princess-cruises/majestic-princess&lt;/loc&gt;")</f>
        <v>https://odysia-cruise-uk.client.prod.eu-west.dreamlake.io/cruise-lines/princess-cruises/majestic-princess&lt;/loc&gt;</v>
      </c>
      <c r="C47" s="181" t="str">
        <f>IFERROR(__xludf.DUMMYFUNCTION("REGEXREPLACE(B47, ""&lt;/loc&gt;"", """")"),"https://odysia-cruise-uk.client.prod.eu-west.dreamlake.io/cruise-lines/princess-cruises/majestic-princess")</f>
        <v>https://odysia-cruise-uk.client.prod.eu-west.dreamlake.io/cruise-lines/princess-cruises/majestic-princess</v>
      </c>
      <c r="D47" s="180" t="s">
        <v>471</v>
      </c>
      <c r="E47" s="180" t="str">
        <f>IFERROR(__xludf.DUMMYFUNCTION("REGEXREPLACE(D47, ""https://odysia-cruise-uk.client.prod.eu-west.dreamlake.io"", """")"),"/cruise-lines/princess-cruises/majestic-princess")</f>
        <v>/cruise-lines/princess-cruises/majestic-princess</v>
      </c>
    </row>
    <row r="48">
      <c r="A48" s="182" t="s">
        <v>472</v>
      </c>
      <c r="B48" s="180" t="str">
        <f>IFERROR(__xludf.DUMMYFUNCTION("REGEXREPLACE(A48, ""&lt;loc&gt;"", """")"),"https://odysia-cruise-uk.client.prod.eu-west.dreamlake.io/cruise-lines/oceania-cruises/oceania-nautica/cruises&lt;/loc&gt;")</f>
        <v>https://odysia-cruise-uk.client.prod.eu-west.dreamlake.io/cruise-lines/oceania-cruises/oceania-nautica/cruises&lt;/loc&gt;</v>
      </c>
      <c r="C48" s="181" t="str">
        <f>IFERROR(__xludf.DUMMYFUNCTION("REGEXREPLACE(B48, ""&lt;/loc&gt;"", """")"),"https://odysia-cruise-uk.client.prod.eu-west.dreamlake.io/cruise-lines/oceania-cruises/oceania-nautica/cruises")</f>
        <v>https://odysia-cruise-uk.client.prod.eu-west.dreamlake.io/cruise-lines/oceania-cruises/oceania-nautica/cruises</v>
      </c>
      <c r="D48" s="180" t="s">
        <v>473</v>
      </c>
      <c r="E48" s="180" t="str">
        <f>IFERROR(__xludf.DUMMYFUNCTION("REGEXREPLACE(D48, ""https://odysia-cruise-uk.client.prod.eu-west.dreamlake.io"", """")"),"/cruise-lines/oceania-cruises/oceania-nautica/cruises")</f>
        <v>/cruise-lines/oceania-cruises/oceania-nautica/cruises</v>
      </c>
    </row>
    <row r="49">
      <c r="A49" s="182" t="s">
        <v>474</v>
      </c>
      <c r="B49" s="180" t="str">
        <f>IFERROR(__xludf.DUMMYFUNCTION("REGEXREPLACE(A49, ""&lt;loc&gt;"", """")"),"https://odysia-cruise-uk.client.prod.eu-west.dreamlake.io/cruise-lines/holland-america-line/koningsdam&lt;/loc&gt;")</f>
        <v>https://odysia-cruise-uk.client.prod.eu-west.dreamlake.io/cruise-lines/holland-america-line/koningsdam&lt;/loc&gt;</v>
      </c>
      <c r="C49" s="181" t="str">
        <f>IFERROR(__xludf.DUMMYFUNCTION("REGEXREPLACE(B49, ""&lt;/loc&gt;"", """")"),"https://odysia-cruise-uk.client.prod.eu-west.dreamlake.io/cruise-lines/holland-america-line/koningsdam")</f>
        <v>https://odysia-cruise-uk.client.prod.eu-west.dreamlake.io/cruise-lines/holland-america-line/koningsdam</v>
      </c>
      <c r="D49" s="180" t="s">
        <v>475</v>
      </c>
      <c r="E49" s="180" t="str">
        <f>IFERROR(__xludf.DUMMYFUNCTION("REGEXREPLACE(D49, ""https://odysia-cruise-uk.client.prod.eu-west.dreamlake.io"", """")"),"/cruise-lines/holland-america-line/koningsdam")</f>
        <v>/cruise-lines/holland-america-line/koningsdam</v>
      </c>
    </row>
    <row r="50">
      <c r="A50" s="182" t="s">
        <v>476</v>
      </c>
      <c r="B50" s="180" t="str">
        <f>IFERROR(__xludf.DUMMYFUNCTION("REGEXREPLACE(A50, ""&lt;loc&gt;"", """")"),"https://odysia-cruise-uk.client.prod.eu-west.dreamlake.io/cruise-lines/oceania-cruises/cruises&lt;/loc&gt;")</f>
        <v>https://odysia-cruise-uk.client.prod.eu-west.dreamlake.io/cruise-lines/oceania-cruises/cruises&lt;/loc&gt;</v>
      </c>
      <c r="C50" s="181" t="str">
        <f>IFERROR(__xludf.DUMMYFUNCTION("REGEXREPLACE(B50, ""&lt;/loc&gt;"", """")"),"https://odysia-cruise-uk.client.prod.eu-west.dreamlake.io/cruise-lines/oceania-cruises/cruises")</f>
        <v>https://odysia-cruise-uk.client.prod.eu-west.dreamlake.io/cruise-lines/oceania-cruises/cruises</v>
      </c>
      <c r="D50" s="180" t="s">
        <v>477</v>
      </c>
      <c r="E50" s="180" t="str">
        <f>IFERROR(__xludf.DUMMYFUNCTION("REGEXREPLACE(D50, ""https://odysia-cruise-uk.client.prod.eu-west.dreamlake.io"", """")"),"/cruise-lines/oceania-cruises/cruises")</f>
        <v>/cruise-lines/oceania-cruises/cruises</v>
      </c>
    </row>
    <row r="51">
      <c r="A51" s="182" t="s">
        <v>478</v>
      </c>
      <c r="B51" s="180" t="str">
        <f>IFERROR(__xludf.DUMMYFUNCTION("REGEXREPLACE(A51, ""&lt;loc&gt;"", """")"),"https://odysia-cruise-uk.client.prod.eu-west.dreamlake.io/cruise-lines/msc-cruises/msc-euribia/cruises&lt;/loc&gt;")</f>
        <v>https://odysia-cruise-uk.client.prod.eu-west.dreamlake.io/cruise-lines/msc-cruises/msc-euribia/cruises&lt;/loc&gt;</v>
      </c>
      <c r="C51" s="181" t="str">
        <f>IFERROR(__xludf.DUMMYFUNCTION("REGEXREPLACE(B51, ""&lt;/loc&gt;"", """")"),"https://odysia-cruise-uk.client.prod.eu-west.dreamlake.io/cruise-lines/msc-cruises/msc-euribia/cruises")</f>
        <v>https://odysia-cruise-uk.client.prod.eu-west.dreamlake.io/cruise-lines/msc-cruises/msc-euribia/cruises</v>
      </c>
      <c r="D51" s="180" t="s">
        <v>479</v>
      </c>
      <c r="E51" s="180" t="str">
        <f>IFERROR(__xludf.DUMMYFUNCTION("REGEXREPLACE(D51, ""https://odysia-cruise-uk.client.prod.eu-west.dreamlake.io"", """")"),"/cruise-lines/msc-cruises/msc-euribia/cruises")</f>
        <v>/cruise-lines/msc-cruises/msc-euribia/cruises</v>
      </c>
    </row>
    <row r="52">
      <c r="A52" s="182" t="s">
        <v>480</v>
      </c>
      <c r="B52" s="180" t="str">
        <f>IFERROR(__xludf.DUMMYFUNCTION("REGEXREPLACE(A52, ""&lt;loc&gt;"", """")"),"https://odysia-cruise-uk.client.prod.eu-west.dreamlake.io/cruise-calendar/north-america-cruises&lt;/loc&gt;")</f>
        <v>https://odysia-cruise-uk.client.prod.eu-west.dreamlake.io/cruise-calendar/north-america-cruises&lt;/loc&gt;</v>
      </c>
      <c r="C52" s="181" t="str">
        <f>IFERROR(__xludf.DUMMYFUNCTION("REGEXREPLACE(B52, ""&lt;/loc&gt;"", """")"),"https://odysia-cruise-uk.client.prod.eu-west.dreamlake.io/cruise-calendar/north-america-cruises")</f>
        <v>https://odysia-cruise-uk.client.prod.eu-west.dreamlake.io/cruise-calendar/north-america-cruises</v>
      </c>
    </row>
    <row r="53">
      <c r="A53" s="182" t="s">
        <v>481</v>
      </c>
      <c r="B53" s="180" t="str">
        <f>IFERROR(__xludf.DUMMYFUNCTION("REGEXREPLACE(A53, ""&lt;loc&gt;"", """")"),"https://odysia-cruise-uk.client.prod.eu-west.dreamlake.io/destinations/norway-norwegian-fjords-cruises&lt;/loc&gt;")</f>
        <v>https://odysia-cruise-uk.client.prod.eu-west.dreamlake.io/destinations/norway-norwegian-fjords-cruises&lt;/loc&gt;</v>
      </c>
      <c r="C53" s="181" t="str">
        <f>IFERROR(__xludf.DUMMYFUNCTION("REGEXREPLACE(B53, ""&lt;/loc&gt;"", """")"),"https://odysia-cruise-uk.client.prod.eu-west.dreamlake.io/destinations/norway-norwegian-fjords-cruises")</f>
        <v>https://odysia-cruise-uk.client.prod.eu-west.dreamlake.io/destinations/norway-norwegian-fjords-cruises</v>
      </c>
    </row>
    <row r="54">
      <c r="A54" s="182" t="s">
        <v>482</v>
      </c>
      <c r="B54" s="180" t="str">
        <f>IFERROR(__xludf.DUMMYFUNCTION("REGEXREPLACE(A54, ""&lt;loc&gt;"", """")"),"https://odysia-cruise-uk.client.prod.eu-west.dreamlake.io/cruise-lines/msc-cruises/msc-euribia&lt;/loc&gt;")</f>
        <v>https://odysia-cruise-uk.client.prod.eu-west.dreamlake.io/cruise-lines/msc-cruises/msc-euribia&lt;/loc&gt;</v>
      </c>
      <c r="C54" s="181" t="str">
        <f>IFERROR(__xludf.DUMMYFUNCTION("REGEXREPLACE(B54, ""&lt;/loc&gt;"", """")"),"https://odysia-cruise-uk.client.prod.eu-west.dreamlake.io/cruise-lines/msc-cruises/msc-euribia")</f>
        <v>https://odysia-cruise-uk.client.prod.eu-west.dreamlake.io/cruise-lines/msc-cruises/msc-euribia</v>
      </c>
      <c r="D54" s="180" t="s">
        <v>483</v>
      </c>
      <c r="E54" s="180" t="str">
        <f>IFERROR(__xludf.DUMMYFUNCTION("REGEXREPLACE(D54, ""https://odysia-cruise-uk.client.prod.eu-west.dreamlake.io"", """")"),"/cruise-lines/msc-cruises/msc-euribia")</f>
        <v>/cruise-lines/msc-cruises/msc-euribia</v>
      </c>
    </row>
    <row r="55">
      <c r="A55" s="182" t="s">
        <v>484</v>
      </c>
      <c r="B55" s="180" t="str">
        <f>IFERROR(__xludf.DUMMYFUNCTION("REGEXREPLACE(A55, ""&lt;loc&gt;"", """")"),"https://odysia-cruise-uk.client.prod.eu-west.dreamlake.io/cruise-deals/cruises-from-the-uk&lt;/loc&gt;")</f>
        <v>https://odysia-cruise-uk.client.prod.eu-west.dreamlake.io/cruise-deals/cruises-from-the-uk&lt;/loc&gt;</v>
      </c>
      <c r="C55" s="181" t="str">
        <f>IFERROR(__xludf.DUMMYFUNCTION("REGEXREPLACE(B55, ""&lt;/loc&gt;"", """")"),"https://odysia-cruise-uk.client.prod.eu-west.dreamlake.io/cruise-deals/cruises-from-the-uk")</f>
        <v>https://odysia-cruise-uk.client.prod.eu-west.dreamlake.io/cruise-deals/cruises-from-the-uk</v>
      </c>
      <c r="D55" s="180" t="s">
        <v>485</v>
      </c>
    </row>
    <row r="56">
      <c r="A56" s="182" t="s">
        <v>486</v>
      </c>
      <c r="B56" s="180" t="str">
        <f>IFERROR(__xludf.DUMMYFUNCTION("REGEXREPLACE(A56, ""&lt;loc&gt;"", """")"),"https://odysia-cruise-uk.client.prod.eu-west.dreamlake.io/cruise-lines/norwegian-cruise-line/norwegian-prima/cruises&lt;/loc&gt;")</f>
        <v>https://odysia-cruise-uk.client.prod.eu-west.dreamlake.io/cruise-lines/norwegian-cruise-line/norwegian-prima/cruises&lt;/loc&gt;</v>
      </c>
      <c r="C56" s="181" t="str">
        <f>IFERROR(__xludf.DUMMYFUNCTION("REGEXREPLACE(B56, ""&lt;/loc&gt;"", """")"),"https://odysia-cruise-uk.client.prod.eu-west.dreamlake.io/cruise-lines/norwegian-cruise-line/norwegian-prima/cruises")</f>
        <v>https://odysia-cruise-uk.client.prod.eu-west.dreamlake.io/cruise-lines/norwegian-cruise-line/norwegian-prima/cruises</v>
      </c>
      <c r="D56" s="180" t="s">
        <v>487</v>
      </c>
      <c r="E56" s="180" t="str">
        <f>IFERROR(__xludf.DUMMYFUNCTION("REGEXREPLACE(D56, ""https://odysia-cruise-uk.client.prod.eu-west.dreamlake.io"", """")"),"/cruise-lines/norwegian-cruise-line/norwegian-prima/cruises")</f>
        <v>/cruise-lines/norwegian-cruise-line/norwegian-prima/cruises</v>
      </c>
    </row>
    <row r="57">
      <c r="A57" s="182" t="s">
        <v>488</v>
      </c>
      <c r="B57" s="180" t="str">
        <f>IFERROR(__xludf.DUMMYFUNCTION("REGEXREPLACE(A57, ""&lt;loc&gt;"", """")"),"https://odysia-cruise-uk.client.prod.eu-west.dreamlake.io/cruise-lines/princess-cruises/crown-princess/cruises&lt;/loc&gt;")</f>
        <v>https://odysia-cruise-uk.client.prod.eu-west.dreamlake.io/cruise-lines/princess-cruises/crown-princess/cruises&lt;/loc&gt;</v>
      </c>
      <c r="C57" s="181" t="str">
        <f>IFERROR(__xludf.DUMMYFUNCTION("REGEXREPLACE(B57, ""&lt;/loc&gt;"", """")"),"https://odysia-cruise-uk.client.prod.eu-west.dreamlake.io/cruise-lines/princess-cruises/crown-princess/cruises")</f>
        <v>https://odysia-cruise-uk.client.prod.eu-west.dreamlake.io/cruise-lines/princess-cruises/crown-princess/cruises</v>
      </c>
      <c r="D57" s="180" t="s">
        <v>489</v>
      </c>
      <c r="E57" s="180" t="str">
        <f>IFERROR(__xludf.DUMMYFUNCTION("REGEXREPLACE(D57, ""https://odysia-cruise-uk.client.prod.eu-west.dreamlake.io"", """")"),"/cruise-lines/princess-cruises/crown-princess/cruises")</f>
        <v>/cruise-lines/princess-cruises/crown-princess/cruises</v>
      </c>
    </row>
    <row r="58">
      <c r="A58" s="182" t="s">
        <v>490</v>
      </c>
      <c r="B58" s="180" t="str">
        <f>IFERROR(__xludf.DUMMYFUNCTION("REGEXREPLACE(A58, ""&lt;loc&gt;"", """")"),"https://odysia-cruise-uk.client.prod.eu-west.dreamlake.io/cruise-lines/royal-caribbean/harmony-of-the-seas/cruises&lt;/loc&gt;")</f>
        <v>https://odysia-cruise-uk.client.prod.eu-west.dreamlake.io/cruise-lines/royal-caribbean/harmony-of-the-seas/cruises&lt;/loc&gt;</v>
      </c>
      <c r="C58" s="181" t="str">
        <f>IFERROR(__xludf.DUMMYFUNCTION("REGEXREPLACE(B58, ""&lt;/loc&gt;"", """")"),"https://odysia-cruise-uk.client.prod.eu-west.dreamlake.io/cruise-lines/royal-caribbean/harmony-of-the-seas/cruises")</f>
        <v>https://odysia-cruise-uk.client.prod.eu-west.dreamlake.io/cruise-lines/royal-caribbean/harmony-of-the-seas/cruises</v>
      </c>
      <c r="D58" s="180" t="s">
        <v>491</v>
      </c>
      <c r="E58" s="180" t="str">
        <f>IFERROR(__xludf.DUMMYFUNCTION("REGEXREPLACE(D58, ""https://odysia-cruise-uk.client.prod.eu-west.dreamlake.io"", """")"),"/cruise-lines/royal-caribbean/harmony-of-the-seas/cruises")</f>
        <v>/cruise-lines/royal-caribbean/harmony-of-the-seas/cruises</v>
      </c>
    </row>
    <row r="59">
      <c r="A59" s="182" t="s">
        <v>492</v>
      </c>
      <c r="B59" s="180" t="str">
        <f>IFERROR(__xludf.DUMMYFUNCTION("REGEXREPLACE(A59, ""&lt;loc&gt;"", """")"),"https://odysia-cruise-uk.client.prod.eu-west.dreamlake.io/cruise-calendar/asia-far-east-cruise-dates&lt;/loc&gt;")</f>
        <v>https://odysia-cruise-uk.client.prod.eu-west.dreamlake.io/cruise-calendar/asia-far-east-cruise-dates&lt;/loc&gt;</v>
      </c>
      <c r="C59" s="181" t="str">
        <f>IFERROR(__xludf.DUMMYFUNCTION("REGEXREPLACE(B59, ""&lt;/loc&gt;"", """")"),"https://odysia-cruise-uk.client.prod.eu-west.dreamlake.io/cruise-calendar/asia-far-east-cruise-dates")</f>
        <v>https://odysia-cruise-uk.client.prod.eu-west.dreamlake.io/cruise-calendar/asia-far-east-cruise-dates</v>
      </c>
    </row>
    <row r="60">
      <c r="A60" s="182" t="s">
        <v>493</v>
      </c>
      <c r="B60" s="180" t="str">
        <f>IFERROR(__xludf.DUMMYFUNCTION("REGEXREPLACE(A60, ""&lt;loc&gt;"", """")"),"https://odysia-cruise-uk.client.prod.eu-west.dreamlake.io/cruise-lines/celebrity-cruises/celebrity-edge&lt;/loc&gt;")</f>
        <v>https://odysia-cruise-uk.client.prod.eu-west.dreamlake.io/cruise-lines/celebrity-cruises/celebrity-edge&lt;/loc&gt;</v>
      </c>
      <c r="C60" s="181" t="str">
        <f>IFERROR(__xludf.DUMMYFUNCTION("REGEXREPLACE(B60, ""&lt;/loc&gt;"", """")"),"https://odysia-cruise-uk.client.prod.eu-west.dreamlake.io/cruise-lines/celebrity-cruises/celebrity-edge")</f>
        <v>https://odysia-cruise-uk.client.prod.eu-west.dreamlake.io/cruise-lines/celebrity-cruises/celebrity-edge</v>
      </c>
      <c r="D60" s="180" t="s">
        <v>494</v>
      </c>
      <c r="E60" s="180" t="str">
        <f>IFERROR(__xludf.DUMMYFUNCTION("REGEXREPLACE(D60, ""https://odysia-cruise-uk.client.prod.eu-west.dreamlake.io"", """")"),"/cruise-lines/celebrity-cruises/celebrity-edge")</f>
        <v>/cruise-lines/celebrity-cruises/celebrity-edge</v>
      </c>
    </row>
    <row r="61">
      <c r="A61" s="182" t="s">
        <v>495</v>
      </c>
      <c r="B61" s="180" t="str">
        <f>IFERROR(__xludf.DUMMYFUNCTION("REGEXREPLACE(A61, ""&lt;loc&gt;"", """")"),"https://odysia-cruise-uk.client.prod.eu-west.dreamlake.io/cruise-lines/celebrity-cruises/cruises&lt;/loc&gt;")</f>
        <v>https://odysia-cruise-uk.client.prod.eu-west.dreamlake.io/cruise-lines/celebrity-cruises/cruises&lt;/loc&gt;</v>
      </c>
      <c r="C61" s="181" t="str">
        <f>IFERROR(__xludf.DUMMYFUNCTION("REGEXREPLACE(B61, ""&lt;/loc&gt;"", """")"),"https://odysia-cruise-uk.client.prod.eu-west.dreamlake.io/cruise-lines/celebrity-cruises/cruises")</f>
        <v>https://odysia-cruise-uk.client.prod.eu-west.dreamlake.io/cruise-lines/celebrity-cruises/cruises</v>
      </c>
      <c r="D61" s="180" t="s">
        <v>496</v>
      </c>
      <c r="E61" s="180" t="str">
        <f>IFERROR(__xludf.DUMMYFUNCTION("REGEXREPLACE(D61, ""https://odysia-cruise-uk.client.prod.eu-west.dreamlake.io"", """")"),"/cruise-lines/celebrity-cruises/cruises")</f>
        <v>/cruise-lines/celebrity-cruises/cruises</v>
      </c>
    </row>
    <row r="62">
      <c r="A62" s="182" t="s">
        <v>497</v>
      </c>
      <c r="B62" s="180" t="str">
        <f>IFERROR(__xludf.DUMMYFUNCTION("REGEXREPLACE(A62, ""&lt;loc&gt;"", """")"),"https://odysia-cruise-uk.client.prod.eu-west.dreamlake.io/cruise-lines/seabourn/seabourn-pursuit/cruises&lt;/loc&gt;")</f>
        <v>https://odysia-cruise-uk.client.prod.eu-west.dreamlake.io/cruise-lines/seabourn/seabourn-pursuit/cruises&lt;/loc&gt;</v>
      </c>
      <c r="C62" s="181" t="str">
        <f>IFERROR(__xludf.DUMMYFUNCTION("REGEXREPLACE(B62, ""&lt;/loc&gt;"", """")"),"https://odysia-cruise-uk.client.prod.eu-west.dreamlake.io/cruise-lines/seabourn/seabourn-pursuit/cruises")</f>
        <v>https://odysia-cruise-uk.client.prod.eu-west.dreamlake.io/cruise-lines/seabourn/seabourn-pursuit/cruises</v>
      </c>
      <c r="D62" s="180" t="s">
        <v>498</v>
      </c>
      <c r="E62" s="180" t="str">
        <f>IFERROR(__xludf.DUMMYFUNCTION("REGEXREPLACE(D62, ""https://odysia-cruise-uk.client.prod.eu-west.dreamlake.io"", """")"),"/cruise-lines/seabourn/seabourn-pursuit/cruises")</f>
        <v>/cruise-lines/seabourn/seabourn-pursuit/cruises</v>
      </c>
    </row>
    <row r="63">
      <c r="A63" s="182" t="s">
        <v>499</v>
      </c>
      <c r="B63" s="180" t="str">
        <f>IFERROR(__xludf.DUMMYFUNCTION("REGEXREPLACE(A63, ""&lt;loc&gt;"", """")"),"https://odysia-cruise-uk.client.prod.eu-west.dreamlake.io/cruise-lines/msc-cruises/msc-world-europa/cruises&lt;/loc&gt;")</f>
        <v>https://odysia-cruise-uk.client.prod.eu-west.dreamlake.io/cruise-lines/msc-cruises/msc-world-europa/cruises&lt;/loc&gt;</v>
      </c>
      <c r="C63" s="181" t="str">
        <f>IFERROR(__xludf.DUMMYFUNCTION("REGEXREPLACE(B63, ""&lt;/loc&gt;"", """")"),"https://odysia-cruise-uk.client.prod.eu-west.dreamlake.io/cruise-lines/msc-cruises/msc-world-europa/cruises")</f>
        <v>https://odysia-cruise-uk.client.prod.eu-west.dreamlake.io/cruise-lines/msc-cruises/msc-world-europa/cruises</v>
      </c>
      <c r="D63" s="180" t="s">
        <v>500</v>
      </c>
      <c r="E63" s="180" t="str">
        <f>IFERROR(__xludf.DUMMYFUNCTION("REGEXREPLACE(D63, ""https://odysia-cruise-uk.client.prod.eu-west.dreamlake.io"", """")"),"/cruise-lines/msc-cruises/msc-world-europa/cruises")</f>
        <v>/cruise-lines/msc-cruises/msc-world-europa/cruises</v>
      </c>
    </row>
    <row r="64">
      <c r="A64" s="182" t="s">
        <v>501</v>
      </c>
      <c r="B64" s="180" t="str">
        <f>IFERROR(__xludf.DUMMYFUNCTION("REGEXREPLACE(A64, ""&lt;loc&gt;"", """")"),"https://odysia-cruise-uk.client.prod.eu-west.dreamlake.io/cruise-calendar/norwegian-fjord-cruises-dates&lt;/loc&gt;")</f>
        <v>https://odysia-cruise-uk.client.prod.eu-west.dreamlake.io/cruise-calendar/norwegian-fjord-cruises-dates&lt;/loc&gt;</v>
      </c>
      <c r="C64" s="181" t="str">
        <f>IFERROR(__xludf.DUMMYFUNCTION("REGEXREPLACE(B64, ""&lt;/loc&gt;"", """")"),"https://odysia-cruise-uk.client.prod.eu-west.dreamlake.io/cruise-calendar/norwegian-fjord-cruises-dates")</f>
        <v>https://odysia-cruise-uk.client.prod.eu-west.dreamlake.io/cruise-calendar/norwegian-fjord-cruises-dates</v>
      </c>
    </row>
    <row r="65">
      <c r="A65" s="182" t="s">
        <v>502</v>
      </c>
      <c r="B65" s="180" t="str">
        <f>IFERROR(__xludf.DUMMYFUNCTION("REGEXREPLACE(A65, ""&lt;loc&gt;"", """")"),"https://odysia-cruise-uk.client.prod.eu-west.dreamlake.io/cruise-lines/norwegian-cruise-line/norwegian-breakaway/cruises&lt;/loc&gt;")</f>
        <v>https://odysia-cruise-uk.client.prod.eu-west.dreamlake.io/cruise-lines/norwegian-cruise-line/norwegian-breakaway/cruises&lt;/loc&gt;</v>
      </c>
      <c r="C65" s="181" t="str">
        <f>IFERROR(__xludf.DUMMYFUNCTION("REGEXREPLACE(B65, ""&lt;/loc&gt;"", """")"),"https://odysia-cruise-uk.client.prod.eu-west.dreamlake.io/cruise-lines/norwegian-cruise-line/norwegian-breakaway/cruises")</f>
        <v>https://odysia-cruise-uk.client.prod.eu-west.dreamlake.io/cruise-lines/norwegian-cruise-line/norwegian-breakaway/cruises</v>
      </c>
      <c r="D65" s="180" t="s">
        <v>503</v>
      </c>
      <c r="E65" s="180" t="str">
        <f>IFERROR(__xludf.DUMMYFUNCTION("REGEXREPLACE(D65, ""https://odysia-cruise-uk.client.prod.eu-west.dreamlake.io"", """")"),"/cruise-lines/norwegian-cruise-line/norwegian-breakaway/cruises")</f>
        <v>/cruise-lines/norwegian-cruise-line/norwegian-breakaway/cruises</v>
      </c>
    </row>
    <row r="66">
      <c r="A66" s="182" t="s">
        <v>504</v>
      </c>
      <c r="B66" s="180" t="str">
        <f>IFERROR(__xludf.DUMMYFUNCTION("REGEXREPLACE(A66, ""&lt;loc&gt;"", """")"),"https://odysia-cruise-uk.client.prod.eu-west.dreamlake.io/cruise-lines/norwegian-cruise-line/norwegian-bliss&lt;/loc&gt;")</f>
        <v>https://odysia-cruise-uk.client.prod.eu-west.dreamlake.io/cruise-lines/norwegian-cruise-line/norwegian-bliss&lt;/loc&gt;</v>
      </c>
      <c r="C66" s="181" t="str">
        <f>IFERROR(__xludf.DUMMYFUNCTION("REGEXREPLACE(B66, ""&lt;/loc&gt;"", """")"),"https://odysia-cruise-uk.client.prod.eu-west.dreamlake.io/cruise-lines/norwegian-cruise-line/norwegian-bliss")</f>
        <v>https://odysia-cruise-uk.client.prod.eu-west.dreamlake.io/cruise-lines/norwegian-cruise-line/norwegian-bliss</v>
      </c>
      <c r="D66" s="180" t="s">
        <v>505</v>
      </c>
      <c r="E66" s="180" t="str">
        <f>IFERROR(__xludf.DUMMYFUNCTION("REGEXREPLACE(D66, ""https://odysia-cruise-uk.client.prod.eu-west.dreamlake.io"", """")"),"/cruise-lines/norwegian-cruise-line/norwegian-bliss")</f>
        <v>/cruise-lines/norwegian-cruise-line/norwegian-bliss</v>
      </c>
    </row>
    <row r="67">
      <c r="A67" s="182" t="s">
        <v>506</v>
      </c>
      <c r="B67" s="180" t="str">
        <f>IFERROR(__xludf.DUMMYFUNCTION("REGEXREPLACE(A67, ""&lt;loc&gt;"", """")"),"https://odysia-cruise-uk.client.prod.eu-west.dreamlake.io/cruise-lines/regent-seven-seas-cruises&lt;/loc&gt;")</f>
        <v>https://odysia-cruise-uk.client.prod.eu-west.dreamlake.io/cruise-lines/regent-seven-seas-cruises&lt;/loc&gt;</v>
      </c>
      <c r="C67" s="181" t="str">
        <f>IFERROR(__xludf.DUMMYFUNCTION("REGEXREPLACE(B67, ""&lt;/loc&gt;"", """")"),"https://odysia-cruise-uk.client.prod.eu-west.dreamlake.io/cruise-lines/regent-seven-seas-cruises")</f>
        <v>https://odysia-cruise-uk.client.prod.eu-west.dreamlake.io/cruise-lines/regent-seven-seas-cruises</v>
      </c>
      <c r="D67" s="180" t="s">
        <v>507</v>
      </c>
      <c r="E67" s="180" t="str">
        <f>IFERROR(__xludf.DUMMYFUNCTION("REGEXREPLACE(D67, ""https://odysia-cruise-uk.client.prod.eu-west.dreamlake.io"", """")"),"/cruise-lines/regent-seven-seas-cruises")</f>
        <v>/cruise-lines/regent-seven-seas-cruises</v>
      </c>
    </row>
    <row r="68">
      <c r="A68" s="182" t="s">
        <v>508</v>
      </c>
      <c r="B68" s="180" t="str">
        <f>IFERROR(__xludf.DUMMYFUNCTION("REGEXREPLACE(A68, ""&lt;loc&gt;"", """")"),"https://odysia-cruise-uk.client.prod.eu-west.dreamlake.io/cruise-lines/royal-caribbean/enchantment-of-the-seas/cruises&lt;/loc&gt;")</f>
        <v>https://odysia-cruise-uk.client.prod.eu-west.dreamlake.io/cruise-lines/royal-caribbean/enchantment-of-the-seas/cruises&lt;/loc&gt;</v>
      </c>
      <c r="C68" s="181" t="str">
        <f>IFERROR(__xludf.DUMMYFUNCTION("REGEXREPLACE(B68, ""&lt;/loc&gt;"", """")"),"https://odysia-cruise-uk.client.prod.eu-west.dreamlake.io/cruise-lines/royal-caribbean/enchantment-of-the-seas/cruises")</f>
        <v>https://odysia-cruise-uk.client.prod.eu-west.dreamlake.io/cruise-lines/royal-caribbean/enchantment-of-the-seas/cruises</v>
      </c>
      <c r="D68" s="180" t="s">
        <v>509</v>
      </c>
      <c r="E68" s="180" t="str">
        <f>IFERROR(__xludf.DUMMYFUNCTION("REGEXREPLACE(D68, ""https://odysia-cruise-uk.client.prod.eu-west.dreamlake.io"", """")"),"/cruise-lines/royal-caribbean/enchantment-of-the-seas/cruises")</f>
        <v>/cruise-lines/royal-caribbean/enchantment-of-the-seas/cruises</v>
      </c>
    </row>
    <row r="69">
      <c r="A69" s="182" t="s">
        <v>510</v>
      </c>
      <c r="B69" s="180" t="str">
        <f>IFERROR(__xludf.DUMMYFUNCTION("REGEXREPLACE(A69, ""&lt;loc&gt;"", """")"),"https://odysia-cruise-uk.client.prod.eu-west.dreamlake.io/cruise-deals/mini-cruises&lt;/loc&gt;")</f>
        <v>https://odysia-cruise-uk.client.prod.eu-west.dreamlake.io/cruise-deals/mini-cruises&lt;/loc&gt;</v>
      </c>
      <c r="C69" s="181" t="str">
        <f>IFERROR(__xludf.DUMMYFUNCTION("REGEXREPLACE(B69, ""&lt;/loc&gt;"", """")"),"https://odysia-cruise-uk.client.prod.eu-west.dreamlake.io/cruise-deals/mini-cruises")</f>
        <v>https://odysia-cruise-uk.client.prod.eu-west.dreamlake.io/cruise-deals/mini-cruises</v>
      </c>
      <c r="D69" s="180" t="s">
        <v>511</v>
      </c>
    </row>
    <row r="70">
      <c r="A70" s="182" t="s">
        <v>512</v>
      </c>
      <c r="B70" s="180" t="str">
        <f>IFERROR(__xludf.DUMMYFUNCTION("REGEXREPLACE(A70, ""&lt;loc&gt;"", """")"),"https://odysia-cruise-uk.client.prod.eu-west.dreamlake.io/destinations/africa-cruises&lt;/loc&gt;")</f>
        <v>https://odysia-cruise-uk.client.prod.eu-west.dreamlake.io/destinations/africa-cruises&lt;/loc&gt;</v>
      </c>
      <c r="C70" s="181" t="str">
        <f>IFERROR(__xludf.DUMMYFUNCTION("REGEXREPLACE(B70, ""&lt;/loc&gt;"", """")"),"https://odysia-cruise-uk.client.prod.eu-west.dreamlake.io/destinations/africa-cruises")</f>
        <v>https://odysia-cruise-uk.client.prod.eu-west.dreamlake.io/destinations/africa-cruises</v>
      </c>
    </row>
    <row r="71">
      <c r="A71" s="182" t="s">
        <v>513</v>
      </c>
      <c r="B71" s="180" t="str">
        <f>IFERROR(__xludf.DUMMYFUNCTION("REGEXREPLACE(A71, ""&lt;loc&gt;"", """")"),"https://odysia-cruise-uk.client.prod.eu-west.dreamlake.io/cruise-deals/family-cruise-deals&lt;/loc&gt;")</f>
        <v>https://odysia-cruise-uk.client.prod.eu-west.dreamlake.io/cruise-deals/family-cruise-deals&lt;/loc&gt;</v>
      </c>
      <c r="C71" s="181" t="str">
        <f>IFERROR(__xludf.DUMMYFUNCTION("REGEXREPLACE(B71, ""&lt;/loc&gt;"", """")"),"https://odysia-cruise-uk.client.prod.eu-west.dreamlake.io/cruise-deals/family-cruise-deals")</f>
        <v>https://odysia-cruise-uk.client.prod.eu-west.dreamlake.io/cruise-deals/family-cruise-deals</v>
      </c>
      <c r="D71" s="180" t="s">
        <v>514</v>
      </c>
    </row>
    <row r="72">
      <c r="A72" s="182" t="s">
        <v>515</v>
      </c>
      <c r="B72" s="180" t="str">
        <f>IFERROR(__xludf.DUMMYFUNCTION("REGEXREPLACE(A72, ""&lt;loc&gt;"", """")"),"https://odysia-cruise-uk.client.prod.eu-west.dreamlake.io/cruise-deals/all-inclusive-cruise-deals&lt;/loc&gt;")</f>
        <v>https://odysia-cruise-uk.client.prod.eu-west.dreamlake.io/cruise-deals/all-inclusive-cruise-deals&lt;/loc&gt;</v>
      </c>
      <c r="C72" s="181" t="str">
        <f>IFERROR(__xludf.DUMMYFUNCTION("REGEXREPLACE(B72, ""&lt;/loc&gt;"", """")"),"https://odysia-cruise-uk.client.prod.eu-west.dreamlake.io/cruise-deals/all-inclusive-cruise-deals")</f>
        <v>https://odysia-cruise-uk.client.prod.eu-west.dreamlake.io/cruise-deals/all-inclusive-cruise-deals</v>
      </c>
      <c r="D72" s="180" t="s">
        <v>516</v>
      </c>
    </row>
    <row r="73">
      <c r="A73" s="182" t="s">
        <v>517</v>
      </c>
      <c r="B73" s="180" t="str">
        <f>IFERROR(__xludf.DUMMYFUNCTION("REGEXREPLACE(A73, ""&lt;loc&gt;"", """")"),"https://odysia-cruise-uk.client.prod.eu-west.dreamlake.io/cruise-lines/virgin-voyages/scarlet-lady&lt;/loc&gt;")</f>
        <v>https://odysia-cruise-uk.client.prod.eu-west.dreamlake.io/cruise-lines/virgin-voyages/scarlet-lady&lt;/loc&gt;</v>
      </c>
      <c r="C73" s="181" t="str">
        <f>IFERROR(__xludf.DUMMYFUNCTION("REGEXREPLACE(B73, ""&lt;/loc&gt;"", """")"),"https://odysia-cruise-uk.client.prod.eu-west.dreamlake.io/cruise-lines/virgin-voyages/scarlet-lady")</f>
        <v>https://odysia-cruise-uk.client.prod.eu-west.dreamlake.io/cruise-lines/virgin-voyages/scarlet-lady</v>
      </c>
      <c r="D73" s="180" t="s">
        <v>518</v>
      </c>
      <c r="E73" s="180" t="str">
        <f>IFERROR(__xludf.DUMMYFUNCTION("REGEXREPLACE(D73, ""https://odysia-cruise-uk.client.prod.eu-west.dreamlake.io"", """")"),"/cruise-lines/virgin-voyages/scarlet-lady")</f>
        <v>/cruise-lines/virgin-voyages/scarlet-lady</v>
      </c>
    </row>
    <row r="74">
      <c r="A74" s="182" t="s">
        <v>519</v>
      </c>
      <c r="B74" s="180" t="str">
        <f>IFERROR(__xludf.DUMMYFUNCTION("REGEXREPLACE(A74, ""&lt;loc&gt;"", """")"),"https://odysia-cruise-uk.client.prod.eu-west.dreamlake.io/cruise-lines/norwegian-cruise-line/norwegian-spirit&lt;/loc&gt;")</f>
        <v>https://odysia-cruise-uk.client.prod.eu-west.dreamlake.io/cruise-lines/norwegian-cruise-line/norwegian-spirit&lt;/loc&gt;</v>
      </c>
      <c r="C74" s="181" t="str">
        <f>IFERROR(__xludf.DUMMYFUNCTION("REGEXREPLACE(B74, ""&lt;/loc&gt;"", """")"),"https://odysia-cruise-uk.client.prod.eu-west.dreamlake.io/cruise-lines/norwegian-cruise-line/norwegian-spirit")</f>
        <v>https://odysia-cruise-uk.client.prod.eu-west.dreamlake.io/cruise-lines/norwegian-cruise-line/norwegian-spirit</v>
      </c>
      <c r="D74" s="180" t="s">
        <v>520</v>
      </c>
      <c r="E74" s="180" t="str">
        <f>IFERROR(__xludf.DUMMYFUNCTION("REGEXREPLACE(D74, ""https://odysia-cruise-uk.client.prod.eu-west.dreamlake.io"", """")"),"/cruise-lines/norwegian-cruise-line/norwegian-spirit")</f>
        <v>/cruise-lines/norwegian-cruise-line/norwegian-spirit</v>
      </c>
    </row>
    <row r="75">
      <c r="A75" s="182" t="s">
        <v>521</v>
      </c>
      <c r="B75" s="180" t="str">
        <f>IFERROR(__xludf.DUMMYFUNCTION("REGEXREPLACE(A75, ""&lt;loc&gt;"", """")"),"https://odysia-cruise-uk.client.prod.eu-west.dreamlake.io/cruise-lines/princess-cruises/emerald-princess&lt;/loc&gt;")</f>
        <v>https://odysia-cruise-uk.client.prod.eu-west.dreamlake.io/cruise-lines/princess-cruises/emerald-princess&lt;/loc&gt;</v>
      </c>
      <c r="C75" s="181" t="str">
        <f>IFERROR(__xludf.DUMMYFUNCTION("REGEXREPLACE(B75, ""&lt;/loc&gt;"", """")"),"https://odysia-cruise-uk.client.prod.eu-west.dreamlake.io/cruise-lines/princess-cruises/emerald-princess")</f>
        <v>https://odysia-cruise-uk.client.prod.eu-west.dreamlake.io/cruise-lines/princess-cruises/emerald-princess</v>
      </c>
      <c r="D75" s="180" t="s">
        <v>522</v>
      </c>
      <c r="E75" s="180" t="str">
        <f>IFERROR(__xludf.DUMMYFUNCTION("REGEXREPLACE(D75, ""https://odysia-cruise-uk.client.prod.eu-west.dreamlake.io"", """")"),"/cruise-lines/princess-cruises/emerald-princess")</f>
        <v>/cruise-lines/princess-cruises/emerald-princess</v>
      </c>
    </row>
    <row r="76">
      <c r="A76" s="182" t="s">
        <v>523</v>
      </c>
      <c r="B76" s="180" t="str">
        <f>IFERROR(__xludf.DUMMYFUNCTION("REGEXREPLACE(A76, ""&lt;loc&gt;"", """")"),"https://odysia-cruise-uk.client.prod.eu-west.dreamlake.io/cruise-lines/royal-caribbean/independence-of-the-seas&lt;/loc&gt;")</f>
        <v>https://odysia-cruise-uk.client.prod.eu-west.dreamlake.io/cruise-lines/royal-caribbean/independence-of-the-seas&lt;/loc&gt;</v>
      </c>
      <c r="C76" s="181" t="str">
        <f>IFERROR(__xludf.DUMMYFUNCTION("REGEXREPLACE(B76, ""&lt;/loc&gt;"", """")"),"https://odysia-cruise-uk.client.prod.eu-west.dreamlake.io/cruise-lines/royal-caribbean/independence-of-the-seas")</f>
        <v>https://odysia-cruise-uk.client.prod.eu-west.dreamlake.io/cruise-lines/royal-caribbean/independence-of-the-seas</v>
      </c>
      <c r="D76" s="180" t="s">
        <v>524</v>
      </c>
      <c r="E76" s="180" t="str">
        <f>IFERROR(__xludf.DUMMYFUNCTION("REGEXREPLACE(D76, ""https://odysia-cruise-uk.client.prod.eu-west.dreamlake.io"", """")"),"/cruise-lines/royal-caribbean/independence-of-the-seas")</f>
        <v>/cruise-lines/royal-caribbean/independence-of-the-seas</v>
      </c>
    </row>
    <row r="77">
      <c r="A77" s="182" t="s">
        <v>525</v>
      </c>
      <c r="B77" s="180" t="str">
        <f>IFERROR(__xludf.DUMMYFUNCTION("REGEXREPLACE(A77, ""&lt;loc&gt;"", """")"),"https://odysia-cruise-uk.client.prod.eu-west.dreamlake.io/destinations/australasia-cruises&lt;/loc&gt;")</f>
        <v>https://odysia-cruise-uk.client.prod.eu-west.dreamlake.io/destinations/australasia-cruises&lt;/loc&gt;</v>
      </c>
      <c r="C77" s="181" t="str">
        <f>IFERROR(__xludf.DUMMYFUNCTION("REGEXREPLACE(B77, ""&lt;/loc&gt;"", """")"),"https://odysia-cruise-uk.client.prod.eu-west.dreamlake.io/destinations/australasia-cruises")</f>
        <v>https://odysia-cruise-uk.client.prod.eu-west.dreamlake.io/destinations/australasia-cruises</v>
      </c>
    </row>
    <row r="78">
      <c r="A78" s="182" t="s">
        <v>526</v>
      </c>
      <c r="B78" s="180" t="str">
        <f>IFERROR(__xludf.DUMMYFUNCTION("REGEXREPLACE(A78, ""&lt;loc&gt;"", """")"),"https://odysia-cruise-uk.client.prod.eu-west.dreamlake.io/cruise-lines/holland-america-line/oosterdam/cruises&lt;/loc&gt;")</f>
        <v>https://odysia-cruise-uk.client.prod.eu-west.dreamlake.io/cruise-lines/holland-america-line/oosterdam/cruises&lt;/loc&gt;</v>
      </c>
      <c r="C78" s="181" t="str">
        <f>IFERROR(__xludf.DUMMYFUNCTION("REGEXREPLACE(B78, ""&lt;/loc&gt;"", """")"),"https://odysia-cruise-uk.client.prod.eu-west.dreamlake.io/cruise-lines/holland-america-line/oosterdam/cruises")</f>
        <v>https://odysia-cruise-uk.client.prod.eu-west.dreamlake.io/cruise-lines/holland-america-line/oosterdam/cruises</v>
      </c>
      <c r="D78" s="180" t="s">
        <v>527</v>
      </c>
      <c r="E78" s="180" t="str">
        <f>IFERROR(__xludf.DUMMYFUNCTION("REGEXREPLACE(D78, ""https://odysia-cruise-uk.client.prod.eu-west.dreamlake.io"", """")"),"/cruise-lines/holland-america-line/oosterdam/cruises")</f>
        <v>/cruise-lines/holland-america-line/oosterdam/cruises</v>
      </c>
    </row>
    <row r="79">
      <c r="A79" s="182" t="s">
        <v>528</v>
      </c>
      <c r="B79" s="180" t="str">
        <f>IFERROR(__xludf.DUMMYFUNCTION("REGEXREPLACE(A79, ""&lt;loc&gt;"", """")"),"https://odysia-cruise-uk.client.prod.eu-west.dreamlake.io/cruise-lines/princess-cruises&lt;/loc&gt;")</f>
        <v>https://odysia-cruise-uk.client.prod.eu-west.dreamlake.io/cruise-lines/princess-cruises&lt;/loc&gt;</v>
      </c>
      <c r="C79" s="181" t="str">
        <f>IFERROR(__xludf.DUMMYFUNCTION("REGEXREPLACE(B79, ""&lt;/loc&gt;"", """")"),"https://odysia-cruise-uk.client.prod.eu-west.dreamlake.io/cruise-lines/princess-cruises")</f>
        <v>https://odysia-cruise-uk.client.prod.eu-west.dreamlake.io/cruise-lines/princess-cruises</v>
      </c>
      <c r="D79" s="180" t="s">
        <v>529</v>
      </c>
      <c r="E79" s="180" t="str">
        <f>IFERROR(__xludf.DUMMYFUNCTION("REGEXREPLACE(D79, ""https://odysia-cruise-uk.client.prod.eu-west.dreamlake.io"", """")"),"/cruise-lines/princess-cruises")</f>
        <v>/cruise-lines/princess-cruises</v>
      </c>
    </row>
    <row r="80">
      <c r="A80" s="182" t="s">
        <v>530</v>
      </c>
      <c r="B80" s="180" t="str">
        <f>IFERROR(__xludf.DUMMYFUNCTION("REGEXREPLACE(A80, ""&lt;loc&gt;"", """")"),"https://odysia-cruise-uk.client.prod.eu-west.dreamlake.io/cruise-lines/norwegian-cruise-line/norwegian-prima&lt;/loc&gt;")</f>
        <v>https://odysia-cruise-uk.client.prod.eu-west.dreamlake.io/cruise-lines/norwegian-cruise-line/norwegian-prima&lt;/loc&gt;</v>
      </c>
      <c r="C80" s="181" t="str">
        <f>IFERROR(__xludf.DUMMYFUNCTION("REGEXREPLACE(B80, ""&lt;/loc&gt;"", """")"),"https://odysia-cruise-uk.client.prod.eu-west.dreamlake.io/cruise-lines/norwegian-cruise-line/norwegian-prima")</f>
        <v>https://odysia-cruise-uk.client.prod.eu-west.dreamlake.io/cruise-lines/norwegian-cruise-line/norwegian-prima</v>
      </c>
      <c r="D80" s="180" t="s">
        <v>531</v>
      </c>
      <c r="E80" s="180" t="str">
        <f>IFERROR(__xludf.DUMMYFUNCTION("REGEXREPLACE(D80, ""https://odysia-cruise-uk.client.prod.eu-west.dreamlake.io"", """")"),"/cruise-lines/norwegian-cruise-line/norwegian-prima")</f>
        <v>/cruise-lines/norwegian-cruise-line/norwegian-prima</v>
      </c>
    </row>
    <row r="81">
      <c r="A81" s="182" t="s">
        <v>532</v>
      </c>
      <c r="B81" s="180" t="str">
        <f>IFERROR(__xludf.DUMMYFUNCTION("REGEXREPLACE(A81, ""&lt;loc&gt;"", """")"),"https://odysia-cruise-uk.client.prod.eu-west.dreamlake.io/cruise-lines/holland-america-line/zuiderdam/cruises&lt;/loc&gt;")</f>
        <v>https://odysia-cruise-uk.client.prod.eu-west.dreamlake.io/cruise-lines/holland-america-line/zuiderdam/cruises&lt;/loc&gt;</v>
      </c>
      <c r="C81" s="181" t="str">
        <f>IFERROR(__xludf.DUMMYFUNCTION("REGEXREPLACE(B81, ""&lt;/loc&gt;"", """")"),"https://odysia-cruise-uk.client.prod.eu-west.dreamlake.io/cruise-lines/holland-america-line/zuiderdam/cruises")</f>
        <v>https://odysia-cruise-uk.client.prod.eu-west.dreamlake.io/cruise-lines/holland-america-line/zuiderdam/cruises</v>
      </c>
      <c r="D81" s="180" t="s">
        <v>533</v>
      </c>
      <c r="E81" s="180" t="str">
        <f>IFERROR(__xludf.DUMMYFUNCTION("REGEXREPLACE(D81, ""https://odysia-cruise-uk.client.prod.eu-west.dreamlake.io"", """")"),"/cruise-lines/holland-america-line/zuiderdam/cruises")</f>
        <v>/cruise-lines/holland-america-line/zuiderdam/cruises</v>
      </c>
    </row>
    <row r="82">
      <c r="A82" s="182" t="s">
        <v>534</v>
      </c>
      <c r="B82" s="180" t="str">
        <f>IFERROR(__xludf.DUMMYFUNCTION("REGEXREPLACE(A82, ""&lt;loc&gt;"", """")"),"https://odysia-cruise-uk.client.prod.eu-west.dreamlake.io/cruise-lines/norwegian-cruise-line/norwegian-aqua&lt;/loc&gt;")</f>
        <v>https://odysia-cruise-uk.client.prod.eu-west.dreamlake.io/cruise-lines/norwegian-cruise-line/norwegian-aqua&lt;/loc&gt;</v>
      </c>
      <c r="C82" s="181" t="str">
        <f>IFERROR(__xludf.DUMMYFUNCTION("REGEXREPLACE(B82, ""&lt;/loc&gt;"", """")"),"https://odysia-cruise-uk.client.prod.eu-west.dreamlake.io/cruise-lines/norwegian-cruise-line/norwegian-aqua")</f>
        <v>https://odysia-cruise-uk.client.prod.eu-west.dreamlake.io/cruise-lines/norwegian-cruise-line/norwegian-aqua</v>
      </c>
      <c r="D82" s="180" t="s">
        <v>535</v>
      </c>
      <c r="E82" s="180" t="str">
        <f>IFERROR(__xludf.DUMMYFUNCTION("REGEXREPLACE(D82, ""https://odysia-cruise-uk.client.prod.eu-west.dreamlake.io"", """")"),"/cruise-lines/norwegian-cruise-line/norwegian-aqua")</f>
        <v>/cruise-lines/norwegian-cruise-line/norwegian-aqua</v>
      </c>
    </row>
    <row r="83">
      <c r="A83" s="182" t="s">
        <v>536</v>
      </c>
      <c r="B83" s="180" t="str">
        <f>IFERROR(__xludf.DUMMYFUNCTION("REGEXREPLACE(A83, ""&lt;loc&gt;"", """")"),"https://odysia-cruise-uk.client.prod.eu-west.dreamlake.io/cruise-lines/royal-caribbean/odyssey-of-the-seas&lt;/loc&gt;")</f>
        <v>https://odysia-cruise-uk.client.prod.eu-west.dreamlake.io/cruise-lines/royal-caribbean/odyssey-of-the-seas&lt;/loc&gt;</v>
      </c>
      <c r="C83" s="181" t="str">
        <f>IFERROR(__xludf.DUMMYFUNCTION("REGEXREPLACE(B83, ""&lt;/loc&gt;"", """")"),"https://odysia-cruise-uk.client.prod.eu-west.dreamlake.io/cruise-lines/royal-caribbean/odyssey-of-the-seas")</f>
        <v>https://odysia-cruise-uk.client.prod.eu-west.dreamlake.io/cruise-lines/royal-caribbean/odyssey-of-the-seas</v>
      </c>
      <c r="D83" s="180" t="s">
        <v>537</v>
      </c>
      <c r="E83" s="180" t="str">
        <f>IFERROR(__xludf.DUMMYFUNCTION("REGEXREPLACE(D83, ""https://odysia-cruise-uk.client.prod.eu-west.dreamlake.io"", """")"),"/cruise-lines/royal-caribbean/odyssey-of-the-seas")</f>
        <v>/cruise-lines/royal-caribbean/odyssey-of-the-seas</v>
      </c>
    </row>
    <row r="84">
      <c r="A84" s="182" t="s">
        <v>538</v>
      </c>
      <c r="B84" s="180" t="str">
        <f>IFERROR(__xludf.DUMMYFUNCTION("REGEXREPLACE(A84, ""&lt;loc&gt;"", """")"),"https://odysia-cruise-uk.client.prod.eu-west.dreamlake.io/cruise-lines/celebrity-cruises/celebrity-infinity/cruises&lt;/loc&gt;")</f>
        <v>https://odysia-cruise-uk.client.prod.eu-west.dreamlake.io/cruise-lines/celebrity-cruises/celebrity-infinity/cruises&lt;/loc&gt;</v>
      </c>
      <c r="C84" s="181" t="str">
        <f>IFERROR(__xludf.DUMMYFUNCTION("REGEXREPLACE(B84, ""&lt;/loc&gt;"", """")"),"https://odysia-cruise-uk.client.prod.eu-west.dreamlake.io/cruise-lines/celebrity-cruises/celebrity-infinity/cruises")</f>
        <v>https://odysia-cruise-uk.client.prod.eu-west.dreamlake.io/cruise-lines/celebrity-cruises/celebrity-infinity/cruises</v>
      </c>
      <c r="D84" s="180" t="s">
        <v>539</v>
      </c>
      <c r="E84" s="180" t="str">
        <f>IFERROR(__xludf.DUMMYFUNCTION("REGEXREPLACE(D84, ""https://odysia-cruise-uk.client.prod.eu-west.dreamlake.io"", """")"),"/cruise-lines/celebrity-cruises/celebrity-infinity/cruises")</f>
        <v>/cruise-lines/celebrity-cruises/celebrity-infinity/cruises</v>
      </c>
    </row>
    <row r="85">
      <c r="A85" s="182" t="s">
        <v>540</v>
      </c>
      <c r="B85" s="180" t="str">
        <f>IFERROR(__xludf.DUMMYFUNCTION("REGEXREPLACE(A85, ""&lt;loc&gt;"", """")"),"https://odysia-cruise-uk.client.prod.eu-west.dreamlake.io/cruise-lines/norwegian-cruise-line/norwegian-sun&lt;/loc&gt;")</f>
        <v>https://odysia-cruise-uk.client.prod.eu-west.dreamlake.io/cruise-lines/norwegian-cruise-line/norwegian-sun&lt;/loc&gt;</v>
      </c>
      <c r="C85" s="181" t="str">
        <f>IFERROR(__xludf.DUMMYFUNCTION("REGEXREPLACE(B85, ""&lt;/loc&gt;"", """")"),"https://odysia-cruise-uk.client.prod.eu-west.dreamlake.io/cruise-lines/norwegian-cruise-line/norwegian-sun")</f>
        <v>https://odysia-cruise-uk.client.prod.eu-west.dreamlake.io/cruise-lines/norwegian-cruise-line/norwegian-sun</v>
      </c>
      <c r="D85" s="180" t="s">
        <v>541</v>
      </c>
      <c r="E85" s="180" t="str">
        <f>IFERROR(__xludf.DUMMYFUNCTION("REGEXREPLACE(D85, ""https://odysia-cruise-uk.client.prod.eu-west.dreamlake.io"", """")"),"/cruise-lines/norwegian-cruise-line/norwegian-sun")</f>
        <v>/cruise-lines/norwegian-cruise-line/norwegian-sun</v>
      </c>
    </row>
    <row r="86">
      <c r="A86" s="182" t="s">
        <v>542</v>
      </c>
      <c r="B86" s="180" t="str">
        <f>IFERROR(__xludf.DUMMYFUNCTION("REGEXREPLACE(A86, ""&lt;loc&gt;"", """")"),"https://odysia-cruise-uk.client.prod.eu-west.dreamlake.io/cruise-lines/holland-america-line/eurodam/cruises&lt;/loc&gt;")</f>
        <v>https://odysia-cruise-uk.client.prod.eu-west.dreamlake.io/cruise-lines/holland-america-line/eurodam/cruises&lt;/loc&gt;</v>
      </c>
      <c r="C86" s="181" t="str">
        <f>IFERROR(__xludf.DUMMYFUNCTION("REGEXREPLACE(B86, ""&lt;/loc&gt;"", """")"),"https://odysia-cruise-uk.client.prod.eu-west.dreamlake.io/cruise-lines/holland-america-line/eurodam/cruises")</f>
        <v>https://odysia-cruise-uk.client.prod.eu-west.dreamlake.io/cruise-lines/holland-america-line/eurodam/cruises</v>
      </c>
      <c r="D86" s="180" t="s">
        <v>543</v>
      </c>
      <c r="E86" s="180" t="str">
        <f>IFERROR(__xludf.DUMMYFUNCTION("REGEXREPLACE(D86, ""https://odysia-cruise-uk.client.prod.eu-west.dreamlake.io"", """")"),"/cruise-lines/holland-america-line/eurodam/cruises")</f>
        <v>/cruise-lines/holland-america-line/eurodam/cruises</v>
      </c>
    </row>
    <row r="87">
      <c r="A87" s="182" t="s">
        <v>544</v>
      </c>
      <c r="B87" s="180" t="str">
        <f>IFERROR(__xludf.DUMMYFUNCTION("REGEXREPLACE(A87, ""&lt;loc&gt;"", """")"),"https://odysia-cruise-uk.client.prod.eu-west.dreamlake.io/cruise-lines/royal-caribbean/symphony-of-the-seas/cruises&lt;/loc&gt;")</f>
        <v>https://odysia-cruise-uk.client.prod.eu-west.dreamlake.io/cruise-lines/royal-caribbean/symphony-of-the-seas/cruises&lt;/loc&gt;</v>
      </c>
      <c r="C87" s="181" t="str">
        <f>IFERROR(__xludf.DUMMYFUNCTION("REGEXREPLACE(B87, ""&lt;/loc&gt;"", """")"),"https://odysia-cruise-uk.client.prod.eu-west.dreamlake.io/cruise-lines/royal-caribbean/symphony-of-the-seas/cruises")</f>
        <v>https://odysia-cruise-uk.client.prod.eu-west.dreamlake.io/cruise-lines/royal-caribbean/symphony-of-the-seas/cruises</v>
      </c>
      <c r="D87" s="180" t="s">
        <v>545</v>
      </c>
      <c r="E87" s="180" t="str">
        <f>IFERROR(__xludf.DUMMYFUNCTION("REGEXREPLACE(D87, ""https://odysia-cruise-uk.client.prod.eu-west.dreamlake.io"", """")"),"/cruise-lines/royal-caribbean/symphony-of-the-seas/cruises")</f>
        <v>/cruise-lines/royal-caribbean/symphony-of-the-seas/cruises</v>
      </c>
    </row>
    <row r="88">
      <c r="A88" s="182" t="s">
        <v>546</v>
      </c>
      <c r="B88" s="180" t="str">
        <f>IFERROR(__xludf.DUMMYFUNCTION("REGEXREPLACE(A88, ""&lt;loc&gt;"", """")"),"https://odysia-cruise-uk.client.prod.eu-west.dreamlake.io/cruise-lines/azamara/azamara-pursuit/cruises&lt;/loc&gt;")</f>
        <v>https://odysia-cruise-uk.client.prod.eu-west.dreamlake.io/cruise-lines/azamara/azamara-pursuit/cruises&lt;/loc&gt;</v>
      </c>
      <c r="C88" s="181" t="str">
        <f>IFERROR(__xludf.DUMMYFUNCTION("REGEXREPLACE(B88, ""&lt;/loc&gt;"", """")"),"https://odysia-cruise-uk.client.prod.eu-west.dreamlake.io/cruise-lines/azamara/azamara-pursuit/cruises")</f>
        <v>https://odysia-cruise-uk.client.prod.eu-west.dreamlake.io/cruise-lines/azamara/azamara-pursuit/cruises</v>
      </c>
    </row>
    <row r="89">
      <c r="A89" s="182" t="s">
        <v>547</v>
      </c>
      <c r="B89" s="180" t="str">
        <f>IFERROR(__xludf.DUMMYFUNCTION("REGEXREPLACE(A89, ""&lt;loc&gt;"", """")"),"https://odysia-cruise-uk.client.prod.eu-west.dreamlake.io/cruise-lines/msc-cruises/msc-musica&lt;/loc&gt;")</f>
        <v>https://odysia-cruise-uk.client.prod.eu-west.dreamlake.io/cruise-lines/msc-cruises/msc-musica&lt;/loc&gt;</v>
      </c>
      <c r="C89" s="181" t="str">
        <f>IFERROR(__xludf.DUMMYFUNCTION("REGEXREPLACE(B89, ""&lt;/loc&gt;"", """")"),"https://odysia-cruise-uk.client.prod.eu-west.dreamlake.io/cruise-lines/msc-cruises/msc-musica")</f>
        <v>https://odysia-cruise-uk.client.prod.eu-west.dreamlake.io/cruise-lines/msc-cruises/msc-musica</v>
      </c>
      <c r="D89" s="180" t="s">
        <v>548</v>
      </c>
      <c r="E89" s="180" t="str">
        <f>IFERROR(__xludf.DUMMYFUNCTION("REGEXREPLACE(D89, ""https://odysia-cruise-uk.client.prod.eu-west.dreamlake.io"", """")"),"/cruise-lines/msc-cruises/msc-musica")</f>
        <v>/cruise-lines/msc-cruises/msc-musica</v>
      </c>
    </row>
    <row r="90">
      <c r="A90" s="182" t="s">
        <v>549</v>
      </c>
      <c r="B90" s="180" t="str">
        <f>IFERROR(__xludf.DUMMYFUNCTION("REGEXREPLACE(A90, ""&lt;loc&gt;"", """")"),"https://odysia-cruise-uk.client.prod.eu-west.dreamlake.io/cruise-lines/fred-olsen-cruises/borealis/cruises&lt;/loc&gt;")</f>
        <v>https://odysia-cruise-uk.client.prod.eu-west.dreamlake.io/cruise-lines/fred-olsen-cruises/borealis/cruises&lt;/loc&gt;</v>
      </c>
      <c r="C90" s="181" t="str">
        <f>IFERROR(__xludf.DUMMYFUNCTION("REGEXREPLACE(B90, ""&lt;/loc&gt;"", """")"),"https://odysia-cruise-uk.client.prod.eu-west.dreamlake.io/cruise-lines/fred-olsen-cruises/borealis/cruises")</f>
        <v>https://odysia-cruise-uk.client.prod.eu-west.dreamlake.io/cruise-lines/fred-olsen-cruises/borealis/cruises</v>
      </c>
      <c r="D90" s="180" t="s">
        <v>550</v>
      </c>
      <c r="E90" s="180" t="str">
        <f>IFERROR(__xludf.DUMMYFUNCTION("REGEXREPLACE(D90, ""https://odysia-cruise-uk.client.prod.eu-west.dreamlake.io"", """")"),"/cruise-lines/fred-olsen-cruises/borealis/cruises")</f>
        <v>/cruise-lines/fred-olsen-cruises/borealis/cruises</v>
      </c>
    </row>
    <row r="91">
      <c r="A91" s="182" t="s">
        <v>551</v>
      </c>
      <c r="B91" s="180" t="str">
        <f>IFERROR(__xludf.DUMMYFUNCTION("REGEXREPLACE(A91, ""&lt;loc&gt;"", """")"),"https://odysia-cruise-uk.client.prod.eu-west.dreamlake.io/cruise-lines/costa-cruises&lt;/loc&gt;")</f>
        <v>https://odysia-cruise-uk.client.prod.eu-west.dreamlake.io/cruise-lines/costa-cruises&lt;/loc&gt;</v>
      </c>
      <c r="C91" s="181" t="str">
        <f>IFERROR(__xludf.DUMMYFUNCTION("REGEXREPLACE(B91, ""&lt;/loc&gt;"", """")"),"https://odysia-cruise-uk.client.prod.eu-west.dreamlake.io/cruise-lines/costa-cruises")</f>
        <v>https://odysia-cruise-uk.client.prod.eu-west.dreamlake.io/cruise-lines/costa-cruises</v>
      </c>
      <c r="D91" s="180" t="s">
        <v>552</v>
      </c>
      <c r="E91" s="180" t="str">
        <f>IFERROR(__xludf.DUMMYFUNCTION("REGEXREPLACE(D91, ""https://odysia-cruise-uk.client.prod.eu-west.dreamlake.io"", """")"),"/cruise-lines/costa-cruises")</f>
        <v>/cruise-lines/costa-cruises</v>
      </c>
    </row>
    <row r="92">
      <c r="A92" s="182" t="s">
        <v>553</v>
      </c>
      <c r="B92" s="180" t="str">
        <f>IFERROR(__xludf.DUMMYFUNCTION("REGEXREPLACE(A92, ""&lt;loc&gt;"", """")"),"https://odysia-cruise-uk.client.prod.eu-west.dreamlake.io/cruise-lines/norwegian-cruise-line/norwegian-escape&lt;/loc&gt;")</f>
        <v>https://odysia-cruise-uk.client.prod.eu-west.dreamlake.io/cruise-lines/norwegian-cruise-line/norwegian-escape&lt;/loc&gt;</v>
      </c>
      <c r="C92" s="181" t="str">
        <f>IFERROR(__xludf.DUMMYFUNCTION("REGEXREPLACE(B92, ""&lt;/loc&gt;"", """")"),"https://odysia-cruise-uk.client.prod.eu-west.dreamlake.io/cruise-lines/norwegian-cruise-line/norwegian-escape")</f>
        <v>https://odysia-cruise-uk.client.prod.eu-west.dreamlake.io/cruise-lines/norwegian-cruise-line/norwegian-escape</v>
      </c>
      <c r="D92" s="180" t="s">
        <v>554</v>
      </c>
      <c r="E92" s="180" t="str">
        <f>IFERROR(__xludf.DUMMYFUNCTION("REGEXREPLACE(D92, ""https://odysia-cruise-uk.client.prod.eu-west.dreamlake.io"", """")"),"/cruise-lines/norwegian-cruise-line/norwegian-escape")</f>
        <v>/cruise-lines/norwegian-cruise-line/norwegian-escape</v>
      </c>
    </row>
    <row r="93">
      <c r="A93" s="182" t="s">
        <v>555</v>
      </c>
      <c r="B93" s="180" t="str">
        <f>IFERROR(__xludf.DUMMYFUNCTION("REGEXREPLACE(A93, ""&lt;loc&gt;"", """")"),"https://odysia-cruise-uk.client.prod.eu-west.dreamlake.io/cruise-lines/costa-cruises/costa-serena/cruises&lt;/loc&gt;")</f>
        <v>https://odysia-cruise-uk.client.prod.eu-west.dreamlake.io/cruise-lines/costa-cruises/costa-serena/cruises&lt;/loc&gt;</v>
      </c>
      <c r="C93" s="181" t="str">
        <f>IFERROR(__xludf.DUMMYFUNCTION("REGEXREPLACE(B93, ""&lt;/loc&gt;"", """")"),"https://odysia-cruise-uk.client.prod.eu-west.dreamlake.io/cruise-lines/costa-cruises/costa-serena/cruises")</f>
        <v>https://odysia-cruise-uk.client.prod.eu-west.dreamlake.io/cruise-lines/costa-cruises/costa-serena/cruises</v>
      </c>
      <c r="D93" s="180" t="s">
        <v>556</v>
      </c>
      <c r="E93" s="180" t="str">
        <f>IFERROR(__xludf.DUMMYFUNCTION("REGEXREPLACE(D93, ""https://odysia-cruise-uk.client.prod.eu-west.dreamlake.io"", """")"),"/cruise-lines/costa-cruises/costa-serena/cruises")</f>
        <v>/cruise-lines/costa-cruises/costa-serena/cruises</v>
      </c>
    </row>
    <row r="94">
      <c r="A94" s="182" t="s">
        <v>557</v>
      </c>
      <c r="B94" s="180" t="str">
        <f>IFERROR(__xludf.DUMMYFUNCTION("REGEXREPLACE(A94, ""&lt;loc&gt;"", """")"),"https://odysia-cruise-uk.client.prod.eu-west.dreamlake.io/cruise-lines/msc-cruises&lt;/loc&gt;")</f>
        <v>https://odysia-cruise-uk.client.prod.eu-west.dreamlake.io/cruise-lines/msc-cruises&lt;/loc&gt;</v>
      </c>
      <c r="C94" s="181" t="str">
        <f>IFERROR(__xludf.DUMMYFUNCTION("REGEXREPLACE(B94, ""&lt;/loc&gt;"", """")"),"https://odysia-cruise-uk.client.prod.eu-west.dreamlake.io/cruise-lines/msc-cruises")</f>
        <v>https://odysia-cruise-uk.client.prod.eu-west.dreamlake.io/cruise-lines/msc-cruises</v>
      </c>
      <c r="D94" s="180" t="s">
        <v>558</v>
      </c>
      <c r="E94" s="180" t="str">
        <f>IFERROR(__xludf.DUMMYFUNCTION("REGEXREPLACE(D94, ""https://odysia-cruise-uk.client.prod.eu-west.dreamlake.io"", """")"),"/cruise-lines/msc-cruises")</f>
        <v>/cruise-lines/msc-cruises</v>
      </c>
    </row>
    <row r="95">
      <c r="A95" s="182" t="s">
        <v>559</v>
      </c>
      <c r="B95" s="180" t="str">
        <f>IFERROR(__xludf.DUMMYFUNCTION("REGEXREPLACE(A95, ""&lt;loc&gt;"", """")"),"https://odysia-cruise-uk.client.prod.eu-west.dreamlake.io/cruise-lines/cunard/queen-victoria&lt;/loc&gt;")</f>
        <v>https://odysia-cruise-uk.client.prod.eu-west.dreamlake.io/cruise-lines/cunard/queen-victoria&lt;/loc&gt;</v>
      </c>
      <c r="C95" s="181" t="str">
        <f>IFERROR(__xludf.DUMMYFUNCTION("REGEXREPLACE(B95, ""&lt;/loc&gt;"", """")"),"https://odysia-cruise-uk.client.prod.eu-west.dreamlake.io/cruise-lines/cunard/queen-victoria")</f>
        <v>https://odysia-cruise-uk.client.prod.eu-west.dreamlake.io/cruise-lines/cunard/queen-victoria</v>
      </c>
      <c r="D95" s="180" t="s">
        <v>560</v>
      </c>
      <c r="E95" s="180" t="str">
        <f>IFERROR(__xludf.DUMMYFUNCTION("REGEXREPLACE(D95, ""https://odysia-cruise-uk.client.prod.eu-west.dreamlake.io"", """")"),"/cruise-lines/cunard/queen-victoria")</f>
        <v>/cruise-lines/cunard/queen-victoria</v>
      </c>
    </row>
    <row r="96">
      <c r="A96" s="182" t="s">
        <v>561</v>
      </c>
      <c r="B96" s="180" t="str">
        <f>IFERROR(__xludf.DUMMYFUNCTION("REGEXREPLACE(A96, ""&lt;loc&gt;"", """")"),"https://odysia-cruise-uk.client.prod.eu-west.dreamlake.io/cruise-lines/royal-caribbean/freedom-of-the-seas&lt;/loc&gt;")</f>
        <v>https://odysia-cruise-uk.client.prod.eu-west.dreamlake.io/cruise-lines/royal-caribbean/freedom-of-the-seas&lt;/loc&gt;</v>
      </c>
      <c r="C96" s="181" t="str">
        <f>IFERROR(__xludf.DUMMYFUNCTION("REGEXREPLACE(B96, ""&lt;/loc&gt;"", """")"),"https://odysia-cruise-uk.client.prod.eu-west.dreamlake.io/cruise-lines/royal-caribbean/freedom-of-the-seas")</f>
        <v>https://odysia-cruise-uk.client.prod.eu-west.dreamlake.io/cruise-lines/royal-caribbean/freedom-of-the-seas</v>
      </c>
      <c r="D96" s="180" t="s">
        <v>562</v>
      </c>
      <c r="E96" s="180" t="str">
        <f>IFERROR(__xludf.DUMMYFUNCTION("REGEXREPLACE(D96, ""https://odysia-cruise-uk.client.prod.eu-west.dreamlake.io"", """")"),"/cruise-lines/royal-caribbean/freedom-of-the-seas")</f>
        <v>/cruise-lines/royal-caribbean/freedom-of-the-seas</v>
      </c>
    </row>
    <row r="97">
      <c r="A97" s="182" t="s">
        <v>563</v>
      </c>
      <c r="B97" s="180" t="str">
        <f>IFERROR(__xludf.DUMMYFUNCTION("REGEXREPLACE(A97, ""&lt;loc&gt;"", """")"),"https://odysia-cruise-uk.client.prod.eu-west.dreamlake.io/cruise-lines/po-cruises/arvia&lt;/loc&gt;")</f>
        <v>https://odysia-cruise-uk.client.prod.eu-west.dreamlake.io/cruise-lines/po-cruises/arvia&lt;/loc&gt;</v>
      </c>
      <c r="C97" s="181" t="str">
        <f>IFERROR(__xludf.DUMMYFUNCTION("REGEXREPLACE(B97, ""&lt;/loc&gt;"", """")"),"https://odysia-cruise-uk.client.prod.eu-west.dreamlake.io/cruise-lines/po-cruises/arvia")</f>
        <v>https://odysia-cruise-uk.client.prod.eu-west.dreamlake.io/cruise-lines/po-cruises/arvia</v>
      </c>
      <c r="D97" s="180" t="s">
        <v>564</v>
      </c>
      <c r="E97" s="180" t="str">
        <f>IFERROR(__xludf.DUMMYFUNCTION("REGEXREPLACE(D97, ""https://odysia-cruise-uk.client.prod.eu-west.dreamlake.io"", """")"),"/cruise-lines/po-cruises/arvia")</f>
        <v>/cruise-lines/po-cruises/arvia</v>
      </c>
    </row>
    <row r="98">
      <c r="A98" s="182" t="s">
        <v>565</v>
      </c>
      <c r="B98" s="180" t="str">
        <f>IFERROR(__xludf.DUMMYFUNCTION("REGEXREPLACE(A98, ""&lt;loc&gt;"", """")"),"https://odysia-cruise-uk.client.prod.eu-west.dreamlake.io/cruise-lines/oceania-cruises/oceania-allura/cruises&lt;/loc&gt;")</f>
        <v>https://odysia-cruise-uk.client.prod.eu-west.dreamlake.io/cruise-lines/oceania-cruises/oceania-allura/cruises&lt;/loc&gt;</v>
      </c>
      <c r="C98" s="181" t="str">
        <f>IFERROR(__xludf.DUMMYFUNCTION("REGEXREPLACE(B98, ""&lt;/loc&gt;"", """")"),"https://odysia-cruise-uk.client.prod.eu-west.dreamlake.io/cruise-lines/oceania-cruises/oceania-allura/cruises")</f>
        <v>https://odysia-cruise-uk.client.prod.eu-west.dreamlake.io/cruise-lines/oceania-cruises/oceania-allura/cruises</v>
      </c>
      <c r="D98" s="180" t="s">
        <v>566</v>
      </c>
      <c r="E98" s="180" t="str">
        <f>IFERROR(__xludf.DUMMYFUNCTION("REGEXREPLACE(D98, ""https://odysia-cruise-uk.client.prod.eu-west.dreamlake.io"", """")"),"/cruise-lines/oceania-cruises/oceania-allura/cruises")</f>
        <v>/cruise-lines/oceania-cruises/oceania-allura/cruises</v>
      </c>
    </row>
    <row r="99">
      <c r="A99" s="182" t="s">
        <v>567</v>
      </c>
      <c r="B99" s="180" t="str">
        <f>IFERROR(__xludf.DUMMYFUNCTION("REGEXREPLACE(A99, ""&lt;loc&gt;"", """")"),"https://odysia-cruise-uk.client.prod.eu-west.dreamlake.io/cruise-lines/norwegian-cruise-line/norwegian-getaway&lt;/loc&gt;")</f>
        <v>https://odysia-cruise-uk.client.prod.eu-west.dreamlake.io/cruise-lines/norwegian-cruise-line/norwegian-getaway&lt;/loc&gt;</v>
      </c>
      <c r="C99" s="181" t="str">
        <f>IFERROR(__xludf.DUMMYFUNCTION("REGEXREPLACE(B99, ""&lt;/loc&gt;"", """")"),"https://odysia-cruise-uk.client.prod.eu-west.dreamlake.io/cruise-lines/norwegian-cruise-line/norwegian-getaway")</f>
        <v>https://odysia-cruise-uk.client.prod.eu-west.dreamlake.io/cruise-lines/norwegian-cruise-line/norwegian-getaway</v>
      </c>
      <c r="D99" s="180" t="s">
        <v>568</v>
      </c>
      <c r="E99" s="180" t="str">
        <f>IFERROR(__xludf.DUMMYFUNCTION("REGEXREPLACE(D99, ""https://odysia-cruise-uk.client.prod.eu-west.dreamlake.io"", """")"),"/cruise-lines/norwegian-cruise-line/norwegian-getaway")</f>
        <v>/cruise-lines/norwegian-cruise-line/norwegian-getaway</v>
      </c>
    </row>
    <row r="100">
      <c r="A100" s="182" t="s">
        <v>569</v>
      </c>
      <c r="B100" s="180" t="str">
        <f>IFERROR(__xludf.DUMMYFUNCTION("REGEXREPLACE(A100, ""&lt;loc&gt;"", """")"),"https://odysia-cruise-uk.client.prod.eu-west.dreamlake.io/cruise-calendar/polar-region-cruises&lt;/loc&gt;")</f>
        <v>https://odysia-cruise-uk.client.prod.eu-west.dreamlake.io/cruise-calendar/polar-region-cruises&lt;/loc&gt;</v>
      </c>
      <c r="C100" s="181" t="str">
        <f>IFERROR(__xludf.DUMMYFUNCTION("REGEXREPLACE(B100, ""&lt;/loc&gt;"", """")"),"https://odysia-cruise-uk.client.prod.eu-west.dreamlake.io/cruise-calendar/polar-region-cruises")</f>
        <v>https://odysia-cruise-uk.client.prod.eu-west.dreamlake.io/cruise-calendar/polar-region-cruises</v>
      </c>
    </row>
    <row r="101">
      <c r="A101" s="182" t="s">
        <v>570</v>
      </c>
      <c r="B101" s="180" t="str">
        <f>IFERROR(__xludf.DUMMYFUNCTION("REGEXREPLACE(A101, ""&lt;loc&gt;"", """")"),"https://odysia-cruise-uk.client.prod.eu-west.dreamlake.io/cruise-lines/oceania-cruises/oceania-regatta/cruises&lt;/loc&gt;")</f>
        <v>https://odysia-cruise-uk.client.prod.eu-west.dreamlake.io/cruise-lines/oceania-cruises/oceania-regatta/cruises&lt;/loc&gt;</v>
      </c>
      <c r="C101" s="181" t="str">
        <f>IFERROR(__xludf.DUMMYFUNCTION("REGEXREPLACE(B101, ""&lt;/loc&gt;"", """")"),"https://odysia-cruise-uk.client.prod.eu-west.dreamlake.io/cruise-lines/oceania-cruises/oceania-regatta/cruises")</f>
        <v>https://odysia-cruise-uk.client.prod.eu-west.dreamlake.io/cruise-lines/oceania-cruises/oceania-regatta/cruises</v>
      </c>
      <c r="D101" s="180" t="s">
        <v>571</v>
      </c>
      <c r="E101" s="180" t="str">
        <f>IFERROR(__xludf.DUMMYFUNCTION("REGEXREPLACE(D101, ""https://odysia-cruise-uk.client.prod.eu-west.dreamlake.io"", """")"),"/cruise-lines/oceania-cruises/oceania-regatta/cruises")</f>
        <v>/cruise-lines/oceania-cruises/oceania-regatta/cruises</v>
      </c>
    </row>
    <row r="102">
      <c r="A102" s="182" t="s">
        <v>572</v>
      </c>
      <c r="B102" s="180" t="str">
        <f>IFERROR(__xludf.DUMMYFUNCTION("REGEXREPLACE(A102, ""&lt;loc&gt;"", """")"),"https://odysia-cruise-uk.client.prod.eu-west.dreamlake.io/cruise-lines/royal-caribbean/navigator-of-the-seas&lt;/loc&gt;")</f>
        <v>https://odysia-cruise-uk.client.prod.eu-west.dreamlake.io/cruise-lines/royal-caribbean/navigator-of-the-seas&lt;/loc&gt;</v>
      </c>
      <c r="C102" s="181" t="str">
        <f>IFERROR(__xludf.DUMMYFUNCTION("REGEXREPLACE(B102, ""&lt;/loc&gt;"", """")"),"https://odysia-cruise-uk.client.prod.eu-west.dreamlake.io/cruise-lines/royal-caribbean/navigator-of-the-seas")</f>
        <v>https://odysia-cruise-uk.client.prod.eu-west.dreamlake.io/cruise-lines/royal-caribbean/navigator-of-the-seas</v>
      </c>
      <c r="D102" s="180" t="s">
        <v>573</v>
      </c>
      <c r="E102" s="180" t="str">
        <f>IFERROR(__xludf.DUMMYFUNCTION("REGEXREPLACE(D102, ""https://odysia-cruise-uk.client.prod.eu-west.dreamlake.io"", """")"),"/cruise-lines/royal-caribbean/navigator-of-the-seas")</f>
        <v>/cruise-lines/royal-caribbean/navigator-of-the-seas</v>
      </c>
    </row>
    <row r="103">
      <c r="A103" s="182" t="s">
        <v>574</v>
      </c>
      <c r="B103" s="180" t="str">
        <f>IFERROR(__xludf.DUMMYFUNCTION("REGEXREPLACE(A103, ""&lt;loc&gt;"", """")"),"https://odysia-cruise-uk.client.prod.eu-west.dreamlake.io/cruise-lines/explora-journeys/explora-ii&lt;/loc&gt;")</f>
        <v>https://odysia-cruise-uk.client.prod.eu-west.dreamlake.io/cruise-lines/explora-journeys/explora-ii&lt;/loc&gt;</v>
      </c>
      <c r="C103" s="181" t="str">
        <f>IFERROR(__xludf.DUMMYFUNCTION("REGEXREPLACE(B103, ""&lt;/loc&gt;"", """")"),"https://odysia-cruise-uk.client.prod.eu-west.dreamlake.io/cruise-lines/explora-journeys/explora-ii")</f>
        <v>https://odysia-cruise-uk.client.prod.eu-west.dreamlake.io/cruise-lines/explora-journeys/explora-ii</v>
      </c>
      <c r="D103" s="180" t="s">
        <v>575</v>
      </c>
      <c r="E103" s="180" t="str">
        <f>IFERROR(__xludf.DUMMYFUNCTION("REGEXREPLACE(D103, ""https://odysia-cruise-uk.client.prod.eu-west.dreamlake.io"", """")"),"/cruise-lines/explora-journeys/explora-ii")</f>
        <v>/cruise-lines/explora-journeys/explora-ii</v>
      </c>
    </row>
    <row r="104">
      <c r="A104" s="182" t="s">
        <v>576</v>
      </c>
      <c r="B104" s="180" t="str">
        <f>IFERROR(__xludf.DUMMYFUNCTION("REGEXREPLACE(A104, ""&lt;loc&gt;"", """")"),"https://odysia-cruise-uk.client.prod.eu-west.dreamlake.io/cruise-lines/seabourn/seabourn-venture/cruises&lt;/loc&gt;")</f>
        <v>https://odysia-cruise-uk.client.prod.eu-west.dreamlake.io/cruise-lines/seabourn/seabourn-venture/cruises&lt;/loc&gt;</v>
      </c>
      <c r="C104" s="181" t="str">
        <f>IFERROR(__xludf.DUMMYFUNCTION("REGEXREPLACE(B104, ""&lt;/loc&gt;"", """")"),"https://odysia-cruise-uk.client.prod.eu-west.dreamlake.io/cruise-lines/seabourn/seabourn-venture/cruises")</f>
        <v>https://odysia-cruise-uk.client.prod.eu-west.dreamlake.io/cruise-lines/seabourn/seabourn-venture/cruises</v>
      </c>
      <c r="D104" s="180" t="s">
        <v>577</v>
      </c>
      <c r="E104" s="180" t="str">
        <f>IFERROR(__xludf.DUMMYFUNCTION("REGEXREPLACE(D104, ""https://odysia-cruise-uk.client.prod.eu-west.dreamlake.io"", """")"),"/cruise-lines/seabourn/seabourn-venture/cruises")</f>
        <v>/cruise-lines/seabourn/seabourn-venture/cruises</v>
      </c>
    </row>
    <row r="105">
      <c r="A105" s="182" t="s">
        <v>578</v>
      </c>
      <c r="B105" s="180" t="str">
        <f>IFERROR(__xludf.DUMMYFUNCTION("REGEXREPLACE(A105, ""&lt;loc&gt;"", """")"),"https://odysia-cruise-uk.client.prod.eu-west.dreamlake.io/cruise-lines/princess-cruises/discovery-princess&lt;/loc&gt;")</f>
        <v>https://odysia-cruise-uk.client.prod.eu-west.dreamlake.io/cruise-lines/princess-cruises/discovery-princess&lt;/loc&gt;</v>
      </c>
      <c r="C105" s="181" t="str">
        <f>IFERROR(__xludf.DUMMYFUNCTION("REGEXREPLACE(B105, ""&lt;/loc&gt;"", """")"),"https://odysia-cruise-uk.client.prod.eu-west.dreamlake.io/cruise-lines/princess-cruises/discovery-princess")</f>
        <v>https://odysia-cruise-uk.client.prod.eu-west.dreamlake.io/cruise-lines/princess-cruises/discovery-princess</v>
      </c>
      <c r="D105" s="180" t="s">
        <v>579</v>
      </c>
      <c r="E105" s="180" t="str">
        <f>IFERROR(__xludf.DUMMYFUNCTION("REGEXREPLACE(D105, ""https://odysia-cruise-uk.client.prod.eu-west.dreamlake.io"", """")"),"/cruise-lines/princess-cruises/discovery-princess")</f>
        <v>/cruise-lines/princess-cruises/discovery-princess</v>
      </c>
    </row>
    <row r="106">
      <c r="A106" s="182" t="s">
        <v>580</v>
      </c>
      <c r="B106" s="180" t="str">
        <f>IFERROR(__xludf.DUMMYFUNCTION("REGEXREPLACE(A106, ""&lt;loc&gt;"", """")"),"https://odysia-cruise-uk.client.prod.eu-west.dreamlake.io/cruise-lines/msc-cruises/msc-virtuosa/cruises&lt;/loc&gt;")</f>
        <v>https://odysia-cruise-uk.client.prod.eu-west.dreamlake.io/cruise-lines/msc-cruises/msc-virtuosa/cruises&lt;/loc&gt;</v>
      </c>
      <c r="C106" s="181" t="str">
        <f>IFERROR(__xludf.DUMMYFUNCTION("REGEXREPLACE(B106, ""&lt;/loc&gt;"", """")"),"https://odysia-cruise-uk.client.prod.eu-west.dreamlake.io/cruise-lines/msc-cruises/msc-virtuosa/cruises")</f>
        <v>https://odysia-cruise-uk.client.prod.eu-west.dreamlake.io/cruise-lines/msc-cruises/msc-virtuosa/cruises</v>
      </c>
      <c r="D106" s="180" t="s">
        <v>581</v>
      </c>
      <c r="E106" s="180" t="str">
        <f>IFERROR(__xludf.DUMMYFUNCTION("REGEXREPLACE(D106, ""https://odysia-cruise-uk.client.prod.eu-west.dreamlake.io"", """")"),"/cruise-lines/msc-cruises/msc-virtuosa/cruises")</f>
        <v>/cruise-lines/msc-cruises/msc-virtuosa/cruises</v>
      </c>
    </row>
    <row r="107">
      <c r="A107" s="182" t="s">
        <v>582</v>
      </c>
      <c r="B107" s="180" t="str">
        <f>IFERROR(__xludf.DUMMYFUNCTION("REGEXREPLACE(A107, ""&lt;loc&gt;"", """")"),"https://odysia-cruise-uk.client.prod.eu-west.dreamlake.io/cruise-lines&lt;/loc&gt;")</f>
        <v>https://odysia-cruise-uk.client.prod.eu-west.dreamlake.io/cruise-lines&lt;/loc&gt;</v>
      </c>
      <c r="C107" s="181" t="str">
        <f>IFERROR(__xludf.DUMMYFUNCTION("REGEXREPLACE(B107, ""&lt;/loc&gt;"", """")"),"https://odysia-cruise-uk.client.prod.eu-west.dreamlake.io/cruise-lines")</f>
        <v>https://odysia-cruise-uk.client.prod.eu-west.dreamlake.io/cruise-lines</v>
      </c>
    </row>
    <row r="108">
      <c r="A108" s="182" t="s">
        <v>583</v>
      </c>
      <c r="B108" s="180" t="str">
        <f>IFERROR(__xludf.DUMMYFUNCTION("REGEXREPLACE(A108, ""&lt;loc&gt;"", """")"),"https://odysia-cruise-uk.client.prod.eu-west.dreamlake.io/cruise-lines/costa-cruises/costa-deliziosa/cruises&lt;/loc&gt;")</f>
        <v>https://odysia-cruise-uk.client.prod.eu-west.dreamlake.io/cruise-lines/costa-cruises/costa-deliziosa/cruises&lt;/loc&gt;</v>
      </c>
      <c r="C108" s="181" t="str">
        <f>IFERROR(__xludf.DUMMYFUNCTION("REGEXREPLACE(B108, ""&lt;/loc&gt;"", """")"),"https://odysia-cruise-uk.client.prod.eu-west.dreamlake.io/cruise-lines/costa-cruises/costa-deliziosa/cruises")</f>
        <v>https://odysia-cruise-uk.client.prod.eu-west.dreamlake.io/cruise-lines/costa-cruises/costa-deliziosa/cruises</v>
      </c>
      <c r="D108" s="180" t="s">
        <v>584</v>
      </c>
      <c r="E108" s="180" t="str">
        <f>IFERROR(__xludf.DUMMYFUNCTION("REGEXREPLACE(D108, ""https://odysia-cruise-uk.client.prod.eu-west.dreamlake.io"", """")"),"/cruise-lines/costa-cruises/costa-deliziosa/cruises")</f>
        <v>/cruise-lines/costa-cruises/costa-deliziosa/cruises</v>
      </c>
    </row>
    <row r="109">
      <c r="A109" s="182" t="s">
        <v>585</v>
      </c>
      <c r="B109" s="180" t="str">
        <f>IFERROR(__xludf.DUMMYFUNCTION("REGEXREPLACE(A109, ""&lt;loc&gt;"", """")"),"https://odysia-cruise-uk.client.prod.eu-west.dreamlake.io/cruise-lines/holland-america-line/koningsdam/cruises&lt;/loc&gt;")</f>
        <v>https://odysia-cruise-uk.client.prod.eu-west.dreamlake.io/cruise-lines/holland-america-line/koningsdam/cruises&lt;/loc&gt;</v>
      </c>
      <c r="C109" s="181" t="str">
        <f>IFERROR(__xludf.DUMMYFUNCTION("REGEXREPLACE(B109, ""&lt;/loc&gt;"", """")"),"https://odysia-cruise-uk.client.prod.eu-west.dreamlake.io/cruise-lines/holland-america-line/koningsdam/cruises")</f>
        <v>https://odysia-cruise-uk.client.prod.eu-west.dreamlake.io/cruise-lines/holland-america-line/koningsdam/cruises</v>
      </c>
      <c r="D109" s="180" t="s">
        <v>586</v>
      </c>
      <c r="E109" s="180" t="str">
        <f>IFERROR(__xludf.DUMMYFUNCTION("REGEXREPLACE(D109, ""https://odysia-cruise-uk.client.prod.eu-west.dreamlake.io"", """")"),"/cruise-lines/holland-america-line/koningsdam/cruises")</f>
        <v>/cruise-lines/holland-america-line/koningsdam/cruises</v>
      </c>
    </row>
    <row r="110">
      <c r="A110" s="182" t="s">
        <v>587</v>
      </c>
      <c r="B110" s="180" t="str">
        <f>IFERROR(__xludf.DUMMYFUNCTION("REGEXREPLACE(A110, ""&lt;loc&gt;"", """")"),"https://odysia-cruise-uk.client.prod.eu-west.dreamlake.io/cruise-lines/costa-cruises/costa-favolosa/cruises&lt;/loc&gt;")</f>
        <v>https://odysia-cruise-uk.client.prod.eu-west.dreamlake.io/cruise-lines/costa-cruises/costa-favolosa/cruises&lt;/loc&gt;</v>
      </c>
      <c r="C110" s="181" t="str">
        <f>IFERROR(__xludf.DUMMYFUNCTION("REGEXREPLACE(B110, ""&lt;/loc&gt;"", """")"),"https://odysia-cruise-uk.client.prod.eu-west.dreamlake.io/cruise-lines/costa-cruises/costa-favolosa/cruises")</f>
        <v>https://odysia-cruise-uk.client.prod.eu-west.dreamlake.io/cruise-lines/costa-cruises/costa-favolosa/cruises</v>
      </c>
      <c r="D110" s="180" t="s">
        <v>588</v>
      </c>
      <c r="E110" s="180" t="str">
        <f>IFERROR(__xludf.DUMMYFUNCTION("REGEXREPLACE(D110, ""https://odysia-cruise-uk.client.prod.eu-west.dreamlake.io"", """")"),"/cruise-lines/costa-cruises/costa-favolosa/cruises")</f>
        <v>/cruise-lines/costa-cruises/costa-favolosa/cruises</v>
      </c>
    </row>
    <row r="111">
      <c r="A111" s="182" t="s">
        <v>589</v>
      </c>
      <c r="B111" s="180" t="str">
        <f>IFERROR(__xludf.DUMMYFUNCTION("REGEXREPLACE(A111, ""&lt;loc&gt;"", """")"),"https://odysia-cruise-uk.client.prod.eu-west.dreamlake.io/cruise-lines/norwegian-cruise-line/norwegian-gem&lt;/loc&gt;")</f>
        <v>https://odysia-cruise-uk.client.prod.eu-west.dreamlake.io/cruise-lines/norwegian-cruise-line/norwegian-gem&lt;/loc&gt;</v>
      </c>
      <c r="C111" s="181" t="str">
        <f>IFERROR(__xludf.DUMMYFUNCTION("REGEXREPLACE(B111, ""&lt;/loc&gt;"", """")"),"https://odysia-cruise-uk.client.prod.eu-west.dreamlake.io/cruise-lines/norwegian-cruise-line/norwegian-gem")</f>
        <v>https://odysia-cruise-uk.client.prod.eu-west.dreamlake.io/cruise-lines/norwegian-cruise-line/norwegian-gem</v>
      </c>
      <c r="D111" s="180" t="s">
        <v>590</v>
      </c>
      <c r="E111" s="180" t="str">
        <f>IFERROR(__xludf.DUMMYFUNCTION("REGEXREPLACE(D111, ""https://odysia-cruise-uk.client.prod.eu-west.dreamlake.io"", """")"),"/cruise-lines/norwegian-cruise-line/norwegian-gem")</f>
        <v>/cruise-lines/norwegian-cruise-line/norwegian-gem</v>
      </c>
    </row>
    <row r="112">
      <c r="A112" s="182" t="s">
        <v>591</v>
      </c>
      <c r="B112" s="180" t="str">
        <f>IFERROR(__xludf.DUMMYFUNCTION("REGEXREPLACE(A112, ""&lt;loc&gt;"", """")"),"https://odysia-cruise-uk.client.prod.eu-west.dreamlake.io/cruise-lines/princess-cruises/star-princess&lt;/loc&gt;")</f>
        <v>https://odysia-cruise-uk.client.prod.eu-west.dreamlake.io/cruise-lines/princess-cruises/star-princess&lt;/loc&gt;</v>
      </c>
      <c r="C112" s="181" t="str">
        <f>IFERROR(__xludf.DUMMYFUNCTION("REGEXREPLACE(B112, ""&lt;/loc&gt;"", """")"),"https://odysia-cruise-uk.client.prod.eu-west.dreamlake.io/cruise-lines/princess-cruises/star-princess")</f>
        <v>https://odysia-cruise-uk.client.prod.eu-west.dreamlake.io/cruise-lines/princess-cruises/star-princess</v>
      </c>
      <c r="D112" s="180" t="s">
        <v>592</v>
      </c>
      <c r="E112" s="180" t="str">
        <f>IFERROR(__xludf.DUMMYFUNCTION("REGEXREPLACE(D112, ""https://odysia-cruise-uk.client.prod.eu-west.dreamlake.io"", """")"),"/cruise-lines/princess-cruises/star-princess")</f>
        <v>/cruise-lines/princess-cruises/star-princess</v>
      </c>
    </row>
    <row r="113">
      <c r="A113" s="182" t="s">
        <v>593</v>
      </c>
      <c r="B113" s="180" t="str">
        <f>IFERROR(__xludf.DUMMYFUNCTION("REGEXREPLACE(A113, ""&lt;loc&gt;"", """")"),"https://odysia-cruise-uk.client.prod.eu-west.dreamlake.io/cruise-calendar/british-isles-cruises&lt;/loc&gt;")</f>
        <v>https://odysia-cruise-uk.client.prod.eu-west.dreamlake.io/cruise-calendar/british-isles-cruises&lt;/loc&gt;</v>
      </c>
      <c r="C113" s="181" t="str">
        <f>IFERROR(__xludf.DUMMYFUNCTION("REGEXREPLACE(B113, ""&lt;/loc&gt;"", """")"),"https://odysia-cruise-uk.client.prod.eu-west.dreamlake.io/cruise-calendar/british-isles-cruises")</f>
        <v>https://odysia-cruise-uk.client.prod.eu-west.dreamlake.io/cruise-calendar/british-isles-cruises</v>
      </c>
    </row>
    <row r="114">
      <c r="A114" s="182" t="s">
        <v>594</v>
      </c>
      <c r="B114" s="180" t="str">
        <f>IFERROR(__xludf.DUMMYFUNCTION("REGEXREPLACE(A114, ""&lt;loc&gt;"", """")"),"https://odysia-cruise-uk.client.prod.eu-west.dreamlake.io/cruise-lines/celebrity-cruises/celebrity-flora/cruises&lt;/loc&gt;")</f>
        <v>https://odysia-cruise-uk.client.prod.eu-west.dreamlake.io/cruise-lines/celebrity-cruises/celebrity-flora/cruises&lt;/loc&gt;</v>
      </c>
      <c r="C114" s="181" t="str">
        <f>IFERROR(__xludf.DUMMYFUNCTION("REGEXREPLACE(B114, ""&lt;/loc&gt;"", """")"),"https://odysia-cruise-uk.client.prod.eu-west.dreamlake.io/cruise-lines/celebrity-cruises/celebrity-flora/cruises")</f>
        <v>https://odysia-cruise-uk.client.prod.eu-west.dreamlake.io/cruise-lines/celebrity-cruises/celebrity-flora/cruises</v>
      </c>
      <c r="D114" s="180" t="s">
        <v>595</v>
      </c>
      <c r="E114" s="180" t="str">
        <f>IFERROR(__xludf.DUMMYFUNCTION("REGEXREPLACE(D114, ""https://odysia-cruise-uk.client.prod.eu-west.dreamlake.io"", """")"),"/cruise-lines/celebrity-cruises/celebrity-flora/cruises")</f>
        <v>/cruise-lines/celebrity-cruises/celebrity-flora/cruises</v>
      </c>
    </row>
    <row r="115">
      <c r="A115" s="182" t="s">
        <v>596</v>
      </c>
      <c r="B115" s="180" t="str">
        <f>IFERROR(__xludf.DUMMYFUNCTION("REGEXREPLACE(A115, ""&lt;loc&gt;"", """")"),"https://odysia-cruise-uk.client.prod.eu-west.dreamlake.io/cruise-lines/princess-cruises/island-princess&lt;/loc&gt;")</f>
        <v>https://odysia-cruise-uk.client.prod.eu-west.dreamlake.io/cruise-lines/princess-cruises/island-princess&lt;/loc&gt;</v>
      </c>
      <c r="C115" s="181" t="str">
        <f>IFERROR(__xludf.DUMMYFUNCTION("REGEXREPLACE(B115, ""&lt;/loc&gt;"", """")"),"https://odysia-cruise-uk.client.prod.eu-west.dreamlake.io/cruise-lines/princess-cruises/island-princess")</f>
        <v>https://odysia-cruise-uk.client.prod.eu-west.dreamlake.io/cruise-lines/princess-cruises/island-princess</v>
      </c>
      <c r="D115" s="180" t="s">
        <v>597</v>
      </c>
      <c r="E115" s="180" t="str">
        <f>IFERROR(__xludf.DUMMYFUNCTION("REGEXREPLACE(D115, ""https://odysia-cruise-uk.client.prod.eu-west.dreamlake.io"", """")"),"/cruise-lines/princess-cruises/island-princess")</f>
        <v>/cruise-lines/princess-cruises/island-princess</v>
      </c>
    </row>
    <row r="116">
      <c r="A116" s="182" t="s">
        <v>598</v>
      </c>
      <c r="B116" s="180" t="str">
        <f>IFERROR(__xludf.DUMMYFUNCTION("REGEXREPLACE(A116, ""&lt;loc&gt;"", """")"),"https://odysia-cruise-uk.client.prod.eu-west.dreamlake.io/cruise-lines/ambassador-cruise-line&lt;/loc&gt;")</f>
        <v>https://odysia-cruise-uk.client.prod.eu-west.dreamlake.io/cruise-lines/ambassador-cruise-line&lt;/loc&gt;</v>
      </c>
      <c r="C116" s="181" t="str">
        <f>IFERROR(__xludf.DUMMYFUNCTION("REGEXREPLACE(B116, ""&lt;/loc&gt;"", """")"),"https://odysia-cruise-uk.client.prod.eu-west.dreamlake.io/cruise-lines/ambassador-cruise-line")</f>
        <v>https://odysia-cruise-uk.client.prod.eu-west.dreamlake.io/cruise-lines/ambassador-cruise-line</v>
      </c>
      <c r="D116" s="180" t="s">
        <v>599</v>
      </c>
      <c r="E116" s="180" t="str">
        <f>IFERROR(__xludf.DUMMYFUNCTION("REGEXREPLACE(D116, ""https://odysia-cruise-uk.client.prod.eu-west.dreamlake.io"", """")"),"/cruise-lines/ambassador-cruise-line")</f>
        <v>/cruise-lines/ambassador-cruise-line</v>
      </c>
    </row>
    <row r="117">
      <c r="A117" s="182" t="s">
        <v>600</v>
      </c>
      <c r="B117" s="180" t="str">
        <f>IFERROR(__xludf.DUMMYFUNCTION("REGEXREPLACE(A117, ""&lt;loc&gt;"", """")"),"https://odysia-cruise-uk.client.prod.eu-west.dreamlake.io/cruise-lines/cunard/queen-mary-2/cruises&lt;/loc&gt;")</f>
        <v>https://odysia-cruise-uk.client.prod.eu-west.dreamlake.io/cruise-lines/cunard/queen-mary-2/cruises&lt;/loc&gt;</v>
      </c>
      <c r="C117" s="181" t="str">
        <f>IFERROR(__xludf.DUMMYFUNCTION("REGEXREPLACE(B117, ""&lt;/loc&gt;"", """")"),"https://odysia-cruise-uk.client.prod.eu-west.dreamlake.io/cruise-lines/cunard/queen-mary-2/cruises")</f>
        <v>https://odysia-cruise-uk.client.prod.eu-west.dreamlake.io/cruise-lines/cunard/queen-mary-2/cruises</v>
      </c>
      <c r="D117" s="180" t="s">
        <v>601</v>
      </c>
      <c r="E117" s="180" t="str">
        <f>IFERROR(__xludf.DUMMYFUNCTION("REGEXREPLACE(D117, ""https://odysia-cruise-uk.client.prod.eu-west.dreamlake.io"", """")"),"/cruise-lines/cunard/queen-mary-2/cruises")</f>
        <v>/cruise-lines/cunard/queen-mary-2/cruises</v>
      </c>
    </row>
    <row r="118">
      <c r="A118" s="182" t="s">
        <v>602</v>
      </c>
      <c r="B118" s="180" t="str">
        <f>IFERROR(__xludf.DUMMYFUNCTION("REGEXREPLACE(A118, ""&lt;loc&gt;"", """")"),"https://odysia-cruise-uk.client.prod.eu-west.dreamlake.io/cruise-lines/fred-olsen-cruises/balmoral/cruises&lt;/loc&gt;")</f>
        <v>https://odysia-cruise-uk.client.prod.eu-west.dreamlake.io/cruise-lines/fred-olsen-cruises/balmoral/cruises&lt;/loc&gt;</v>
      </c>
      <c r="C118" s="181" t="str">
        <f>IFERROR(__xludf.DUMMYFUNCTION("REGEXREPLACE(B118, ""&lt;/loc&gt;"", """")"),"https://odysia-cruise-uk.client.prod.eu-west.dreamlake.io/cruise-lines/fred-olsen-cruises/balmoral/cruises")</f>
        <v>https://odysia-cruise-uk.client.prod.eu-west.dreamlake.io/cruise-lines/fred-olsen-cruises/balmoral/cruises</v>
      </c>
      <c r="D118" s="180" t="s">
        <v>603</v>
      </c>
      <c r="E118" s="180" t="str">
        <f>IFERROR(__xludf.DUMMYFUNCTION("REGEXREPLACE(D118, ""https://odysia-cruise-uk.client.prod.eu-west.dreamlake.io"", """")"),"/cruise-lines/fred-olsen-cruises/balmoral/cruises")</f>
        <v>/cruise-lines/fred-olsen-cruises/balmoral/cruises</v>
      </c>
    </row>
    <row r="119">
      <c r="A119" s="182" t="s">
        <v>604</v>
      </c>
      <c r="B119" s="180" t="str">
        <f>IFERROR(__xludf.DUMMYFUNCTION("REGEXREPLACE(A119, ""&lt;loc&gt;"", """")"),"https://odysia-cruise-uk.client.prod.eu-west.dreamlake.io/cruise-lines/oceania-cruises/oceania-regatta&lt;/loc&gt;")</f>
        <v>https://odysia-cruise-uk.client.prod.eu-west.dreamlake.io/cruise-lines/oceania-cruises/oceania-regatta&lt;/loc&gt;</v>
      </c>
      <c r="C119" s="181" t="str">
        <f>IFERROR(__xludf.DUMMYFUNCTION("REGEXREPLACE(B119, ""&lt;/loc&gt;"", """")"),"https://odysia-cruise-uk.client.prod.eu-west.dreamlake.io/cruise-lines/oceania-cruises/oceania-regatta")</f>
        <v>https://odysia-cruise-uk.client.prod.eu-west.dreamlake.io/cruise-lines/oceania-cruises/oceania-regatta</v>
      </c>
      <c r="D119" s="180" t="s">
        <v>605</v>
      </c>
      <c r="E119" s="180" t="str">
        <f>IFERROR(__xludf.DUMMYFUNCTION("REGEXREPLACE(D119, ""https://odysia-cruise-uk.client.prod.eu-west.dreamlake.io"", """")"),"/cruise-lines/oceania-cruises/oceania-regatta")</f>
        <v>/cruise-lines/oceania-cruises/oceania-regatta</v>
      </c>
    </row>
    <row r="120">
      <c r="A120" s="182" t="s">
        <v>606</v>
      </c>
      <c r="B120" s="180" t="str">
        <f>IFERROR(__xludf.DUMMYFUNCTION("REGEXREPLACE(A120, ""&lt;loc&gt;"", """")"),"https://odysia-cruise-uk.client.prod.eu-west.dreamlake.io/cruise-lines/po-cruises/iona/cruises&lt;/loc&gt;")</f>
        <v>https://odysia-cruise-uk.client.prod.eu-west.dreamlake.io/cruise-lines/po-cruises/iona/cruises&lt;/loc&gt;</v>
      </c>
      <c r="C120" s="181" t="str">
        <f>IFERROR(__xludf.DUMMYFUNCTION("REGEXREPLACE(B120, ""&lt;/loc&gt;"", """")"),"https://odysia-cruise-uk.client.prod.eu-west.dreamlake.io/cruise-lines/po-cruises/iona/cruises")</f>
        <v>https://odysia-cruise-uk.client.prod.eu-west.dreamlake.io/cruise-lines/po-cruises/iona/cruises</v>
      </c>
      <c r="D120" s="180" t="s">
        <v>607</v>
      </c>
      <c r="E120" s="180" t="str">
        <f>IFERROR(__xludf.DUMMYFUNCTION("REGEXREPLACE(D120, ""https://odysia-cruise-uk.client.prod.eu-west.dreamlake.io"", """")"),"/cruise-lines/po-cruises/iona/cruises")</f>
        <v>/cruise-lines/po-cruises/iona/cruises</v>
      </c>
    </row>
    <row r="121">
      <c r="A121" s="182" t="s">
        <v>608</v>
      </c>
      <c r="B121" s="180" t="str">
        <f>IFERROR(__xludf.DUMMYFUNCTION("REGEXREPLACE(A121, ""&lt;loc&gt;"", """")"),"https://odysia-cruise-uk.client.prod.eu-west.dreamlake.io/cruise-lines/virgin-voyages&lt;/loc&gt;")</f>
        <v>https://odysia-cruise-uk.client.prod.eu-west.dreamlake.io/cruise-lines/virgin-voyages&lt;/loc&gt;</v>
      </c>
      <c r="C121" s="181" t="str">
        <f>IFERROR(__xludf.DUMMYFUNCTION("REGEXREPLACE(B121, ""&lt;/loc&gt;"", """")"),"https://odysia-cruise-uk.client.prod.eu-west.dreamlake.io/cruise-lines/virgin-voyages")</f>
        <v>https://odysia-cruise-uk.client.prod.eu-west.dreamlake.io/cruise-lines/virgin-voyages</v>
      </c>
      <c r="D121" s="180" t="s">
        <v>609</v>
      </c>
      <c r="E121" s="180" t="str">
        <f>IFERROR(__xludf.DUMMYFUNCTION("REGEXREPLACE(D121, ""https://odysia-cruise-uk.client.prod.eu-west.dreamlake.io"", """")"),"/cruise-lines/virgin-voyages")</f>
        <v>/cruise-lines/virgin-voyages</v>
      </c>
    </row>
    <row r="122">
      <c r="A122" s="182" t="s">
        <v>610</v>
      </c>
      <c r="B122" s="180" t="str">
        <f>IFERROR(__xludf.DUMMYFUNCTION("REGEXREPLACE(A122, ""&lt;loc&gt;"", """")"),"https://odysia-cruise-uk.client.prod.eu-west.dreamlake.io/cruise-lines/norwegian-cruise-line/norwegian-viva/cruises&lt;/loc&gt;")</f>
        <v>https://odysia-cruise-uk.client.prod.eu-west.dreamlake.io/cruise-lines/norwegian-cruise-line/norwegian-viva/cruises&lt;/loc&gt;</v>
      </c>
      <c r="C122" s="181" t="str">
        <f>IFERROR(__xludf.DUMMYFUNCTION("REGEXREPLACE(B122, ""&lt;/loc&gt;"", """")"),"https://odysia-cruise-uk.client.prod.eu-west.dreamlake.io/cruise-lines/norwegian-cruise-line/norwegian-viva/cruises")</f>
        <v>https://odysia-cruise-uk.client.prod.eu-west.dreamlake.io/cruise-lines/norwegian-cruise-line/norwegian-viva/cruises</v>
      </c>
      <c r="D122" s="180" t="s">
        <v>611</v>
      </c>
      <c r="E122" s="180" t="str">
        <f>IFERROR(__xludf.DUMMYFUNCTION("REGEXREPLACE(D122, ""https://odysia-cruise-uk.client.prod.eu-west.dreamlake.io"", """")"),"/cruise-lines/norwegian-cruise-line/norwegian-viva/cruises")</f>
        <v>/cruise-lines/norwegian-cruise-line/norwegian-viva/cruises</v>
      </c>
    </row>
    <row r="123">
      <c r="A123" s="182" t="s">
        <v>612</v>
      </c>
      <c r="B123" s="180" t="str">
        <f>IFERROR(__xludf.DUMMYFUNCTION("REGEXREPLACE(A123, ""&lt;loc&gt;"", """")"),"https://odysia-cruise-uk.client.prod.eu-west.dreamlake.io/cruise-lines/princess-cruises/emerald-princess/cruises&lt;/loc&gt;")</f>
        <v>https://odysia-cruise-uk.client.prod.eu-west.dreamlake.io/cruise-lines/princess-cruises/emerald-princess/cruises&lt;/loc&gt;</v>
      </c>
      <c r="C123" s="181" t="str">
        <f>IFERROR(__xludf.DUMMYFUNCTION("REGEXREPLACE(B123, ""&lt;/loc&gt;"", """")"),"https://odysia-cruise-uk.client.prod.eu-west.dreamlake.io/cruise-lines/princess-cruises/emerald-princess/cruises")</f>
        <v>https://odysia-cruise-uk.client.prod.eu-west.dreamlake.io/cruise-lines/princess-cruises/emerald-princess/cruises</v>
      </c>
      <c r="D123" s="180" t="s">
        <v>613</v>
      </c>
      <c r="E123" s="180" t="str">
        <f>IFERROR(__xludf.DUMMYFUNCTION("REGEXREPLACE(D123, ""https://odysia-cruise-uk.client.prod.eu-west.dreamlake.io"", """")"),"/cruise-lines/princess-cruises/emerald-princess/cruises")</f>
        <v>/cruise-lines/princess-cruises/emerald-princess/cruises</v>
      </c>
    </row>
    <row r="124">
      <c r="A124" s="182" t="s">
        <v>614</v>
      </c>
      <c r="B124" s="180" t="str">
        <f>IFERROR(__xludf.DUMMYFUNCTION("REGEXREPLACE(A124, ""&lt;loc&gt;"", """")"),"https://odysia-cruise-uk.client.prod.eu-west.dreamlake.io/cruise-lines/costa-cruises/costa-smeralda&lt;/loc&gt;")</f>
        <v>https://odysia-cruise-uk.client.prod.eu-west.dreamlake.io/cruise-lines/costa-cruises/costa-smeralda&lt;/loc&gt;</v>
      </c>
      <c r="C124" s="181" t="str">
        <f>IFERROR(__xludf.DUMMYFUNCTION("REGEXREPLACE(B124, ""&lt;/loc&gt;"", """")"),"https://odysia-cruise-uk.client.prod.eu-west.dreamlake.io/cruise-lines/costa-cruises/costa-smeralda")</f>
        <v>https://odysia-cruise-uk.client.prod.eu-west.dreamlake.io/cruise-lines/costa-cruises/costa-smeralda</v>
      </c>
      <c r="D124" s="180" t="s">
        <v>615</v>
      </c>
      <c r="E124" s="180" t="str">
        <f>IFERROR(__xludf.DUMMYFUNCTION("REGEXREPLACE(D124, ""https://odysia-cruise-uk.client.prod.eu-west.dreamlake.io"", """")"),"/cruise-lines/costa-cruises/costa-smeralda")</f>
        <v>/cruise-lines/costa-cruises/costa-smeralda</v>
      </c>
    </row>
    <row r="125">
      <c r="A125" s="182" t="s">
        <v>616</v>
      </c>
      <c r="B125" s="180" t="str">
        <f>IFERROR(__xludf.DUMMYFUNCTION("REGEXREPLACE(A125, ""&lt;loc&gt;"", """")"),"https://odysia-cruise-uk.client.prod.eu-west.dreamlake.io/cruise-lines/msc-cruises/msc-seaside/cruises&lt;/loc&gt;")</f>
        <v>https://odysia-cruise-uk.client.prod.eu-west.dreamlake.io/cruise-lines/msc-cruises/msc-seaside/cruises&lt;/loc&gt;</v>
      </c>
      <c r="C125" s="181" t="str">
        <f>IFERROR(__xludf.DUMMYFUNCTION("REGEXREPLACE(B125, ""&lt;/loc&gt;"", """")"),"https://odysia-cruise-uk.client.prod.eu-west.dreamlake.io/cruise-lines/msc-cruises/msc-seaside/cruises")</f>
        <v>https://odysia-cruise-uk.client.prod.eu-west.dreamlake.io/cruise-lines/msc-cruises/msc-seaside/cruises</v>
      </c>
      <c r="D125" s="180" t="s">
        <v>617</v>
      </c>
      <c r="E125" s="180" t="str">
        <f>IFERROR(__xludf.DUMMYFUNCTION("REGEXREPLACE(D125, ""https://odysia-cruise-uk.client.prod.eu-west.dreamlake.io"", """")"),"/cruise-lines/msc-cruises/msc-seaside/cruises")</f>
        <v>/cruise-lines/msc-cruises/msc-seaside/cruises</v>
      </c>
    </row>
    <row r="126">
      <c r="A126" s="182" t="s">
        <v>618</v>
      </c>
      <c r="B126" s="180" t="str">
        <f>IFERROR(__xludf.DUMMYFUNCTION("REGEXREPLACE(A126, ""&lt;loc&gt;"", """")"),"https://odysia-cruise-uk.client.prod.eu-west.dreamlake.io/cruise-lines/royal-caribbean/serenade-of-the-seas&lt;/loc&gt;")</f>
        <v>https://odysia-cruise-uk.client.prod.eu-west.dreamlake.io/cruise-lines/royal-caribbean/serenade-of-the-seas&lt;/loc&gt;</v>
      </c>
      <c r="C126" s="181" t="str">
        <f>IFERROR(__xludf.DUMMYFUNCTION("REGEXREPLACE(B126, ""&lt;/loc&gt;"", """")"),"https://odysia-cruise-uk.client.prod.eu-west.dreamlake.io/cruise-lines/royal-caribbean/serenade-of-the-seas")</f>
        <v>https://odysia-cruise-uk.client.prod.eu-west.dreamlake.io/cruise-lines/royal-caribbean/serenade-of-the-seas</v>
      </c>
      <c r="D126" s="180" t="s">
        <v>619</v>
      </c>
      <c r="E126" s="180" t="str">
        <f>IFERROR(__xludf.DUMMYFUNCTION("REGEXREPLACE(D126, ""https://odysia-cruise-uk.client.prod.eu-west.dreamlake.io"", """")"),"/cruise-lines/royal-caribbean/serenade-of-the-seas")</f>
        <v>/cruise-lines/royal-caribbean/serenade-of-the-seas</v>
      </c>
    </row>
    <row r="127">
      <c r="A127" s="182" t="s">
        <v>620</v>
      </c>
      <c r="B127" s="180" t="str">
        <f>IFERROR(__xludf.DUMMYFUNCTION("REGEXREPLACE(A127, ""&lt;loc&gt;"", """")"),"https://odysia-cruise-uk.client.prod.eu-west.dreamlake.io/cruise-lines/msc-cruises/msc-opera/cruises&lt;/loc&gt;")</f>
        <v>https://odysia-cruise-uk.client.prod.eu-west.dreamlake.io/cruise-lines/msc-cruises/msc-opera/cruises&lt;/loc&gt;</v>
      </c>
      <c r="C127" s="181" t="str">
        <f>IFERROR(__xludf.DUMMYFUNCTION("REGEXREPLACE(B127, ""&lt;/loc&gt;"", """")"),"https://odysia-cruise-uk.client.prod.eu-west.dreamlake.io/cruise-lines/msc-cruises/msc-opera/cruises")</f>
        <v>https://odysia-cruise-uk.client.prod.eu-west.dreamlake.io/cruise-lines/msc-cruises/msc-opera/cruises</v>
      </c>
      <c r="D127" s="180" t="s">
        <v>621</v>
      </c>
      <c r="E127" s="180" t="str">
        <f>IFERROR(__xludf.DUMMYFUNCTION("REGEXREPLACE(D127, ""https://odysia-cruise-uk.client.prod.eu-west.dreamlake.io"", """")"),"/cruise-lines/msc-cruises/msc-opera/cruises")</f>
        <v>/cruise-lines/msc-cruises/msc-opera/cruises</v>
      </c>
    </row>
    <row r="128">
      <c r="A128" s="182" t="s">
        <v>622</v>
      </c>
      <c r="B128" s="180" t="str">
        <f>IFERROR(__xludf.DUMMYFUNCTION("REGEXREPLACE(A128, ""&lt;loc&gt;"", """")"),"https://odysia-cruise-uk.client.prod.eu-west.dreamlake.io/cruise-lines/celebrity-cruises/celebrity-eclipse/cruises&lt;/loc&gt;")</f>
        <v>https://odysia-cruise-uk.client.prod.eu-west.dreamlake.io/cruise-lines/celebrity-cruises/celebrity-eclipse/cruises&lt;/loc&gt;</v>
      </c>
      <c r="C128" s="181" t="str">
        <f>IFERROR(__xludf.DUMMYFUNCTION("REGEXREPLACE(B128, ""&lt;/loc&gt;"", """")"),"https://odysia-cruise-uk.client.prod.eu-west.dreamlake.io/cruise-lines/celebrity-cruises/celebrity-eclipse/cruises")</f>
        <v>https://odysia-cruise-uk.client.prod.eu-west.dreamlake.io/cruise-lines/celebrity-cruises/celebrity-eclipse/cruises</v>
      </c>
      <c r="D128" s="180" t="s">
        <v>623</v>
      </c>
      <c r="E128" s="180" t="str">
        <f>IFERROR(__xludf.DUMMYFUNCTION("REGEXREPLACE(D128, ""https://odysia-cruise-uk.client.prod.eu-west.dreamlake.io"", """")"),"/cruise-lines/celebrity-cruises/celebrity-eclipse/cruises")</f>
        <v>/cruise-lines/celebrity-cruises/celebrity-eclipse/cruises</v>
      </c>
    </row>
    <row r="129">
      <c r="A129" s="182" t="s">
        <v>624</v>
      </c>
      <c r="B129" s="180" t="str">
        <f>IFERROR(__xludf.DUMMYFUNCTION("REGEXREPLACE(A129, ""&lt;loc&gt;"", """")"),"https://odysia-cruise-uk.client.prod.eu-west.dreamlake.io/cruise-lines/fred-olsen-cruises/borealis&lt;/loc&gt;")</f>
        <v>https://odysia-cruise-uk.client.prod.eu-west.dreamlake.io/cruise-lines/fred-olsen-cruises/borealis&lt;/loc&gt;</v>
      </c>
      <c r="C129" s="181" t="str">
        <f>IFERROR(__xludf.DUMMYFUNCTION("REGEXREPLACE(B129, ""&lt;/loc&gt;"", """")"),"https://odysia-cruise-uk.client.prod.eu-west.dreamlake.io/cruise-lines/fred-olsen-cruises/borealis")</f>
        <v>https://odysia-cruise-uk.client.prod.eu-west.dreamlake.io/cruise-lines/fred-olsen-cruises/borealis</v>
      </c>
      <c r="D129" s="180" t="s">
        <v>625</v>
      </c>
      <c r="E129" s="180" t="str">
        <f>IFERROR(__xludf.DUMMYFUNCTION("REGEXREPLACE(D129, ""https://odysia-cruise-uk.client.prod.eu-west.dreamlake.io"", """")"),"/cruise-lines/fred-olsen-cruises/borealis")</f>
        <v>/cruise-lines/fred-olsen-cruises/borealis</v>
      </c>
    </row>
    <row r="130">
      <c r="A130" s="182" t="s">
        <v>626</v>
      </c>
      <c r="B130" s="180" t="str">
        <f>IFERROR(__xludf.DUMMYFUNCTION("REGEXREPLACE(A130, ""&lt;loc&gt;"", """")"),"https://odysia-cruise-uk.client.prod.eu-west.dreamlake.io/cruise-lines/costa-cruises/costa-diadema/cruises&lt;/loc&gt;")</f>
        <v>https://odysia-cruise-uk.client.prod.eu-west.dreamlake.io/cruise-lines/costa-cruises/costa-diadema/cruises&lt;/loc&gt;</v>
      </c>
      <c r="C130" s="181" t="str">
        <f>IFERROR(__xludf.DUMMYFUNCTION("REGEXREPLACE(B130, ""&lt;/loc&gt;"", """")"),"https://odysia-cruise-uk.client.prod.eu-west.dreamlake.io/cruise-lines/costa-cruises/costa-diadema/cruises")</f>
        <v>https://odysia-cruise-uk.client.prod.eu-west.dreamlake.io/cruise-lines/costa-cruises/costa-diadema/cruises</v>
      </c>
      <c r="D130" s="180" t="s">
        <v>627</v>
      </c>
      <c r="E130" s="180" t="str">
        <f>IFERROR(__xludf.DUMMYFUNCTION("REGEXREPLACE(D130, ""https://odysia-cruise-uk.client.prod.eu-west.dreamlake.io"", """")"),"/cruise-lines/costa-cruises/costa-diadema/cruises")</f>
        <v>/cruise-lines/costa-cruises/costa-diadema/cruises</v>
      </c>
    </row>
    <row r="131">
      <c r="A131" s="182" t="s">
        <v>628</v>
      </c>
      <c r="B131" s="180" t="str">
        <f>IFERROR(__xludf.DUMMYFUNCTION("REGEXREPLACE(A131, ""&lt;loc&gt;"", """")"),"https://odysia-cruise-uk.client.prod.eu-west.dreamlake.io/cruise-lines/norwegian-cruise-line/norwegian-breakaway&lt;/loc&gt;")</f>
        <v>https://odysia-cruise-uk.client.prod.eu-west.dreamlake.io/cruise-lines/norwegian-cruise-line/norwegian-breakaway&lt;/loc&gt;</v>
      </c>
      <c r="C131" s="181" t="str">
        <f>IFERROR(__xludf.DUMMYFUNCTION("REGEXREPLACE(B131, ""&lt;/loc&gt;"", """")"),"https://odysia-cruise-uk.client.prod.eu-west.dreamlake.io/cruise-lines/norwegian-cruise-line/norwegian-breakaway")</f>
        <v>https://odysia-cruise-uk.client.prod.eu-west.dreamlake.io/cruise-lines/norwegian-cruise-line/norwegian-breakaway</v>
      </c>
      <c r="D131" s="180" t="s">
        <v>629</v>
      </c>
      <c r="E131" s="180" t="str">
        <f>IFERROR(__xludf.DUMMYFUNCTION("REGEXREPLACE(D131, ""https://odysia-cruise-uk.client.prod.eu-west.dreamlake.io"", """")"),"/cruise-lines/norwegian-cruise-line/norwegian-breakaway")</f>
        <v>/cruise-lines/norwegian-cruise-line/norwegian-breakaway</v>
      </c>
    </row>
    <row r="132">
      <c r="A132" s="182" t="s">
        <v>630</v>
      </c>
      <c r="B132" s="180" t="str">
        <f>IFERROR(__xludf.DUMMYFUNCTION("REGEXREPLACE(A132, ""&lt;loc&gt;"", """")"),"https://odysia-cruise-uk.client.prod.eu-west.dreamlake.io/cruise-lines/regent-seven-seas-cruises/cruises&lt;/loc&gt;")</f>
        <v>https://odysia-cruise-uk.client.prod.eu-west.dreamlake.io/cruise-lines/regent-seven-seas-cruises/cruises&lt;/loc&gt;</v>
      </c>
      <c r="C132" s="181" t="str">
        <f>IFERROR(__xludf.DUMMYFUNCTION("REGEXREPLACE(B132, ""&lt;/loc&gt;"", """")"),"https://odysia-cruise-uk.client.prod.eu-west.dreamlake.io/cruise-lines/regent-seven-seas-cruises/cruises")</f>
        <v>https://odysia-cruise-uk.client.prod.eu-west.dreamlake.io/cruise-lines/regent-seven-seas-cruises/cruises</v>
      </c>
      <c r="D132" s="180" t="s">
        <v>631</v>
      </c>
      <c r="E132" s="180" t="str">
        <f>IFERROR(__xludf.DUMMYFUNCTION("REGEXREPLACE(D132, ""https://odysia-cruise-uk.client.prod.eu-west.dreamlake.io"", """")"),"/cruise-lines/regent-seven-seas-cruises/cruises")</f>
        <v>/cruise-lines/regent-seven-seas-cruises/cruises</v>
      </c>
    </row>
    <row r="133">
      <c r="A133" s="182" t="s">
        <v>632</v>
      </c>
      <c r="B133" s="180" t="str">
        <f>IFERROR(__xludf.DUMMYFUNCTION("REGEXREPLACE(A133, ""&lt;loc&gt;"", """")"),"https://odysia-cruise-uk.client.prod.eu-west.dreamlake.io/cruise-lines/fred-olsen-cruises/bolette/cruises&lt;/loc&gt;")</f>
        <v>https://odysia-cruise-uk.client.prod.eu-west.dreamlake.io/cruise-lines/fred-olsen-cruises/bolette/cruises&lt;/loc&gt;</v>
      </c>
      <c r="C133" s="181" t="str">
        <f>IFERROR(__xludf.DUMMYFUNCTION("REGEXREPLACE(B133, ""&lt;/loc&gt;"", """")"),"https://odysia-cruise-uk.client.prod.eu-west.dreamlake.io/cruise-lines/fred-olsen-cruises/bolette/cruises")</f>
        <v>https://odysia-cruise-uk.client.prod.eu-west.dreamlake.io/cruise-lines/fred-olsen-cruises/bolette/cruises</v>
      </c>
      <c r="D133" s="180" t="s">
        <v>633</v>
      </c>
      <c r="E133" s="180" t="str">
        <f>IFERROR(__xludf.DUMMYFUNCTION("REGEXREPLACE(D133, ""https://odysia-cruise-uk.client.prod.eu-west.dreamlake.io"", """")"),"/cruise-lines/fred-olsen-cruises/bolette/cruises")</f>
        <v>/cruise-lines/fred-olsen-cruises/bolette/cruises</v>
      </c>
    </row>
    <row r="134">
      <c r="A134" s="182" t="s">
        <v>634</v>
      </c>
      <c r="B134" s="180" t="str">
        <f>IFERROR(__xludf.DUMMYFUNCTION("REGEXREPLACE(A134, ""&lt;loc&gt;"", """")"),"https://odysia-cruise-uk.client.prod.eu-west.dreamlake.io/cruise-lines/msc-cruises/msc-armonia/cruises&lt;/loc&gt;")</f>
        <v>https://odysia-cruise-uk.client.prod.eu-west.dreamlake.io/cruise-lines/msc-cruises/msc-armonia/cruises&lt;/loc&gt;</v>
      </c>
      <c r="C134" s="181" t="str">
        <f>IFERROR(__xludf.DUMMYFUNCTION("REGEXREPLACE(B134, ""&lt;/loc&gt;"", """")"),"https://odysia-cruise-uk.client.prod.eu-west.dreamlake.io/cruise-lines/msc-cruises/msc-armonia/cruises")</f>
        <v>https://odysia-cruise-uk.client.prod.eu-west.dreamlake.io/cruise-lines/msc-cruises/msc-armonia/cruises</v>
      </c>
      <c r="D134" s="180" t="s">
        <v>635</v>
      </c>
      <c r="E134" s="180" t="str">
        <f>IFERROR(__xludf.DUMMYFUNCTION("REGEXREPLACE(D134, ""https://odysia-cruise-uk.client.prod.eu-west.dreamlake.io"", """")"),"/cruise-lines/msc-cruises/msc-armonia/cruises")</f>
        <v>/cruise-lines/msc-cruises/msc-armonia/cruises</v>
      </c>
    </row>
    <row r="135">
      <c r="A135" s="182" t="s">
        <v>636</v>
      </c>
      <c r="B135" s="180" t="str">
        <f>IFERROR(__xludf.DUMMYFUNCTION("REGEXREPLACE(A135, ""&lt;loc&gt;"", """")"),"https://odysia-cruise-uk.client.prod.eu-west.dreamlake.io/cruise-lines/norwegian-cruise-line/norwegian-encore&lt;/loc&gt;")</f>
        <v>https://odysia-cruise-uk.client.prod.eu-west.dreamlake.io/cruise-lines/norwegian-cruise-line/norwegian-encore&lt;/loc&gt;</v>
      </c>
      <c r="C135" s="181" t="str">
        <f>IFERROR(__xludf.DUMMYFUNCTION("REGEXREPLACE(B135, ""&lt;/loc&gt;"", """")"),"https://odysia-cruise-uk.client.prod.eu-west.dreamlake.io/cruise-lines/norwegian-cruise-line/norwegian-encore")</f>
        <v>https://odysia-cruise-uk.client.prod.eu-west.dreamlake.io/cruise-lines/norwegian-cruise-line/norwegian-encore</v>
      </c>
      <c r="D135" s="180" t="s">
        <v>637</v>
      </c>
      <c r="E135" s="180" t="str">
        <f>IFERROR(__xludf.DUMMYFUNCTION("REGEXREPLACE(D135, ""https://odysia-cruise-uk.client.prod.eu-west.dreamlake.io"", """")"),"/cruise-lines/norwegian-cruise-line/norwegian-encore")</f>
        <v>/cruise-lines/norwegian-cruise-line/norwegian-encore</v>
      </c>
    </row>
    <row r="136">
      <c r="A136" s="182" t="s">
        <v>638</v>
      </c>
      <c r="B136" s="180" t="str">
        <f>IFERROR(__xludf.DUMMYFUNCTION("REGEXREPLACE(A136, ""&lt;loc&gt;"", """")"),"https://odysia-cruise-uk.client.prod.eu-west.dreamlake.io/cruise-lines/po-cruises/azura/cruises&lt;/loc&gt;")</f>
        <v>https://odysia-cruise-uk.client.prod.eu-west.dreamlake.io/cruise-lines/po-cruises/azura/cruises&lt;/loc&gt;</v>
      </c>
      <c r="C136" s="181" t="str">
        <f>IFERROR(__xludf.DUMMYFUNCTION("REGEXREPLACE(B136, ""&lt;/loc&gt;"", """")"),"https://odysia-cruise-uk.client.prod.eu-west.dreamlake.io/cruise-lines/po-cruises/azura/cruises")</f>
        <v>https://odysia-cruise-uk.client.prod.eu-west.dreamlake.io/cruise-lines/po-cruises/azura/cruises</v>
      </c>
      <c r="D136" s="180" t="s">
        <v>639</v>
      </c>
      <c r="E136" s="180" t="str">
        <f>IFERROR(__xludf.DUMMYFUNCTION("REGEXREPLACE(D136, ""https://odysia-cruise-uk.client.prod.eu-west.dreamlake.io"", """")"),"/cruise-lines/po-cruises/azura/cruises")</f>
        <v>/cruise-lines/po-cruises/azura/cruises</v>
      </c>
    </row>
    <row r="137">
      <c r="A137" s="182" t="s">
        <v>640</v>
      </c>
      <c r="B137" s="180" t="str">
        <f>IFERROR(__xludf.DUMMYFUNCTION("REGEXREPLACE(A137, ""&lt;loc&gt;"", """")"),"https://odysia-cruise-uk.client.prod.eu-west.dreamlake.io/cruise-lines/celebrity-cruises/celebrity-flora&lt;/loc&gt;")</f>
        <v>https://odysia-cruise-uk.client.prod.eu-west.dreamlake.io/cruise-lines/celebrity-cruises/celebrity-flora&lt;/loc&gt;</v>
      </c>
      <c r="C137" s="181" t="str">
        <f>IFERROR(__xludf.DUMMYFUNCTION("REGEXREPLACE(B137, ""&lt;/loc&gt;"", """")"),"https://odysia-cruise-uk.client.prod.eu-west.dreamlake.io/cruise-lines/celebrity-cruises/celebrity-flora")</f>
        <v>https://odysia-cruise-uk.client.prod.eu-west.dreamlake.io/cruise-lines/celebrity-cruises/celebrity-flora</v>
      </c>
      <c r="D137" s="180" t="s">
        <v>641</v>
      </c>
      <c r="E137" s="180" t="str">
        <f>IFERROR(__xludf.DUMMYFUNCTION("REGEXREPLACE(D137, ""https://odysia-cruise-uk.client.prod.eu-west.dreamlake.io"", """")"),"/cruise-lines/celebrity-cruises/celebrity-flora")</f>
        <v>/cruise-lines/celebrity-cruises/celebrity-flora</v>
      </c>
    </row>
    <row r="138">
      <c r="A138" s="182" t="s">
        <v>642</v>
      </c>
      <c r="B138" s="180" t="str">
        <f>IFERROR(__xludf.DUMMYFUNCTION("REGEXREPLACE(A138, ""&lt;loc&gt;"", """")"),"https://odysia-cruise-uk.client.prod.eu-west.dreamlake.io/cruise-lines/msc-cruises/msc-seashore&lt;/loc&gt;")</f>
        <v>https://odysia-cruise-uk.client.prod.eu-west.dreamlake.io/cruise-lines/msc-cruises/msc-seashore&lt;/loc&gt;</v>
      </c>
      <c r="C138" s="181" t="str">
        <f>IFERROR(__xludf.DUMMYFUNCTION("REGEXREPLACE(B138, ""&lt;/loc&gt;"", """")"),"https://odysia-cruise-uk.client.prod.eu-west.dreamlake.io/cruise-lines/msc-cruises/msc-seashore")</f>
        <v>https://odysia-cruise-uk.client.prod.eu-west.dreamlake.io/cruise-lines/msc-cruises/msc-seashore</v>
      </c>
      <c r="D138" s="180" t="s">
        <v>643</v>
      </c>
      <c r="E138" s="180" t="str">
        <f>IFERROR(__xludf.DUMMYFUNCTION("REGEXREPLACE(D138, ""https://odysia-cruise-uk.client.prod.eu-west.dreamlake.io"", """")"),"/cruise-lines/msc-cruises/msc-seashore")</f>
        <v>/cruise-lines/msc-cruises/msc-seashore</v>
      </c>
    </row>
    <row r="139">
      <c r="A139" s="182" t="s">
        <v>644</v>
      </c>
      <c r="B139" s="180" t="str">
        <f>IFERROR(__xludf.DUMMYFUNCTION("REGEXREPLACE(A139, ""&lt;loc&gt;"", """")"),"https://odysia-cruise-uk.client.prod.eu-west.dreamlake.io/cruise-lines/costa-cruises/costa-fascinosa/cruises&lt;/loc&gt;")</f>
        <v>https://odysia-cruise-uk.client.prod.eu-west.dreamlake.io/cruise-lines/costa-cruises/costa-fascinosa/cruises&lt;/loc&gt;</v>
      </c>
      <c r="C139" s="181" t="str">
        <f>IFERROR(__xludf.DUMMYFUNCTION("REGEXREPLACE(B139, ""&lt;/loc&gt;"", """")"),"https://odysia-cruise-uk.client.prod.eu-west.dreamlake.io/cruise-lines/costa-cruises/costa-fascinosa/cruises")</f>
        <v>https://odysia-cruise-uk.client.prod.eu-west.dreamlake.io/cruise-lines/costa-cruises/costa-fascinosa/cruises</v>
      </c>
      <c r="D139" s="180" t="s">
        <v>645</v>
      </c>
      <c r="E139" s="180" t="str">
        <f>IFERROR(__xludf.DUMMYFUNCTION("REGEXREPLACE(D139, ""https://odysia-cruise-uk.client.prod.eu-west.dreamlake.io"", """")"),"/cruise-lines/costa-cruises/costa-fascinosa/cruises")</f>
        <v>/cruise-lines/costa-cruises/costa-fascinosa/cruises</v>
      </c>
    </row>
    <row r="140">
      <c r="A140" s="182" t="s">
        <v>646</v>
      </c>
      <c r="B140" s="180" t="str">
        <f>IFERROR(__xludf.DUMMYFUNCTION("REGEXREPLACE(A140, ""&lt;loc&gt;"", """")"),"https://odysia-cruise-uk.client.prod.eu-west.dreamlake.io/cruise-lines/princess-cruises/sun-princess/cruises&lt;/loc&gt;")</f>
        <v>https://odysia-cruise-uk.client.prod.eu-west.dreamlake.io/cruise-lines/princess-cruises/sun-princess/cruises&lt;/loc&gt;</v>
      </c>
      <c r="C140" s="181" t="str">
        <f>IFERROR(__xludf.DUMMYFUNCTION("REGEXREPLACE(B140, ""&lt;/loc&gt;"", """")"),"https://odysia-cruise-uk.client.prod.eu-west.dreamlake.io/cruise-lines/princess-cruises/sun-princess/cruises")</f>
        <v>https://odysia-cruise-uk.client.prod.eu-west.dreamlake.io/cruise-lines/princess-cruises/sun-princess/cruises</v>
      </c>
      <c r="D140" s="180" t="s">
        <v>647</v>
      </c>
      <c r="E140" s="180" t="str">
        <f>IFERROR(__xludf.DUMMYFUNCTION("REGEXREPLACE(D140, ""https://odysia-cruise-uk.client.prod.eu-west.dreamlake.io"", """")"),"/cruise-lines/princess-cruises/sun-princess/cruises")</f>
        <v>/cruise-lines/princess-cruises/sun-princess/cruises</v>
      </c>
    </row>
    <row r="141">
      <c r="A141" s="182" t="s">
        <v>648</v>
      </c>
      <c r="B141" s="180" t="str">
        <f>IFERROR(__xludf.DUMMYFUNCTION("REGEXREPLACE(A141, ""&lt;loc&gt;"", """")"),"https://odysia-cruise-uk.client.prod.eu-west.dreamlake.io/cruise-lines/holland-america-line&lt;/loc&gt;")</f>
        <v>https://odysia-cruise-uk.client.prod.eu-west.dreamlake.io/cruise-lines/holland-america-line&lt;/loc&gt;</v>
      </c>
      <c r="C141" s="181" t="str">
        <f>IFERROR(__xludf.DUMMYFUNCTION("REGEXREPLACE(B141, ""&lt;/loc&gt;"", """")"),"https://odysia-cruise-uk.client.prod.eu-west.dreamlake.io/cruise-lines/holland-america-line")</f>
        <v>https://odysia-cruise-uk.client.prod.eu-west.dreamlake.io/cruise-lines/holland-america-line</v>
      </c>
      <c r="D141" s="180" t="s">
        <v>649</v>
      </c>
      <c r="E141" s="180" t="str">
        <f>IFERROR(__xludf.DUMMYFUNCTION("REGEXREPLACE(D141, ""https://odysia-cruise-uk.client.prod.eu-west.dreamlake.io"", """")"),"/cruise-lines/holland-america-line")</f>
        <v>/cruise-lines/holland-america-line</v>
      </c>
    </row>
    <row r="142">
      <c r="A142" s="182" t="s">
        <v>650</v>
      </c>
      <c r="B142" s="180" t="str">
        <f>IFERROR(__xludf.DUMMYFUNCTION("REGEXREPLACE(A142, ""&lt;loc&gt;"", """")"),"https://odysia-cruise-uk.client.prod.eu-west.dreamlake.io/cruise-lines/azamara&lt;/loc&gt;")</f>
        <v>https://odysia-cruise-uk.client.prod.eu-west.dreamlake.io/cruise-lines/azamara&lt;/loc&gt;</v>
      </c>
      <c r="C142" s="181" t="str">
        <f>IFERROR(__xludf.DUMMYFUNCTION("REGEXREPLACE(B142, ""&lt;/loc&gt;"", """")"),"https://odysia-cruise-uk.client.prod.eu-west.dreamlake.io/cruise-lines/azamara")</f>
        <v>https://odysia-cruise-uk.client.prod.eu-west.dreamlake.io/cruise-lines/azamara</v>
      </c>
    </row>
    <row r="143">
      <c r="A143" s="182" t="s">
        <v>651</v>
      </c>
      <c r="B143" s="180" t="str">
        <f>IFERROR(__xludf.DUMMYFUNCTION("REGEXREPLACE(A143, ""&lt;loc&gt;"", """")"),"https://odysia-cruise-uk.client.prod.eu-west.dreamlake.io/cruise-lines/princess-cruises/sun-princess&lt;/loc&gt;")</f>
        <v>https://odysia-cruise-uk.client.prod.eu-west.dreamlake.io/cruise-lines/princess-cruises/sun-princess&lt;/loc&gt;</v>
      </c>
      <c r="C143" s="181" t="str">
        <f>IFERROR(__xludf.DUMMYFUNCTION("REGEXREPLACE(B143, ""&lt;/loc&gt;"", """")"),"https://odysia-cruise-uk.client.prod.eu-west.dreamlake.io/cruise-lines/princess-cruises/sun-princess")</f>
        <v>https://odysia-cruise-uk.client.prod.eu-west.dreamlake.io/cruise-lines/princess-cruises/sun-princess</v>
      </c>
      <c r="D143" s="180" t="s">
        <v>652</v>
      </c>
      <c r="E143" s="180" t="str">
        <f>IFERROR(__xludf.DUMMYFUNCTION("REGEXREPLACE(D143, ""https://odysia-cruise-uk.client.prod.eu-west.dreamlake.io"", """")"),"/cruise-lines/princess-cruises/sun-princess")</f>
        <v>/cruise-lines/princess-cruises/sun-princess</v>
      </c>
    </row>
    <row r="144">
      <c r="A144" s="182" t="s">
        <v>653</v>
      </c>
      <c r="B144" s="180" t="str">
        <f>IFERROR(__xludf.DUMMYFUNCTION("REGEXREPLACE(A144, ""&lt;loc&gt;"", """")"),"https://odysia-cruise-uk.client.prod.eu-west.dreamlake.io/cruise-lines/azamara/azamara-quest/cruises&lt;/loc&gt;")</f>
        <v>https://odysia-cruise-uk.client.prod.eu-west.dreamlake.io/cruise-lines/azamara/azamara-quest/cruises&lt;/loc&gt;</v>
      </c>
      <c r="C144" s="181" t="str">
        <f>IFERROR(__xludf.DUMMYFUNCTION("REGEXREPLACE(B144, ""&lt;/loc&gt;"", """")"),"https://odysia-cruise-uk.client.prod.eu-west.dreamlake.io/cruise-lines/azamara/azamara-quest/cruises")</f>
        <v>https://odysia-cruise-uk.client.prod.eu-west.dreamlake.io/cruise-lines/azamara/azamara-quest/cruises</v>
      </c>
    </row>
    <row r="145">
      <c r="A145" s="182" t="s">
        <v>654</v>
      </c>
      <c r="B145" s="180" t="str">
        <f>IFERROR(__xludf.DUMMYFUNCTION("REGEXREPLACE(A145, ""&lt;loc&gt;"", """")"),"https://odysia-cruise-uk.client.prod.eu-west.dreamlake.io/cruise-lines/msc-cruises/msc-world-europa&lt;/loc&gt;")</f>
        <v>https://odysia-cruise-uk.client.prod.eu-west.dreamlake.io/cruise-lines/msc-cruises/msc-world-europa&lt;/loc&gt;</v>
      </c>
      <c r="C145" s="181" t="str">
        <f>IFERROR(__xludf.DUMMYFUNCTION("REGEXREPLACE(B145, ""&lt;/loc&gt;"", """")"),"https://odysia-cruise-uk.client.prod.eu-west.dreamlake.io/cruise-lines/msc-cruises/msc-world-europa")</f>
        <v>https://odysia-cruise-uk.client.prod.eu-west.dreamlake.io/cruise-lines/msc-cruises/msc-world-europa</v>
      </c>
      <c r="D145" s="180" t="s">
        <v>655</v>
      </c>
      <c r="E145" s="180" t="str">
        <f>IFERROR(__xludf.DUMMYFUNCTION("REGEXREPLACE(D145, ""https://odysia-cruise-uk.client.prod.eu-west.dreamlake.io"", """")"),"/cruise-lines/msc-cruises/msc-world-europa")</f>
        <v>/cruise-lines/msc-cruises/msc-world-europa</v>
      </c>
    </row>
    <row r="146">
      <c r="A146" s="182" t="s">
        <v>656</v>
      </c>
      <c r="B146" s="180" t="str">
        <f>IFERROR(__xludf.DUMMYFUNCTION("REGEXREPLACE(A146, ""&lt;loc&gt;"", """")"),"https://odysia-cruise-uk.client.prod.eu-west.dreamlake.io/cruise-lines/princess-cruises/regal-princess/cruises&lt;/loc&gt;")</f>
        <v>https://odysia-cruise-uk.client.prod.eu-west.dreamlake.io/cruise-lines/princess-cruises/regal-princess/cruises&lt;/loc&gt;</v>
      </c>
      <c r="C146" s="181" t="str">
        <f>IFERROR(__xludf.DUMMYFUNCTION("REGEXREPLACE(B146, ""&lt;/loc&gt;"", """")"),"https://odysia-cruise-uk.client.prod.eu-west.dreamlake.io/cruise-lines/princess-cruises/regal-princess/cruises")</f>
        <v>https://odysia-cruise-uk.client.prod.eu-west.dreamlake.io/cruise-lines/princess-cruises/regal-princess/cruises</v>
      </c>
      <c r="D146" s="180" t="s">
        <v>657</v>
      </c>
      <c r="E146" s="180" t="str">
        <f>IFERROR(__xludf.DUMMYFUNCTION("REGEXREPLACE(D146, ""https://odysia-cruise-uk.client.prod.eu-west.dreamlake.io"", """")"),"/cruise-lines/princess-cruises/regal-princess/cruises")</f>
        <v>/cruise-lines/princess-cruises/regal-princess/cruises</v>
      </c>
    </row>
    <row r="147">
      <c r="A147" s="182" t="s">
        <v>658</v>
      </c>
      <c r="B147" s="180" t="str">
        <f>IFERROR(__xludf.DUMMYFUNCTION("REGEXREPLACE(A147, ""&lt;loc&gt;"", """")"),"https://odysia-cruise-uk.client.prod.eu-west.dreamlake.io/cruise-lines/royal-caribbean/oasis-of-the-seas&lt;/loc&gt;")</f>
        <v>https://odysia-cruise-uk.client.prod.eu-west.dreamlake.io/cruise-lines/royal-caribbean/oasis-of-the-seas&lt;/loc&gt;</v>
      </c>
      <c r="C147" s="181" t="str">
        <f>IFERROR(__xludf.DUMMYFUNCTION("REGEXREPLACE(B147, ""&lt;/loc&gt;"", """")"),"https://odysia-cruise-uk.client.prod.eu-west.dreamlake.io/cruise-lines/royal-caribbean/oasis-of-the-seas")</f>
        <v>https://odysia-cruise-uk.client.prod.eu-west.dreamlake.io/cruise-lines/royal-caribbean/oasis-of-the-seas</v>
      </c>
      <c r="D147" s="180" t="s">
        <v>659</v>
      </c>
      <c r="E147" s="180" t="str">
        <f>IFERROR(__xludf.DUMMYFUNCTION("REGEXREPLACE(D147, ""https://odysia-cruise-uk.client.prod.eu-west.dreamlake.io"", """")"),"/cruise-lines/royal-caribbean/oasis-of-the-seas")</f>
        <v>/cruise-lines/royal-caribbean/oasis-of-the-seas</v>
      </c>
    </row>
    <row r="148">
      <c r="A148" s="182" t="s">
        <v>660</v>
      </c>
      <c r="B148" s="180" t="str">
        <f>IFERROR(__xludf.DUMMYFUNCTION("REGEXREPLACE(A148, ""&lt;loc&gt;"", """")"),"https://odysia-cruise-uk.client.prod.eu-west.dreamlake.io/cruise-lines/seabourn/seabourn-ovation/cruises&lt;/loc&gt;")</f>
        <v>https://odysia-cruise-uk.client.prod.eu-west.dreamlake.io/cruise-lines/seabourn/seabourn-ovation/cruises&lt;/loc&gt;</v>
      </c>
      <c r="C148" s="181" t="str">
        <f>IFERROR(__xludf.DUMMYFUNCTION("REGEXREPLACE(B148, ""&lt;/loc&gt;"", """")"),"https://odysia-cruise-uk.client.prod.eu-west.dreamlake.io/cruise-lines/seabourn/seabourn-ovation/cruises")</f>
        <v>https://odysia-cruise-uk.client.prod.eu-west.dreamlake.io/cruise-lines/seabourn/seabourn-ovation/cruises</v>
      </c>
      <c r="D148" s="180" t="s">
        <v>661</v>
      </c>
      <c r="E148" s="180" t="str">
        <f>IFERROR(__xludf.DUMMYFUNCTION("REGEXREPLACE(D148, ""https://odysia-cruise-uk.client.prod.eu-west.dreamlake.io"", """")"),"/cruise-lines/seabourn/seabourn-ovation/cruises")</f>
        <v>/cruise-lines/seabourn/seabourn-ovation/cruises</v>
      </c>
    </row>
    <row r="149">
      <c r="A149" s="182" t="s">
        <v>662</v>
      </c>
      <c r="B149" s="180" t="str">
        <f>IFERROR(__xludf.DUMMYFUNCTION("REGEXREPLACE(A149, ""&lt;loc&gt;"", """")"),"https://odysia-cruise-uk.client.prod.eu-west.dreamlake.io/cruise-lines/royal-caribbean/spectrum-of-the-seas/cruises&lt;/loc&gt;")</f>
        <v>https://odysia-cruise-uk.client.prod.eu-west.dreamlake.io/cruise-lines/royal-caribbean/spectrum-of-the-seas/cruises&lt;/loc&gt;</v>
      </c>
      <c r="C149" s="181" t="str">
        <f>IFERROR(__xludf.DUMMYFUNCTION("REGEXREPLACE(B149, ""&lt;/loc&gt;"", """")"),"https://odysia-cruise-uk.client.prod.eu-west.dreamlake.io/cruise-lines/royal-caribbean/spectrum-of-the-seas/cruises")</f>
        <v>https://odysia-cruise-uk.client.prod.eu-west.dreamlake.io/cruise-lines/royal-caribbean/spectrum-of-the-seas/cruises</v>
      </c>
      <c r="D149" s="180" t="s">
        <v>663</v>
      </c>
      <c r="E149" s="180" t="str">
        <f>IFERROR(__xludf.DUMMYFUNCTION("REGEXREPLACE(D149, ""https://odysia-cruise-uk.client.prod.eu-west.dreamlake.io"", """")"),"/cruise-lines/royal-caribbean/spectrum-of-the-seas/cruises")</f>
        <v>/cruise-lines/royal-caribbean/spectrum-of-the-seas/cruises</v>
      </c>
    </row>
    <row r="150">
      <c r="A150" s="182" t="s">
        <v>664</v>
      </c>
      <c r="B150" s="180" t="str">
        <f>IFERROR(__xludf.DUMMYFUNCTION("REGEXREPLACE(A150, ""&lt;loc&gt;"", """")"),"https://odysia-cruise-uk.client.prod.eu-west.dreamlake.io/cruise-lines/cunard/queen-victoria/cruises&lt;/loc&gt;")</f>
        <v>https://odysia-cruise-uk.client.prod.eu-west.dreamlake.io/cruise-lines/cunard/queen-victoria/cruises&lt;/loc&gt;</v>
      </c>
      <c r="C150" s="181" t="str">
        <f>IFERROR(__xludf.DUMMYFUNCTION("REGEXREPLACE(B150, ""&lt;/loc&gt;"", """")"),"https://odysia-cruise-uk.client.prod.eu-west.dreamlake.io/cruise-lines/cunard/queen-victoria/cruises")</f>
        <v>https://odysia-cruise-uk.client.prod.eu-west.dreamlake.io/cruise-lines/cunard/queen-victoria/cruises</v>
      </c>
      <c r="D150" s="180" t="s">
        <v>665</v>
      </c>
      <c r="E150" s="180" t="str">
        <f>IFERROR(__xludf.DUMMYFUNCTION("REGEXREPLACE(D150, ""https://odysia-cruise-uk.client.prod.eu-west.dreamlake.io"", """")"),"/cruise-lines/cunard/queen-victoria/cruises")</f>
        <v>/cruise-lines/cunard/queen-victoria/cruises</v>
      </c>
    </row>
    <row r="151">
      <c r="A151" s="182" t="s">
        <v>666</v>
      </c>
      <c r="B151" s="180" t="str">
        <f>IFERROR(__xludf.DUMMYFUNCTION("REGEXREPLACE(A151, ""&lt;loc&gt;"", """")"),"https://odysia-cruise-uk.client.prod.eu-west.dreamlake.io/cruise-lines/royal-caribbean/rhapsody-of-the-seas/cruises&lt;/loc&gt;")</f>
        <v>https://odysia-cruise-uk.client.prod.eu-west.dreamlake.io/cruise-lines/royal-caribbean/rhapsody-of-the-seas/cruises&lt;/loc&gt;</v>
      </c>
      <c r="C151" s="181" t="str">
        <f>IFERROR(__xludf.DUMMYFUNCTION("REGEXREPLACE(B151, ""&lt;/loc&gt;"", """")"),"https://odysia-cruise-uk.client.prod.eu-west.dreamlake.io/cruise-lines/royal-caribbean/rhapsody-of-the-seas/cruises")</f>
        <v>https://odysia-cruise-uk.client.prod.eu-west.dreamlake.io/cruise-lines/royal-caribbean/rhapsody-of-the-seas/cruises</v>
      </c>
      <c r="D151" s="180" t="s">
        <v>667</v>
      </c>
      <c r="E151" s="180" t="str">
        <f>IFERROR(__xludf.DUMMYFUNCTION("REGEXREPLACE(D151, ""https://odysia-cruise-uk.client.prod.eu-west.dreamlake.io"", """")"),"/cruise-lines/royal-caribbean/rhapsody-of-the-seas/cruises")</f>
        <v>/cruise-lines/royal-caribbean/rhapsody-of-the-seas/cruises</v>
      </c>
    </row>
    <row r="152">
      <c r="A152" s="182" t="s">
        <v>668</v>
      </c>
      <c r="B152" s="180" t="str">
        <f>IFERROR(__xludf.DUMMYFUNCTION("REGEXREPLACE(A152, ""&lt;loc&gt;"", """")"),"https://odysia-cruise-uk.client.prod.eu-west.dreamlake.io/cruise-lines/royal-caribbean/ovation-of-the-seas&lt;/loc&gt;")</f>
        <v>https://odysia-cruise-uk.client.prod.eu-west.dreamlake.io/cruise-lines/royal-caribbean/ovation-of-the-seas&lt;/loc&gt;</v>
      </c>
      <c r="C152" s="181" t="str">
        <f>IFERROR(__xludf.DUMMYFUNCTION("REGEXREPLACE(B152, ""&lt;/loc&gt;"", """")"),"https://odysia-cruise-uk.client.prod.eu-west.dreamlake.io/cruise-lines/royal-caribbean/ovation-of-the-seas")</f>
        <v>https://odysia-cruise-uk.client.prod.eu-west.dreamlake.io/cruise-lines/royal-caribbean/ovation-of-the-seas</v>
      </c>
      <c r="D152" s="180" t="s">
        <v>669</v>
      </c>
      <c r="E152" s="180" t="str">
        <f>IFERROR(__xludf.DUMMYFUNCTION("REGEXREPLACE(D152, ""https://odysia-cruise-uk.client.prod.eu-west.dreamlake.io"", """")"),"/cruise-lines/royal-caribbean/ovation-of-the-seas")</f>
        <v>/cruise-lines/royal-caribbean/ovation-of-the-seas</v>
      </c>
    </row>
    <row r="153">
      <c r="A153" s="182" t="s">
        <v>670</v>
      </c>
      <c r="B153" s="180" t="str">
        <f>IFERROR(__xludf.DUMMYFUNCTION("REGEXREPLACE(A153, ""&lt;loc&gt;"", """")"),"https://odysia-cruise-uk.client.prod.eu-west.dreamlake.io/cruise-lines/princess-cruises/caribbean-princess/cruises&lt;/loc&gt;")</f>
        <v>https://odysia-cruise-uk.client.prod.eu-west.dreamlake.io/cruise-lines/princess-cruises/caribbean-princess/cruises&lt;/loc&gt;</v>
      </c>
      <c r="C153" s="181" t="str">
        <f>IFERROR(__xludf.DUMMYFUNCTION("REGEXREPLACE(B153, ""&lt;/loc&gt;"", """")"),"https://odysia-cruise-uk.client.prod.eu-west.dreamlake.io/cruise-lines/princess-cruises/caribbean-princess/cruises")</f>
        <v>https://odysia-cruise-uk.client.prod.eu-west.dreamlake.io/cruise-lines/princess-cruises/caribbean-princess/cruises</v>
      </c>
      <c r="D153" s="180" t="s">
        <v>671</v>
      </c>
      <c r="E153" s="180" t="str">
        <f>IFERROR(__xludf.DUMMYFUNCTION("REGEXREPLACE(D153, ""https://odysia-cruise-uk.client.prod.eu-west.dreamlake.io"", """")"),"/cruise-lines/princess-cruises/caribbean-princess/cruises")</f>
        <v>/cruise-lines/princess-cruises/caribbean-princess/cruises</v>
      </c>
    </row>
    <row r="154">
      <c r="A154" s="182" t="s">
        <v>672</v>
      </c>
      <c r="B154" s="180" t="str">
        <f>IFERROR(__xludf.DUMMYFUNCTION("REGEXREPLACE(A154, ""&lt;loc&gt;"", """")"),"https://odysia-cruise-uk.client.prod.eu-west.dreamlake.io/cruise-lines/norwegian-cruise-line/norwegian-joy/cruises&lt;/loc&gt;")</f>
        <v>https://odysia-cruise-uk.client.prod.eu-west.dreamlake.io/cruise-lines/norwegian-cruise-line/norwegian-joy/cruises&lt;/loc&gt;</v>
      </c>
      <c r="C154" s="181" t="str">
        <f>IFERROR(__xludf.DUMMYFUNCTION("REGEXREPLACE(B154, ""&lt;/loc&gt;"", """")"),"https://odysia-cruise-uk.client.prod.eu-west.dreamlake.io/cruise-lines/norwegian-cruise-line/norwegian-joy/cruises")</f>
        <v>https://odysia-cruise-uk.client.prod.eu-west.dreamlake.io/cruise-lines/norwegian-cruise-line/norwegian-joy/cruises</v>
      </c>
      <c r="D154" s="180" t="s">
        <v>673</v>
      </c>
      <c r="E154" s="180" t="str">
        <f>IFERROR(__xludf.DUMMYFUNCTION("REGEXREPLACE(D154, ""https://odysia-cruise-uk.client.prod.eu-west.dreamlake.io"", """")"),"/cruise-lines/norwegian-cruise-line/norwegian-joy/cruises")</f>
        <v>/cruise-lines/norwegian-cruise-line/norwegian-joy/cruises</v>
      </c>
    </row>
    <row r="155">
      <c r="A155" s="182" t="s">
        <v>674</v>
      </c>
      <c r="B155" s="180" t="str">
        <f>IFERROR(__xludf.DUMMYFUNCTION("REGEXREPLACE(A155, ""&lt;loc&gt;"", """")"),"https://odysia-cruise-uk.client.prod.eu-west.dreamlake.io/cruise-lines/cunard/queen-elizabeth/cruises&lt;/loc&gt;")</f>
        <v>https://odysia-cruise-uk.client.prod.eu-west.dreamlake.io/cruise-lines/cunard/queen-elizabeth/cruises&lt;/loc&gt;</v>
      </c>
      <c r="C155" s="181" t="str">
        <f>IFERROR(__xludf.DUMMYFUNCTION("REGEXREPLACE(B155, ""&lt;/loc&gt;"", """")"),"https://odysia-cruise-uk.client.prod.eu-west.dreamlake.io/cruise-lines/cunard/queen-elizabeth/cruises")</f>
        <v>https://odysia-cruise-uk.client.prod.eu-west.dreamlake.io/cruise-lines/cunard/queen-elizabeth/cruises</v>
      </c>
      <c r="D155" s="180" t="s">
        <v>675</v>
      </c>
      <c r="E155" s="180" t="str">
        <f>IFERROR(__xludf.DUMMYFUNCTION("REGEXREPLACE(D155, ""https://odysia-cruise-uk.client.prod.eu-west.dreamlake.io"", """")"),"/cruise-lines/cunard/queen-elizabeth/cruises")</f>
        <v>/cruise-lines/cunard/queen-elizabeth/cruises</v>
      </c>
    </row>
    <row r="156">
      <c r="A156" s="182" t="s">
        <v>676</v>
      </c>
      <c r="B156" s="180" t="str">
        <f>IFERROR(__xludf.DUMMYFUNCTION("REGEXREPLACE(A156, ""&lt;loc&gt;"", """")"),"https://odysia-cruise-uk.client.prod.eu-west.dreamlake.io/cruise-lines/seabourn/seabourn-venture&lt;/loc&gt;")</f>
        <v>https://odysia-cruise-uk.client.prod.eu-west.dreamlake.io/cruise-lines/seabourn/seabourn-venture&lt;/loc&gt;</v>
      </c>
      <c r="C156" s="181" t="str">
        <f>IFERROR(__xludf.DUMMYFUNCTION("REGEXREPLACE(B156, ""&lt;/loc&gt;"", """")"),"https://odysia-cruise-uk.client.prod.eu-west.dreamlake.io/cruise-lines/seabourn/seabourn-venture")</f>
        <v>https://odysia-cruise-uk.client.prod.eu-west.dreamlake.io/cruise-lines/seabourn/seabourn-venture</v>
      </c>
      <c r="D156" s="180" t="s">
        <v>677</v>
      </c>
      <c r="E156" s="180" t="str">
        <f>IFERROR(__xludf.DUMMYFUNCTION("REGEXREPLACE(D156, ""https://odysia-cruise-uk.client.prod.eu-west.dreamlake.io"", """")"),"/cruise-lines/seabourn/seabourn-venture")</f>
        <v>/cruise-lines/seabourn/seabourn-venture</v>
      </c>
    </row>
    <row r="157">
      <c r="A157" s="182" t="s">
        <v>678</v>
      </c>
      <c r="B157" s="180" t="str">
        <f>IFERROR(__xludf.DUMMYFUNCTION("REGEXREPLACE(A157, ""&lt;loc&gt;"", """")"),"https://odysia-cruise-uk.client.prod.eu-west.dreamlake.io/cruise-lines/oceania-cruises/oceania-vista&lt;/loc&gt;")</f>
        <v>https://odysia-cruise-uk.client.prod.eu-west.dreamlake.io/cruise-lines/oceania-cruises/oceania-vista&lt;/loc&gt;</v>
      </c>
      <c r="C157" s="181" t="str">
        <f>IFERROR(__xludf.DUMMYFUNCTION("REGEXREPLACE(B157, ""&lt;/loc&gt;"", """")"),"https://odysia-cruise-uk.client.prod.eu-west.dreamlake.io/cruise-lines/oceania-cruises/oceania-vista")</f>
        <v>https://odysia-cruise-uk.client.prod.eu-west.dreamlake.io/cruise-lines/oceania-cruises/oceania-vista</v>
      </c>
      <c r="D157" s="180" t="s">
        <v>679</v>
      </c>
      <c r="E157" s="180" t="str">
        <f>IFERROR(__xludf.DUMMYFUNCTION("REGEXREPLACE(D157, ""https://odysia-cruise-uk.client.prod.eu-west.dreamlake.io"", """")"),"/cruise-lines/oceania-cruises/oceania-vista")</f>
        <v>/cruise-lines/oceania-cruises/oceania-vista</v>
      </c>
    </row>
    <row r="158">
      <c r="A158" s="182" t="s">
        <v>680</v>
      </c>
      <c r="B158" s="180" t="str">
        <f>IFERROR(__xludf.DUMMYFUNCTION("REGEXREPLACE(A158, ""&lt;loc&gt;"", """")"),"https://odysia-cruise-uk.client.prod.eu-west.dreamlake.io/cruise-lines/royal-caribbean/symphony-of-the-seas&lt;/loc&gt;")</f>
        <v>https://odysia-cruise-uk.client.prod.eu-west.dreamlake.io/cruise-lines/royal-caribbean/symphony-of-the-seas&lt;/loc&gt;</v>
      </c>
      <c r="C158" s="181" t="str">
        <f>IFERROR(__xludf.DUMMYFUNCTION("REGEXREPLACE(B158, ""&lt;/loc&gt;"", """")"),"https://odysia-cruise-uk.client.prod.eu-west.dreamlake.io/cruise-lines/royal-caribbean/symphony-of-the-seas")</f>
        <v>https://odysia-cruise-uk.client.prod.eu-west.dreamlake.io/cruise-lines/royal-caribbean/symphony-of-the-seas</v>
      </c>
      <c r="D158" s="180" t="s">
        <v>681</v>
      </c>
      <c r="E158" s="180" t="str">
        <f>IFERROR(__xludf.DUMMYFUNCTION("REGEXREPLACE(D158, ""https://odysia-cruise-uk.client.prod.eu-west.dreamlake.io"", """")"),"/cruise-lines/royal-caribbean/symphony-of-the-seas")</f>
        <v>/cruise-lines/royal-caribbean/symphony-of-the-seas</v>
      </c>
    </row>
    <row r="159">
      <c r="A159" s="182" t="s">
        <v>682</v>
      </c>
      <c r="B159" s="180" t="str">
        <f>IFERROR(__xludf.DUMMYFUNCTION("REGEXREPLACE(A159, ""&lt;loc&gt;"", """")"),"https://odysia-cruise-uk.client.prod.eu-west.dreamlake.io/cruise-lines/norwegian-cruise-line/norwegian-epic/cruises&lt;/loc&gt;")</f>
        <v>https://odysia-cruise-uk.client.prod.eu-west.dreamlake.io/cruise-lines/norwegian-cruise-line/norwegian-epic/cruises&lt;/loc&gt;</v>
      </c>
      <c r="C159" s="181" t="str">
        <f>IFERROR(__xludf.DUMMYFUNCTION("REGEXREPLACE(B159, ""&lt;/loc&gt;"", """")"),"https://odysia-cruise-uk.client.prod.eu-west.dreamlake.io/cruise-lines/norwegian-cruise-line/norwegian-epic/cruises")</f>
        <v>https://odysia-cruise-uk.client.prod.eu-west.dreamlake.io/cruise-lines/norwegian-cruise-line/norwegian-epic/cruises</v>
      </c>
      <c r="D159" s="180" t="s">
        <v>683</v>
      </c>
      <c r="E159" s="180" t="str">
        <f>IFERROR(__xludf.DUMMYFUNCTION("REGEXREPLACE(D159, ""https://odysia-cruise-uk.client.prod.eu-west.dreamlake.io"", """")"),"/cruise-lines/norwegian-cruise-line/norwegian-epic/cruises")</f>
        <v>/cruise-lines/norwegian-cruise-line/norwegian-epic/cruises</v>
      </c>
    </row>
    <row r="160">
      <c r="A160" s="182" t="s">
        <v>684</v>
      </c>
      <c r="B160" s="180" t="str">
        <f>IFERROR(__xludf.DUMMYFUNCTION("REGEXREPLACE(A160, ""&lt;loc&gt;"", """")"),"https://odysia-cruise-uk.client.prod.eu-west.dreamlake.io/cruise-lines/celebrity-cruises/celebrity-apex/cruises&lt;/loc&gt;")</f>
        <v>https://odysia-cruise-uk.client.prod.eu-west.dreamlake.io/cruise-lines/celebrity-cruises/celebrity-apex/cruises&lt;/loc&gt;</v>
      </c>
      <c r="C160" s="181" t="str">
        <f>IFERROR(__xludf.DUMMYFUNCTION("REGEXREPLACE(B160, ""&lt;/loc&gt;"", """")"),"https://odysia-cruise-uk.client.prod.eu-west.dreamlake.io/cruise-lines/celebrity-cruises/celebrity-apex/cruises")</f>
        <v>https://odysia-cruise-uk.client.prod.eu-west.dreamlake.io/cruise-lines/celebrity-cruises/celebrity-apex/cruises</v>
      </c>
      <c r="D160" s="180" t="s">
        <v>685</v>
      </c>
      <c r="E160" s="180" t="str">
        <f>IFERROR(__xludf.DUMMYFUNCTION("REGEXREPLACE(D160, ""https://odysia-cruise-uk.client.prod.eu-west.dreamlake.io"", """")"),"/cruise-lines/celebrity-cruises/celebrity-apex/cruises")</f>
        <v>/cruise-lines/celebrity-cruises/celebrity-apex/cruises</v>
      </c>
    </row>
    <row r="161">
      <c r="A161" s="182" t="s">
        <v>686</v>
      </c>
      <c r="B161" s="180" t="str">
        <f>IFERROR(__xludf.DUMMYFUNCTION("REGEXREPLACE(A161, ""&lt;loc&gt;"", """")"),"https://odysia-cruise-uk.client.prod.eu-west.dreamlake.io/destinations/canary-islands-cruises&lt;/loc&gt;")</f>
        <v>https://odysia-cruise-uk.client.prod.eu-west.dreamlake.io/destinations/canary-islands-cruises&lt;/loc&gt;</v>
      </c>
      <c r="C161" s="181" t="str">
        <f>IFERROR(__xludf.DUMMYFUNCTION("REGEXREPLACE(B161, ""&lt;/loc&gt;"", """")"),"https://odysia-cruise-uk.client.prod.eu-west.dreamlake.io/destinations/canary-islands-cruises")</f>
        <v>https://odysia-cruise-uk.client.prod.eu-west.dreamlake.io/destinations/canary-islands-cruises</v>
      </c>
    </row>
    <row r="162">
      <c r="A162" s="182" t="s">
        <v>687</v>
      </c>
      <c r="B162" s="180" t="str">
        <f>IFERROR(__xludf.DUMMYFUNCTION("REGEXREPLACE(A162, ""&lt;loc&gt;"", """")"),"https://odysia-cruise-uk.client.prod.eu-west.dreamlake.io/cruise-lines/norwegian-cruise-line/norwegian-bliss/cruises&lt;/loc&gt;")</f>
        <v>https://odysia-cruise-uk.client.prod.eu-west.dreamlake.io/cruise-lines/norwegian-cruise-line/norwegian-bliss/cruises&lt;/loc&gt;</v>
      </c>
      <c r="C162" s="181" t="str">
        <f>IFERROR(__xludf.DUMMYFUNCTION("REGEXREPLACE(B162, ""&lt;/loc&gt;"", """")"),"https://odysia-cruise-uk.client.prod.eu-west.dreamlake.io/cruise-lines/norwegian-cruise-line/norwegian-bliss/cruises")</f>
        <v>https://odysia-cruise-uk.client.prod.eu-west.dreamlake.io/cruise-lines/norwegian-cruise-line/norwegian-bliss/cruises</v>
      </c>
      <c r="D162" s="180" t="s">
        <v>688</v>
      </c>
      <c r="E162" s="180" t="str">
        <f>IFERROR(__xludf.DUMMYFUNCTION("REGEXREPLACE(D162, ""https://odysia-cruise-uk.client.prod.eu-west.dreamlake.io"", """")"),"/cruise-lines/norwegian-cruise-line/norwegian-bliss/cruises")</f>
        <v>/cruise-lines/norwegian-cruise-line/norwegian-bliss/cruises</v>
      </c>
    </row>
    <row r="163">
      <c r="A163" s="182" t="s">
        <v>689</v>
      </c>
      <c r="B163" s="180" t="str">
        <f>IFERROR(__xludf.DUMMYFUNCTION("REGEXREPLACE(A163, ""&lt;loc&gt;"", """")"),"https://odysia-cruise-uk.client.prod.eu-west.dreamlake.io/cruise-lines/princess-cruises/grand-princess/cruises&lt;/loc&gt;")</f>
        <v>https://odysia-cruise-uk.client.prod.eu-west.dreamlake.io/cruise-lines/princess-cruises/grand-princess/cruises&lt;/loc&gt;</v>
      </c>
      <c r="C163" s="181" t="str">
        <f>IFERROR(__xludf.DUMMYFUNCTION("REGEXREPLACE(B163, ""&lt;/loc&gt;"", """")"),"https://odysia-cruise-uk.client.prod.eu-west.dreamlake.io/cruise-lines/princess-cruises/grand-princess/cruises")</f>
        <v>https://odysia-cruise-uk.client.prod.eu-west.dreamlake.io/cruise-lines/princess-cruises/grand-princess/cruises</v>
      </c>
      <c r="D163" s="180" t="s">
        <v>690</v>
      </c>
      <c r="E163" s="180" t="str">
        <f>IFERROR(__xludf.DUMMYFUNCTION("REGEXREPLACE(D163, ""https://odysia-cruise-uk.client.prod.eu-west.dreamlake.io"", """")"),"/cruise-lines/princess-cruises/grand-princess/cruises")</f>
        <v>/cruise-lines/princess-cruises/grand-princess/cruises</v>
      </c>
    </row>
    <row r="164">
      <c r="A164" s="182" t="s">
        <v>691</v>
      </c>
      <c r="B164" s="180" t="str">
        <f>IFERROR(__xludf.DUMMYFUNCTION("REGEXREPLACE(A164, ""&lt;loc&gt;"", """")"),"https://odysia-cruise-uk.client.prod.eu-west.dreamlake.io/cruise-lines/explora-journeys/explora-i/cruises&lt;/loc&gt;")</f>
        <v>https://odysia-cruise-uk.client.prod.eu-west.dreamlake.io/cruise-lines/explora-journeys/explora-i/cruises&lt;/loc&gt;</v>
      </c>
      <c r="C164" s="181" t="str">
        <f>IFERROR(__xludf.DUMMYFUNCTION("REGEXREPLACE(B164, ""&lt;/loc&gt;"", """")"),"https://odysia-cruise-uk.client.prod.eu-west.dreamlake.io/cruise-lines/explora-journeys/explora-i/cruises")</f>
        <v>https://odysia-cruise-uk.client.prod.eu-west.dreamlake.io/cruise-lines/explora-journeys/explora-i/cruises</v>
      </c>
      <c r="D164" s="180" t="s">
        <v>692</v>
      </c>
      <c r="E164" s="180" t="str">
        <f>IFERROR(__xludf.DUMMYFUNCTION("REGEXREPLACE(D164, ""https://odysia-cruise-uk.client.prod.eu-west.dreamlake.io"", """")"),"/cruise-lines/explora-journeys/explora-i/cruises")</f>
        <v>/cruise-lines/explora-journeys/explora-i/cruises</v>
      </c>
    </row>
    <row r="165">
      <c r="A165" s="182" t="s">
        <v>693</v>
      </c>
      <c r="B165" s="180" t="str">
        <f>IFERROR(__xludf.DUMMYFUNCTION("REGEXREPLACE(A165, ""&lt;loc&gt;"", """")"),"https://odysia-cruise-uk.client.prod.eu-west.dreamlake.io/cruise-lines/royal-caribbean/voyager-of-the-seas&lt;/loc&gt;")</f>
        <v>https://odysia-cruise-uk.client.prod.eu-west.dreamlake.io/cruise-lines/royal-caribbean/voyager-of-the-seas&lt;/loc&gt;</v>
      </c>
      <c r="C165" s="181" t="str">
        <f>IFERROR(__xludf.DUMMYFUNCTION("REGEXREPLACE(B165, ""&lt;/loc&gt;"", """")"),"https://odysia-cruise-uk.client.prod.eu-west.dreamlake.io/cruise-lines/royal-caribbean/voyager-of-the-seas")</f>
        <v>https://odysia-cruise-uk.client.prod.eu-west.dreamlake.io/cruise-lines/royal-caribbean/voyager-of-the-seas</v>
      </c>
      <c r="D165" s="180" t="s">
        <v>694</v>
      </c>
      <c r="E165" s="180" t="str">
        <f>IFERROR(__xludf.DUMMYFUNCTION("REGEXREPLACE(D165, ""https://odysia-cruise-uk.client.prod.eu-west.dreamlake.io"", """")"),"/cruise-lines/royal-caribbean/voyager-of-the-seas")</f>
        <v>/cruise-lines/royal-caribbean/voyager-of-the-seas</v>
      </c>
    </row>
    <row r="166">
      <c r="A166" s="182" t="s">
        <v>695</v>
      </c>
      <c r="B166" s="180" t="str">
        <f>IFERROR(__xludf.DUMMYFUNCTION("REGEXREPLACE(A166, ""&lt;loc&gt;"", """")"),"https://odysia-cruise-uk.client.prod.eu-west.dreamlake.io/cruise-deals/cruises-from-portsmouth&lt;/loc&gt;")</f>
        <v>https://odysia-cruise-uk.client.prod.eu-west.dreamlake.io/cruise-deals/cruises-from-portsmouth&lt;/loc&gt;</v>
      </c>
      <c r="C166" s="181" t="str">
        <f>IFERROR(__xludf.DUMMYFUNCTION("REGEXREPLACE(B166, ""&lt;/loc&gt;"", """")"),"https://odysia-cruise-uk.client.prod.eu-west.dreamlake.io/cruise-deals/cruises-from-portsmouth")</f>
        <v>https://odysia-cruise-uk.client.prod.eu-west.dreamlake.io/cruise-deals/cruises-from-portsmouth</v>
      </c>
      <c r="D166" s="180" t="s">
        <v>696</v>
      </c>
    </row>
    <row r="167">
      <c r="A167" s="182" t="s">
        <v>697</v>
      </c>
      <c r="B167" s="180" t="str">
        <f>IFERROR(__xludf.DUMMYFUNCTION("REGEXREPLACE(A167, ""&lt;loc&gt;"", """")"),"https://odysia-cruise-uk.client.prod.eu-west.dreamlake.io/cruise-lines/costa-cruises/cruises&lt;/loc&gt;")</f>
        <v>https://odysia-cruise-uk.client.prod.eu-west.dreamlake.io/cruise-lines/costa-cruises/cruises&lt;/loc&gt;</v>
      </c>
      <c r="C167" s="181" t="str">
        <f>IFERROR(__xludf.DUMMYFUNCTION("REGEXREPLACE(B167, ""&lt;/loc&gt;"", """")"),"https://odysia-cruise-uk.client.prod.eu-west.dreamlake.io/cruise-lines/costa-cruises/cruises")</f>
        <v>https://odysia-cruise-uk.client.prod.eu-west.dreamlake.io/cruise-lines/costa-cruises/cruises</v>
      </c>
      <c r="D167" s="180" t="s">
        <v>698</v>
      </c>
      <c r="E167" s="180" t="str">
        <f>IFERROR(__xludf.DUMMYFUNCTION("REGEXREPLACE(D167, ""https://odysia-cruise-uk.client.prod.eu-west.dreamlake.io"", """")"),"/cruise-lines/costa-cruises/cruises")</f>
        <v>/cruise-lines/costa-cruises/cruises</v>
      </c>
    </row>
    <row r="168">
      <c r="A168" s="182" t="s">
        <v>699</v>
      </c>
      <c r="B168" s="180" t="str">
        <f>IFERROR(__xludf.DUMMYFUNCTION("REGEXREPLACE(A168, ""&lt;loc&gt;"", """")"),"https://odysia-cruise-uk.client.prod.eu-west.dreamlake.io/cruise-lines/celebrity-cruises/celebrity-eclipse&lt;/loc&gt;")</f>
        <v>https://odysia-cruise-uk.client.prod.eu-west.dreamlake.io/cruise-lines/celebrity-cruises/celebrity-eclipse&lt;/loc&gt;</v>
      </c>
      <c r="C168" s="181" t="str">
        <f>IFERROR(__xludf.DUMMYFUNCTION("REGEXREPLACE(B168, ""&lt;/loc&gt;"", """")"),"https://odysia-cruise-uk.client.prod.eu-west.dreamlake.io/cruise-lines/celebrity-cruises/celebrity-eclipse")</f>
        <v>https://odysia-cruise-uk.client.prod.eu-west.dreamlake.io/cruise-lines/celebrity-cruises/celebrity-eclipse</v>
      </c>
      <c r="D168" s="180" t="s">
        <v>700</v>
      </c>
      <c r="E168" s="180" t="str">
        <f>IFERROR(__xludf.DUMMYFUNCTION("REGEXREPLACE(D168, ""https://odysia-cruise-uk.client.prod.eu-west.dreamlake.io"", """")"),"/cruise-lines/celebrity-cruises/celebrity-eclipse")</f>
        <v>/cruise-lines/celebrity-cruises/celebrity-eclipse</v>
      </c>
    </row>
    <row r="169">
      <c r="A169" s="182" t="s">
        <v>701</v>
      </c>
      <c r="B169" s="180" t="str">
        <f>IFERROR(__xludf.DUMMYFUNCTION("REGEXREPLACE(A169, ""&lt;loc&gt;"", """")"),"https://odysia-cruise-uk.client.prod.eu-west.dreamlake.io/cruise-lines/celebrity-cruises/celebrity-beyond&lt;/loc&gt;")</f>
        <v>https://odysia-cruise-uk.client.prod.eu-west.dreamlake.io/cruise-lines/celebrity-cruises/celebrity-beyond&lt;/loc&gt;</v>
      </c>
      <c r="C169" s="181" t="str">
        <f>IFERROR(__xludf.DUMMYFUNCTION("REGEXREPLACE(B169, ""&lt;/loc&gt;"", """")"),"https://odysia-cruise-uk.client.prod.eu-west.dreamlake.io/cruise-lines/celebrity-cruises/celebrity-beyond")</f>
        <v>https://odysia-cruise-uk.client.prod.eu-west.dreamlake.io/cruise-lines/celebrity-cruises/celebrity-beyond</v>
      </c>
      <c r="D169" s="180" t="s">
        <v>702</v>
      </c>
      <c r="E169" s="180" t="str">
        <f>IFERROR(__xludf.DUMMYFUNCTION("REGEXREPLACE(D169, ""https://odysia-cruise-uk.client.prod.eu-west.dreamlake.io"", """")"),"/cruise-lines/celebrity-cruises/celebrity-beyond")</f>
        <v>/cruise-lines/celebrity-cruises/celebrity-beyond</v>
      </c>
    </row>
    <row r="170">
      <c r="A170" s="182" t="s">
        <v>703</v>
      </c>
      <c r="B170" s="180" t="str">
        <f>IFERROR(__xludf.DUMMYFUNCTION("REGEXREPLACE(A170, ""&lt;loc&gt;"", """")"),"https://odysia-cruise-uk.client.prod.eu-west.dreamlake.io/cruise-lines/royal-caribbean/explorer-of-the-seas&lt;/loc&gt;")</f>
        <v>https://odysia-cruise-uk.client.prod.eu-west.dreamlake.io/cruise-lines/royal-caribbean/explorer-of-the-seas&lt;/loc&gt;</v>
      </c>
      <c r="C170" s="181" t="str">
        <f>IFERROR(__xludf.DUMMYFUNCTION("REGEXREPLACE(B170, ""&lt;/loc&gt;"", """")"),"https://odysia-cruise-uk.client.prod.eu-west.dreamlake.io/cruise-lines/royal-caribbean/explorer-of-the-seas")</f>
        <v>https://odysia-cruise-uk.client.prod.eu-west.dreamlake.io/cruise-lines/royal-caribbean/explorer-of-the-seas</v>
      </c>
      <c r="D170" s="180" t="s">
        <v>704</v>
      </c>
      <c r="E170" s="180" t="str">
        <f>IFERROR(__xludf.DUMMYFUNCTION("REGEXREPLACE(D170, ""https://odysia-cruise-uk.client.prod.eu-west.dreamlake.io"", """")"),"/cruise-lines/royal-caribbean/explorer-of-the-seas")</f>
        <v>/cruise-lines/royal-caribbean/explorer-of-the-seas</v>
      </c>
    </row>
    <row r="171">
      <c r="A171" s="182" t="s">
        <v>705</v>
      </c>
      <c r="B171" s="180" t="str">
        <f>IFERROR(__xludf.DUMMYFUNCTION("REGEXREPLACE(A171, ""&lt;loc&gt;"", """")"),"https://odysia-cruise-uk.client.prod.eu-west.dreamlake.io/cruise-lines/celebrity-cruises/celebrity-constellation/cruises&lt;/loc&gt;")</f>
        <v>https://odysia-cruise-uk.client.prod.eu-west.dreamlake.io/cruise-lines/celebrity-cruises/celebrity-constellation/cruises&lt;/loc&gt;</v>
      </c>
      <c r="C171" s="181" t="str">
        <f>IFERROR(__xludf.DUMMYFUNCTION("REGEXREPLACE(B171, ""&lt;/loc&gt;"", """")"),"https://odysia-cruise-uk.client.prod.eu-west.dreamlake.io/cruise-lines/celebrity-cruises/celebrity-constellation/cruises")</f>
        <v>https://odysia-cruise-uk.client.prod.eu-west.dreamlake.io/cruise-lines/celebrity-cruises/celebrity-constellation/cruises</v>
      </c>
      <c r="D171" s="180" t="s">
        <v>706</v>
      </c>
      <c r="E171" s="180" t="str">
        <f>IFERROR(__xludf.DUMMYFUNCTION("REGEXREPLACE(D171, ""https://odysia-cruise-uk.client.prod.eu-west.dreamlake.io"", """")"),"/cruise-lines/celebrity-cruises/celebrity-constellation/cruises")</f>
        <v>/cruise-lines/celebrity-cruises/celebrity-constellation/cruises</v>
      </c>
    </row>
    <row r="172">
      <c r="A172" s="182" t="s">
        <v>707</v>
      </c>
      <c r="B172" s="180" t="str">
        <f>IFERROR(__xludf.DUMMYFUNCTION("REGEXREPLACE(A172, ""&lt;loc&gt;"", """")"),"https://odysia-cruise-uk.client.prod.eu-west.dreamlake.io/cruise-lines/po-cruises/arvia/cruises&lt;/loc&gt;")</f>
        <v>https://odysia-cruise-uk.client.prod.eu-west.dreamlake.io/cruise-lines/po-cruises/arvia/cruises&lt;/loc&gt;</v>
      </c>
      <c r="C172" s="181" t="str">
        <f>IFERROR(__xludf.DUMMYFUNCTION("REGEXREPLACE(B172, ""&lt;/loc&gt;"", """")"),"https://odysia-cruise-uk.client.prod.eu-west.dreamlake.io/cruise-lines/po-cruises/arvia/cruises")</f>
        <v>https://odysia-cruise-uk.client.prod.eu-west.dreamlake.io/cruise-lines/po-cruises/arvia/cruises</v>
      </c>
      <c r="D172" s="180" t="s">
        <v>708</v>
      </c>
      <c r="E172" s="180" t="str">
        <f>IFERROR(__xludf.DUMMYFUNCTION("REGEXREPLACE(D172, ""https://odysia-cruise-uk.client.prod.eu-west.dreamlake.io"", """")"),"/cruise-lines/po-cruises/arvia/cruises")</f>
        <v>/cruise-lines/po-cruises/arvia/cruises</v>
      </c>
    </row>
    <row r="173">
      <c r="A173" s="182" t="s">
        <v>709</v>
      </c>
      <c r="B173" s="180" t="str">
        <f>IFERROR(__xludf.DUMMYFUNCTION("REGEXREPLACE(A173, ""&lt;loc&gt;"", """")"),"https://odysia-cruise-uk.client.prod.eu-west.dreamlake.io/cruise-lines/ambassador-cruise-line/ambition&lt;/loc&gt;")</f>
        <v>https://odysia-cruise-uk.client.prod.eu-west.dreamlake.io/cruise-lines/ambassador-cruise-line/ambition&lt;/loc&gt;</v>
      </c>
      <c r="C173" s="181" t="str">
        <f>IFERROR(__xludf.DUMMYFUNCTION("REGEXREPLACE(B173, ""&lt;/loc&gt;"", """")"),"https://odysia-cruise-uk.client.prod.eu-west.dreamlake.io/cruise-lines/ambassador-cruise-line/ambition")</f>
        <v>https://odysia-cruise-uk.client.prod.eu-west.dreamlake.io/cruise-lines/ambassador-cruise-line/ambition</v>
      </c>
      <c r="D173" s="180" t="s">
        <v>710</v>
      </c>
      <c r="E173" s="180" t="str">
        <f>IFERROR(__xludf.DUMMYFUNCTION("REGEXREPLACE(D173, ""https://odysia-cruise-uk.client.prod.eu-west.dreamlake.io"", """")"),"/cruise-lines/ambassador-cruise-line/ambition")</f>
        <v>/cruise-lines/ambassador-cruise-line/ambition</v>
      </c>
    </row>
    <row r="174">
      <c r="A174" s="182" t="s">
        <v>711</v>
      </c>
      <c r="B174" s="180" t="str">
        <f>IFERROR(__xludf.DUMMYFUNCTION("REGEXREPLACE(A174, ""&lt;loc&gt;"", """")"),"https://odysia-cruise-uk.client.prod.eu-west.dreamlake.io/cruise-lines/msc-cruises/msc-divina/cruises&lt;/loc&gt;")</f>
        <v>https://odysia-cruise-uk.client.prod.eu-west.dreamlake.io/cruise-lines/msc-cruises/msc-divina/cruises&lt;/loc&gt;</v>
      </c>
      <c r="C174" s="181" t="str">
        <f>IFERROR(__xludf.DUMMYFUNCTION("REGEXREPLACE(B174, ""&lt;/loc&gt;"", """")"),"https://odysia-cruise-uk.client.prod.eu-west.dreamlake.io/cruise-lines/msc-cruises/msc-divina/cruises")</f>
        <v>https://odysia-cruise-uk.client.prod.eu-west.dreamlake.io/cruise-lines/msc-cruises/msc-divina/cruises</v>
      </c>
      <c r="D174" s="180" t="s">
        <v>712</v>
      </c>
      <c r="E174" s="180" t="str">
        <f>IFERROR(__xludf.DUMMYFUNCTION("REGEXREPLACE(D174, ""https://odysia-cruise-uk.client.prod.eu-west.dreamlake.io"", """")"),"/cruise-lines/msc-cruises/msc-divina/cruises")</f>
        <v>/cruise-lines/msc-cruises/msc-divina/cruises</v>
      </c>
    </row>
    <row r="175">
      <c r="A175" s="182" t="s">
        <v>713</v>
      </c>
      <c r="B175" s="180" t="str">
        <f>IFERROR(__xludf.DUMMYFUNCTION("REGEXREPLACE(A175, ""&lt;loc&gt;"", """")"),"https://odysia-cruise-uk.client.prod.eu-west.dreamlake.io/cruise-lines/seabourn/seabourn-encore&lt;/loc&gt;")</f>
        <v>https://odysia-cruise-uk.client.prod.eu-west.dreamlake.io/cruise-lines/seabourn/seabourn-encore&lt;/loc&gt;</v>
      </c>
      <c r="C175" s="181" t="str">
        <f>IFERROR(__xludf.DUMMYFUNCTION("REGEXREPLACE(B175, ""&lt;/loc&gt;"", """")"),"https://odysia-cruise-uk.client.prod.eu-west.dreamlake.io/cruise-lines/seabourn/seabourn-encore")</f>
        <v>https://odysia-cruise-uk.client.prod.eu-west.dreamlake.io/cruise-lines/seabourn/seabourn-encore</v>
      </c>
      <c r="D175" s="180" t="s">
        <v>714</v>
      </c>
      <c r="E175" s="180" t="str">
        <f>IFERROR(__xludf.DUMMYFUNCTION("REGEXREPLACE(D175, ""https://odysia-cruise-uk.client.prod.eu-west.dreamlake.io"", """")"),"/cruise-lines/seabourn/seabourn-encore")</f>
        <v>/cruise-lines/seabourn/seabourn-encore</v>
      </c>
    </row>
    <row r="176">
      <c r="A176" s="182" t="s">
        <v>715</v>
      </c>
      <c r="B176" s="180" t="str">
        <f>IFERROR(__xludf.DUMMYFUNCTION("REGEXREPLACE(A176, ""&lt;loc&gt;"", """")"),"https://odysia-cruise-uk.client.prod.eu-west.dreamlake.io/cruise-lines/norwegian-cruise-line/norwegian-sun/cruises&lt;/loc&gt;")</f>
        <v>https://odysia-cruise-uk.client.prod.eu-west.dreamlake.io/cruise-lines/norwegian-cruise-line/norwegian-sun/cruises&lt;/loc&gt;</v>
      </c>
      <c r="C176" s="181" t="str">
        <f>IFERROR(__xludf.DUMMYFUNCTION("REGEXREPLACE(B176, ""&lt;/loc&gt;"", """")"),"https://odysia-cruise-uk.client.prod.eu-west.dreamlake.io/cruise-lines/norwegian-cruise-line/norwegian-sun/cruises")</f>
        <v>https://odysia-cruise-uk.client.prod.eu-west.dreamlake.io/cruise-lines/norwegian-cruise-line/norwegian-sun/cruises</v>
      </c>
      <c r="D176" s="180" t="s">
        <v>716</v>
      </c>
      <c r="E176" s="180" t="str">
        <f>IFERROR(__xludf.DUMMYFUNCTION("REGEXREPLACE(D176, ""https://odysia-cruise-uk.client.prod.eu-west.dreamlake.io"", """")"),"/cruise-lines/norwegian-cruise-line/norwegian-sun/cruises")</f>
        <v>/cruise-lines/norwegian-cruise-line/norwegian-sun/cruises</v>
      </c>
    </row>
    <row r="177">
      <c r="A177" s="182" t="s">
        <v>717</v>
      </c>
      <c r="B177" s="180" t="str">
        <f>IFERROR(__xludf.DUMMYFUNCTION("REGEXREPLACE(A177, ""&lt;loc&gt;"", """")"),"https://odysia-cruise-uk.client.prod.eu-west.dreamlake.io/cruise-lines/princess-cruises/diamond-princess/cruises&lt;/loc&gt;")</f>
        <v>https://odysia-cruise-uk.client.prod.eu-west.dreamlake.io/cruise-lines/princess-cruises/diamond-princess/cruises&lt;/loc&gt;</v>
      </c>
      <c r="C177" s="181" t="str">
        <f>IFERROR(__xludf.DUMMYFUNCTION("REGEXREPLACE(B177, ""&lt;/loc&gt;"", """")"),"https://odysia-cruise-uk.client.prod.eu-west.dreamlake.io/cruise-lines/princess-cruises/diamond-princess/cruises")</f>
        <v>https://odysia-cruise-uk.client.prod.eu-west.dreamlake.io/cruise-lines/princess-cruises/diamond-princess/cruises</v>
      </c>
      <c r="D177" s="180" t="s">
        <v>718</v>
      </c>
      <c r="E177" s="180" t="str">
        <f>IFERROR(__xludf.DUMMYFUNCTION("REGEXREPLACE(D177, ""https://odysia-cruise-uk.client.prod.eu-west.dreamlake.io"", """")"),"/cruise-lines/princess-cruises/diamond-princess/cruises")</f>
        <v>/cruise-lines/princess-cruises/diamond-princess/cruises</v>
      </c>
    </row>
    <row r="178">
      <c r="A178" s="182" t="s">
        <v>719</v>
      </c>
      <c r="B178" s="180" t="str">
        <f>IFERROR(__xludf.DUMMYFUNCTION("REGEXREPLACE(A178, ""&lt;loc&gt;"", """")"),"https://odysia-cruise-uk.client.prod.eu-west.dreamlake.io/cruise-lines/princess-cruises/crown-princess&lt;/loc&gt;")</f>
        <v>https://odysia-cruise-uk.client.prod.eu-west.dreamlake.io/cruise-lines/princess-cruises/crown-princess&lt;/loc&gt;</v>
      </c>
      <c r="C178" s="181" t="str">
        <f>IFERROR(__xludf.DUMMYFUNCTION("REGEXREPLACE(B178, ""&lt;/loc&gt;"", """")"),"https://odysia-cruise-uk.client.prod.eu-west.dreamlake.io/cruise-lines/princess-cruises/crown-princess")</f>
        <v>https://odysia-cruise-uk.client.prod.eu-west.dreamlake.io/cruise-lines/princess-cruises/crown-princess</v>
      </c>
      <c r="D178" s="180" t="s">
        <v>720</v>
      </c>
      <c r="E178" s="180" t="str">
        <f>IFERROR(__xludf.DUMMYFUNCTION("REGEXREPLACE(D178, ""https://odysia-cruise-uk.client.prod.eu-west.dreamlake.io"", """")"),"/cruise-lines/princess-cruises/crown-princess")</f>
        <v>/cruise-lines/princess-cruises/crown-princess</v>
      </c>
    </row>
    <row r="179">
      <c r="A179" s="182" t="s">
        <v>721</v>
      </c>
      <c r="B179" s="180" t="str">
        <f>IFERROR(__xludf.DUMMYFUNCTION("REGEXREPLACE(A179, ""&lt;loc&gt;"", """")"),"https://odysia-cruise-uk.client.prod.eu-west.dreamlake.io/cruise-lines/oceania-cruises/oceania-insignia/cruises&lt;/loc&gt;")</f>
        <v>https://odysia-cruise-uk.client.prod.eu-west.dreamlake.io/cruise-lines/oceania-cruises/oceania-insignia/cruises&lt;/loc&gt;</v>
      </c>
      <c r="C179" s="181" t="str">
        <f>IFERROR(__xludf.DUMMYFUNCTION("REGEXREPLACE(B179, ""&lt;/loc&gt;"", """")"),"https://odysia-cruise-uk.client.prod.eu-west.dreamlake.io/cruise-lines/oceania-cruises/oceania-insignia/cruises")</f>
        <v>https://odysia-cruise-uk.client.prod.eu-west.dreamlake.io/cruise-lines/oceania-cruises/oceania-insignia/cruises</v>
      </c>
      <c r="D179" s="180" t="s">
        <v>722</v>
      </c>
      <c r="E179" s="180" t="str">
        <f>IFERROR(__xludf.DUMMYFUNCTION("REGEXREPLACE(D179, ""https://odysia-cruise-uk.client.prod.eu-west.dreamlake.io"", """")"),"/cruise-lines/oceania-cruises/oceania-insignia/cruises")</f>
        <v>/cruise-lines/oceania-cruises/oceania-insignia/cruises</v>
      </c>
    </row>
    <row r="180">
      <c r="A180" s="182" t="s">
        <v>723</v>
      </c>
      <c r="B180" s="180" t="str">
        <f>IFERROR(__xludf.DUMMYFUNCTION("REGEXREPLACE(A180, ""&lt;loc&gt;"", """")"),"https://odysia-cruise-uk.client.prod.eu-west.dreamlake.io/cruise-lines/msc-cruises/msc-magnifica&lt;/loc&gt;")</f>
        <v>https://odysia-cruise-uk.client.prod.eu-west.dreamlake.io/cruise-lines/msc-cruises/msc-magnifica&lt;/loc&gt;</v>
      </c>
      <c r="C180" s="181" t="str">
        <f>IFERROR(__xludf.DUMMYFUNCTION("REGEXREPLACE(B180, ""&lt;/loc&gt;"", """")"),"https://odysia-cruise-uk.client.prod.eu-west.dreamlake.io/cruise-lines/msc-cruises/msc-magnifica")</f>
        <v>https://odysia-cruise-uk.client.prod.eu-west.dreamlake.io/cruise-lines/msc-cruises/msc-magnifica</v>
      </c>
      <c r="D180" s="180" t="s">
        <v>724</v>
      </c>
      <c r="E180" s="180" t="str">
        <f>IFERROR(__xludf.DUMMYFUNCTION("REGEXREPLACE(D180, ""https://odysia-cruise-uk.client.prod.eu-west.dreamlake.io"", """")"),"/cruise-lines/msc-cruises/msc-magnifica")</f>
        <v>/cruise-lines/msc-cruises/msc-magnifica</v>
      </c>
    </row>
    <row r="181">
      <c r="A181" s="182" t="s">
        <v>725</v>
      </c>
      <c r="B181" s="180" t="str">
        <f>IFERROR(__xludf.DUMMYFUNCTION("REGEXREPLACE(A181, ""&lt;loc&gt;"", """")"),"https://odysia-cruise-uk.client.prod.eu-west.dreamlake.io/cruise-lines/seabourn/seabourn-sojourn&lt;/loc&gt;")</f>
        <v>https://odysia-cruise-uk.client.prod.eu-west.dreamlake.io/cruise-lines/seabourn/seabourn-sojourn&lt;/loc&gt;</v>
      </c>
      <c r="C181" s="181" t="str">
        <f>IFERROR(__xludf.DUMMYFUNCTION("REGEXREPLACE(B181, ""&lt;/loc&gt;"", """")"),"https://odysia-cruise-uk.client.prod.eu-west.dreamlake.io/cruise-lines/seabourn/seabourn-sojourn")</f>
        <v>https://odysia-cruise-uk.client.prod.eu-west.dreamlake.io/cruise-lines/seabourn/seabourn-sojourn</v>
      </c>
      <c r="D181" s="180" t="s">
        <v>726</v>
      </c>
      <c r="E181" s="180" t="str">
        <f>IFERROR(__xludf.DUMMYFUNCTION("REGEXREPLACE(D181, ""https://odysia-cruise-uk.client.prod.eu-west.dreamlake.io"", """")"),"/cruise-lines/seabourn/seabourn-sojourn")</f>
        <v>/cruise-lines/seabourn/seabourn-sojourn</v>
      </c>
    </row>
    <row r="182">
      <c r="A182" s="182" t="s">
        <v>727</v>
      </c>
      <c r="B182" s="180" t="str">
        <f>IFERROR(__xludf.DUMMYFUNCTION("REGEXREPLACE(A182, ""&lt;loc&gt;"", """")"),"https://odysia-cruise-uk.client.prod.eu-west.dreamlake.io/cruise-lines/msc-cruises/msc-splendida&lt;/loc&gt;")</f>
        <v>https://odysia-cruise-uk.client.prod.eu-west.dreamlake.io/cruise-lines/msc-cruises/msc-splendida&lt;/loc&gt;</v>
      </c>
      <c r="C182" s="181" t="str">
        <f>IFERROR(__xludf.DUMMYFUNCTION("REGEXREPLACE(B182, ""&lt;/loc&gt;"", """")"),"https://odysia-cruise-uk.client.prod.eu-west.dreamlake.io/cruise-lines/msc-cruises/msc-splendida")</f>
        <v>https://odysia-cruise-uk.client.prod.eu-west.dreamlake.io/cruise-lines/msc-cruises/msc-splendida</v>
      </c>
      <c r="D182" s="180" t="s">
        <v>728</v>
      </c>
      <c r="E182" s="180" t="str">
        <f>IFERROR(__xludf.DUMMYFUNCTION("REGEXREPLACE(D182, ""https://odysia-cruise-uk.client.prod.eu-west.dreamlake.io"", """")"),"/cruise-lines/msc-cruises/msc-splendida")</f>
        <v>/cruise-lines/msc-cruises/msc-splendida</v>
      </c>
    </row>
    <row r="183">
      <c r="A183" s="182" t="s">
        <v>729</v>
      </c>
      <c r="B183" s="180" t="str">
        <f>IFERROR(__xludf.DUMMYFUNCTION("REGEXREPLACE(A183, ""&lt;loc&gt;"", """")"),"https://odysia-cruise-uk.client.prod.eu-west.dreamlake.io/cruise-lines/msc-cruises/msc-poesia&lt;/loc&gt;")</f>
        <v>https://odysia-cruise-uk.client.prod.eu-west.dreamlake.io/cruise-lines/msc-cruises/msc-poesia&lt;/loc&gt;</v>
      </c>
      <c r="C183" s="181" t="str">
        <f>IFERROR(__xludf.DUMMYFUNCTION("REGEXREPLACE(B183, ""&lt;/loc&gt;"", """")"),"https://odysia-cruise-uk.client.prod.eu-west.dreamlake.io/cruise-lines/msc-cruises/msc-poesia")</f>
        <v>https://odysia-cruise-uk.client.prod.eu-west.dreamlake.io/cruise-lines/msc-cruises/msc-poesia</v>
      </c>
      <c r="D183" s="180" t="s">
        <v>730</v>
      </c>
      <c r="E183" s="180" t="str">
        <f>IFERROR(__xludf.DUMMYFUNCTION("REGEXREPLACE(D183, ""https://odysia-cruise-uk.client.prod.eu-west.dreamlake.io"", """")"),"/cruise-lines/msc-cruises/msc-poesia")</f>
        <v>/cruise-lines/msc-cruises/msc-poesia</v>
      </c>
    </row>
    <row r="184">
      <c r="A184" s="182" t="s">
        <v>731</v>
      </c>
      <c r="B184" s="180" t="str">
        <f>IFERROR(__xludf.DUMMYFUNCTION("REGEXREPLACE(A184, ""&lt;loc&gt;"", """")"),"https://odysia-cruise-uk.client.prod.eu-west.dreamlake.io/cruise-lines/msc-cruises/msc-sinfonia/cruises&lt;/loc&gt;")</f>
        <v>https://odysia-cruise-uk.client.prod.eu-west.dreamlake.io/cruise-lines/msc-cruises/msc-sinfonia/cruises&lt;/loc&gt;</v>
      </c>
      <c r="C184" s="181" t="str">
        <f>IFERROR(__xludf.DUMMYFUNCTION("REGEXREPLACE(B184, ""&lt;/loc&gt;"", """")"),"https://odysia-cruise-uk.client.prod.eu-west.dreamlake.io/cruise-lines/msc-cruises/msc-sinfonia/cruises")</f>
        <v>https://odysia-cruise-uk.client.prod.eu-west.dreamlake.io/cruise-lines/msc-cruises/msc-sinfonia/cruises</v>
      </c>
      <c r="D184" s="180" t="s">
        <v>732</v>
      </c>
      <c r="E184" s="180" t="str">
        <f>IFERROR(__xludf.DUMMYFUNCTION("REGEXREPLACE(D184, ""https://odysia-cruise-uk.client.prod.eu-west.dreamlake.io"", """")"),"/cruise-lines/msc-cruises/msc-sinfonia/cruises")</f>
        <v>/cruise-lines/msc-cruises/msc-sinfonia/cruises</v>
      </c>
    </row>
    <row r="185">
      <c r="A185" s="182" t="s">
        <v>733</v>
      </c>
      <c r="B185" s="180" t="str">
        <f>IFERROR(__xludf.DUMMYFUNCTION("REGEXREPLACE(A185, ""&lt;loc&gt;"", """")"),"https://odysia-cruise-uk.client.prod.eu-west.dreamlake.io/cruise-lines/norwegian-cruise-line/norwegian-getaway/cruises&lt;/loc&gt;")</f>
        <v>https://odysia-cruise-uk.client.prod.eu-west.dreamlake.io/cruise-lines/norwegian-cruise-line/norwegian-getaway/cruises&lt;/loc&gt;</v>
      </c>
      <c r="C185" s="181" t="str">
        <f>IFERROR(__xludf.DUMMYFUNCTION("REGEXREPLACE(B185, ""&lt;/loc&gt;"", """")"),"https://odysia-cruise-uk.client.prod.eu-west.dreamlake.io/cruise-lines/norwegian-cruise-line/norwegian-getaway/cruises")</f>
        <v>https://odysia-cruise-uk.client.prod.eu-west.dreamlake.io/cruise-lines/norwegian-cruise-line/norwegian-getaway/cruises</v>
      </c>
      <c r="D185" s="180" t="s">
        <v>734</v>
      </c>
      <c r="E185" s="180" t="str">
        <f>IFERROR(__xludf.DUMMYFUNCTION("REGEXREPLACE(D185, ""https://odysia-cruise-uk.client.prod.eu-west.dreamlake.io"", """")"),"/cruise-lines/norwegian-cruise-line/norwegian-getaway/cruises")</f>
        <v>/cruise-lines/norwegian-cruise-line/norwegian-getaway/cruises</v>
      </c>
    </row>
    <row r="186">
      <c r="A186" s="182" t="s">
        <v>735</v>
      </c>
      <c r="B186" s="180" t="str">
        <f>IFERROR(__xludf.DUMMYFUNCTION("REGEXREPLACE(A186, ""&lt;loc&gt;"", """")"),"https://odysia-cruise-uk.client.prod.eu-west.dreamlake.io/cruise-lines/royal-caribbean/oasis-of-the-seas/cruises&lt;/loc&gt;")</f>
        <v>https://odysia-cruise-uk.client.prod.eu-west.dreamlake.io/cruise-lines/royal-caribbean/oasis-of-the-seas/cruises&lt;/loc&gt;</v>
      </c>
      <c r="C186" s="181" t="str">
        <f>IFERROR(__xludf.DUMMYFUNCTION("REGEXREPLACE(B186, ""&lt;/loc&gt;"", """")"),"https://odysia-cruise-uk.client.prod.eu-west.dreamlake.io/cruise-lines/royal-caribbean/oasis-of-the-seas/cruises")</f>
        <v>https://odysia-cruise-uk.client.prod.eu-west.dreamlake.io/cruise-lines/royal-caribbean/oasis-of-the-seas/cruises</v>
      </c>
      <c r="D186" s="180" t="s">
        <v>736</v>
      </c>
      <c r="E186" s="180" t="str">
        <f>IFERROR(__xludf.DUMMYFUNCTION("REGEXREPLACE(D186, ""https://odysia-cruise-uk.client.prod.eu-west.dreamlake.io"", """")"),"/cruise-lines/royal-caribbean/oasis-of-the-seas/cruises")</f>
        <v>/cruise-lines/royal-caribbean/oasis-of-the-seas/cruises</v>
      </c>
    </row>
    <row r="187">
      <c r="A187" s="182" t="s">
        <v>737</v>
      </c>
      <c r="B187" s="180" t="str">
        <f>IFERROR(__xludf.DUMMYFUNCTION("REGEXREPLACE(A187, ""&lt;loc&gt;"", """")"),"https://odysia-cruise-uk.client.prod.eu-west.dreamlake.io/cruise-lines/po-cruises/arcadia&lt;/loc&gt;")</f>
        <v>https://odysia-cruise-uk.client.prod.eu-west.dreamlake.io/cruise-lines/po-cruises/arcadia&lt;/loc&gt;</v>
      </c>
      <c r="C187" s="181" t="str">
        <f>IFERROR(__xludf.DUMMYFUNCTION("REGEXREPLACE(B187, ""&lt;/loc&gt;"", """")"),"https://odysia-cruise-uk.client.prod.eu-west.dreamlake.io/cruise-lines/po-cruises/arcadia")</f>
        <v>https://odysia-cruise-uk.client.prod.eu-west.dreamlake.io/cruise-lines/po-cruises/arcadia</v>
      </c>
      <c r="D187" s="180" t="s">
        <v>738</v>
      </c>
      <c r="E187" s="180" t="str">
        <f>IFERROR(__xludf.DUMMYFUNCTION("REGEXREPLACE(D187, ""https://odysia-cruise-uk.client.prod.eu-west.dreamlake.io"", """")"),"/cruise-lines/po-cruises/arcadia")</f>
        <v>/cruise-lines/po-cruises/arcadia</v>
      </c>
    </row>
    <row r="188">
      <c r="A188" s="182" t="s">
        <v>739</v>
      </c>
      <c r="B188" s="180" t="str">
        <f>IFERROR(__xludf.DUMMYFUNCTION("REGEXREPLACE(A188, ""&lt;loc&gt;"", """")"),"https://odysia-cruise-uk.client.prod.eu-west.dreamlake.io/cruise-lines/royal-caribbean/ovation-of-the-seas/cruises&lt;/loc&gt;")</f>
        <v>https://odysia-cruise-uk.client.prod.eu-west.dreamlake.io/cruise-lines/royal-caribbean/ovation-of-the-seas/cruises&lt;/loc&gt;</v>
      </c>
      <c r="C188" s="181" t="str">
        <f>IFERROR(__xludf.DUMMYFUNCTION("REGEXREPLACE(B188, ""&lt;/loc&gt;"", """")"),"https://odysia-cruise-uk.client.prod.eu-west.dreamlake.io/cruise-lines/royal-caribbean/ovation-of-the-seas/cruises")</f>
        <v>https://odysia-cruise-uk.client.prod.eu-west.dreamlake.io/cruise-lines/royal-caribbean/ovation-of-the-seas/cruises</v>
      </c>
      <c r="D188" s="180" t="s">
        <v>740</v>
      </c>
      <c r="E188" s="180" t="str">
        <f>IFERROR(__xludf.DUMMYFUNCTION("REGEXREPLACE(D188, ""https://odysia-cruise-uk.client.prod.eu-west.dreamlake.io"", """")"),"/cruise-lines/royal-caribbean/ovation-of-the-seas/cruises")</f>
        <v>/cruise-lines/royal-caribbean/ovation-of-the-seas/cruises</v>
      </c>
    </row>
    <row r="189">
      <c r="A189" s="182" t="s">
        <v>741</v>
      </c>
      <c r="B189" s="180" t="str">
        <f>IFERROR(__xludf.DUMMYFUNCTION("REGEXREPLACE(A189, ""&lt;loc&gt;"", """")"),"https://odysia-cruise-uk.client.prod.eu-west.dreamlake.io/cruise-lines/celebrity-cruises/celebrity-constellation&lt;/loc&gt;")</f>
        <v>https://odysia-cruise-uk.client.prod.eu-west.dreamlake.io/cruise-lines/celebrity-cruises/celebrity-constellation&lt;/loc&gt;</v>
      </c>
      <c r="C189" s="181" t="str">
        <f>IFERROR(__xludf.DUMMYFUNCTION("REGEXREPLACE(B189, ""&lt;/loc&gt;"", """")"),"https://odysia-cruise-uk.client.prod.eu-west.dreamlake.io/cruise-lines/celebrity-cruises/celebrity-constellation")</f>
        <v>https://odysia-cruise-uk.client.prod.eu-west.dreamlake.io/cruise-lines/celebrity-cruises/celebrity-constellation</v>
      </c>
      <c r="D189" s="180" t="s">
        <v>742</v>
      </c>
      <c r="E189" s="180" t="str">
        <f>IFERROR(__xludf.DUMMYFUNCTION("REGEXREPLACE(D189, ""https://odysia-cruise-uk.client.prod.eu-west.dreamlake.io"", """")"),"/cruise-lines/celebrity-cruises/celebrity-constellation")</f>
        <v>/cruise-lines/celebrity-cruises/celebrity-constellation</v>
      </c>
    </row>
    <row r="190">
      <c r="A190" s="182" t="s">
        <v>743</v>
      </c>
      <c r="B190" s="180" t="str">
        <f>IFERROR(__xludf.DUMMYFUNCTION("REGEXREPLACE(A190, ""&lt;loc&gt;"", """")"),"https://odysia-cruise-uk.client.prod.eu-west.dreamlake.io/cruise-lines/holland-america-line/nieuw-statendam&lt;/loc&gt;")</f>
        <v>https://odysia-cruise-uk.client.prod.eu-west.dreamlake.io/cruise-lines/holland-america-line/nieuw-statendam&lt;/loc&gt;</v>
      </c>
      <c r="C190" s="181" t="str">
        <f>IFERROR(__xludf.DUMMYFUNCTION("REGEXREPLACE(B190, ""&lt;/loc&gt;"", """")"),"https://odysia-cruise-uk.client.prod.eu-west.dreamlake.io/cruise-lines/holland-america-line/nieuw-statendam")</f>
        <v>https://odysia-cruise-uk.client.prod.eu-west.dreamlake.io/cruise-lines/holland-america-line/nieuw-statendam</v>
      </c>
      <c r="D190" s="180" t="s">
        <v>744</v>
      </c>
      <c r="E190" s="180" t="str">
        <f>IFERROR(__xludf.DUMMYFUNCTION("REGEXREPLACE(D190, ""https://odysia-cruise-uk.client.prod.eu-west.dreamlake.io"", """")"),"/cruise-lines/holland-america-line/nieuw-statendam")</f>
        <v>/cruise-lines/holland-america-line/nieuw-statendam</v>
      </c>
    </row>
    <row r="191">
      <c r="A191" s="182" t="s">
        <v>745</v>
      </c>
      <c r="B191" s="180" t="str">
        <f>IFERROR(__xludf.DUMMYFUNCTION("REGEXREPLACE(A191, ""&lt;loc&gt;"", """")"),"https://odysia-cruise-uk.client.prod.eu-west.dreamlake.io/cruise-lines/msc-cruises/msc-lirica&lt;/loc&gt;")</f>
        <v>https://odysia-cruise-uk.client.prod.eu-west.dreamlake.io/cruise-lines/msc-cruises/msc-lirica&lt;/loc&gt;</v>
      </c>
      <c r="C191" s="181" t="str">
        <f>IFERROR(__xludf.DUMMYFUNCTION("REGEXREPLACE(B191, ""&lt;/loc&gt;"", """")"),"https://odysia-cruise-uk.client.prod.eu-west.dreamlake.io/cruise-lines/msc-cruises/msc-lirica")</f>
        <v>https://odysia-cruise-uk.client.prod.eu-west.dreamlake.io/cruise-lines/msc-cruises/msc-lirica</v>
      </c>
      <c r="D191" s="180" t="s">
        <v>746</v>
      </c>
      <c r="E191" s="180" t="str">
        <f>IFERROR(__xludf.DUMMYFUNCTION("REGEXREPLACE(D191, ""https://odysia-cruise-uk.client.prod.eu-west.dreamlake.io"", """")"),"/cruise-lines/msc-cruises/msc-lirica")</f>
        <v>/cruise-lines/msc-cruises/msc-lirica</v>
      </c>
    </row>
    <row r="192">
      <c r="A192" s="182" t="s">
        <v>747</v>
      </c>
      <c r="B192" s="180" t="str">
        <f>IFERROR(__xludf.DUMMYFUNCTION("REGEXREPLACE(A192, ""&lt;loc&gt;"", """")"),"https://odysia-cruise-uk.client.prod.eu-west.dreamlake.io/cruise-lines/norwegian-cruise-line/norwegian-luna/cruises&lt;/loc&gt;")</f>
        <v>https://odysia-cruise-uk.client.prod.eu-west.dreamlake.io/cruise-lines/norwegian-cruise-line/norwegian-luna/cruises&lt;/loc&gt;</v>
      </c>
      <c r="C192" s="181" t="str">
        <f>IFERROR(__xludf.DUMMYFUNCTION("REGEXREPLACE(B192, ""&lt;/loc&gt;"", """")"),"https://odysia-cruise-uk.client.prod.eu-west.dreamlake.io/cruise-lines/norwegian-cruise-line/norwegian-luna/cruises")</f>
        <v>https://odysia-cruise-uk.client.prod.eu-west.dreamlake.io/cruise-lines/norwegian-cruise-line/norwegian-luna/cruises</v>
      </c>
      <c r="D192" s="180" t="s">
        <v>748</v>
      </c>
      <c r="E192" s="180" t="str">
        <f>IFERROR(__xludf.DUMMYFUNCTION("REGEXREPLACE(D192, ""https://odysia-cruise-uk.client.prod.eu-west.dreamlake.io"", """")"),"/cruise-lines/norwegian-cruise-line/norwegian-luna/cruises")</f>
        <v>/cruise-lines/norwegian-cruise-line/norwegian-luna/cruises</v>
      </c>
    </row>
    <row r="193">
      <c r="A193" s="182" t="s">
        <v>749</v>
      </c>
      <c r="B193" s="180" t="str">
        <f>IFERROR(__xludf.DUMMYFUNCTION("REGEXREPLACE(A193, ""&lt;loc&gt;"", """")"),"https://odysia-cruise-uk.client.prod.eu-west.dreamlake.io/cruise-lines/regent-seven-seas-cruises/seven-seas-explorer/cruises&lt;/loc&gt;")</f>
        <v>https://odysia-cruise-uk.client.prod.eu-west.dreamlake.io/cruise-lines/regent-seven-seas-cruises/seven-seas-explorer/cruises&lt;/loc&gt;</v>
      </c>
      <c r="C193" s="181" t="str">
        <f>IFERROR(__xludf.DUMMYFUNCTION("REGEXREPLACE(B193, ""&lt;/loc&gt;"", """")"),"https://odysia-cruise-uk.client.prod.eu-west.dreamlake.io/cruise-lines/regent-seven-seas-cruises/seven-seas-explorer/cruises")</f>
        <v>https://odysia-cruise-uk.client.prod.eu-west.dreamlake.io/cruise-lines/regent-seven-seas-cruises/seven-seas-explorer/cruises</v>
      </c>
      <c r="D193" s="180" t="s">
        <v>750</v>
      </c>
      <c r="E193" s="180" t="str">
        <f>IFERROR(__xludf.DUMMYFUNCTION("REGEXREPLACE(D193, ""https://odysia-cruise-uk.client.prod.eu-west.dreamlake.io"", """")"),"/cruise-lines/regent-seven-seas-cruises/seven-seas-explorer/cruises")</f>
        <v>/cruise-lines/regent-seven-seas-cruises/seven-seas-explorer/cruises</v>
      </c>
    </row>
    <row r="194">
      <c r="A194" s="182" t="s">
        <v>751</v>
      </c>
      <c r="B194" s="180" t="str">
        <f>IFERROR(__xludf.DUMMYFUNCTION("REGEXREPLACE(A194, ""&lt;loc&gt;"", """")"),"https://odysia-cruise-uk.client.prod.eu-west.dreamlake.io/cruise-lines/msc-cruises/msc-fantasia&lt;/loc&gt;")</f>
        <v>https://odysia-cruise-uk.client.prod.eu-west.dreamlake.io/cruise-lines/msc-cruises/msc-fantasia&lt;/loc&gt;</v>
      </c>
      <c r="C194" s="181" t="str">
        <f>IFERROR(__xludf.DUMMYFUNCTION("REGEXREPLACE(B194, ""&lt;/loc&gt;"", """")"),"https://odysia-cruise-uk.client.prod.eu-west.dreamlake.io/cruise-lines/msc-cruises/msc-fantasia")</f>
        <v>https://odysia-cruise-uk.client.prod.eu-west.dreamlake.io/cruise-lines/msc-cruises/msc-fantasia</v>
      </c>
      <c r="D194" s="180" t="s">
        <v>752</v>
      </c>
      <c r="E194" s="180" t="str">
        <f>IFERROR(__xludf.DUMMYFUNCTION("REGEXREPLACE(D194, ""https://odysia-cruise-uk.client.prod.eu-west.dreamlake.io"", """")"),"/cruise-lines/msc-cruises/msc-fantasia")</f>
        <v>/cruise-lines/msc-cruises/msc-fantasia</v>
      </c>
    </row>
    <row r="195">
      <c r="A195" s="182" t="s">
        <v>753</v>
      </c>
      <c r="B195" s="180" t="str">
        <f>IFERROR(__xludf.DUMMYFUNCTION("REGEXREPLACE(A195, ""&lt;loc&gt;"", """")"),"https://odysia-cruise-uk.client.prod.eu-west.dreamlake.io/cruise-lines/msc-cruises/msc-preziosa/cruises&lt;/loc&gt;")</f>
        <v>https://odysia-cruise-uk.client.prod.eu-west.dreamlake.io/cruise-lines/msc-cruises/msc-preziosa/cruises&lt;/loc&gt;</v>
      </c>
      <c r="C195" s="181" t="str">
        <f>IFERROR(__xludf.DUMMYFUNCTION("REGEXREPLACE(B195, ""&lt;/loc&gt;"", """")"),"https://odysia-cruise-uk.client.prod.eu-west.dreamlake.io/cruise-lines/msc-cruises/msc-preziosa/cruises")</f>
        <v>https://odysia-cruise-uk.client.prod.eu-west.dreamlake.io/cruise-lines/msc-cruises/msc-preziosa/cruises</v>
      </c>
      <c r="D195" s="180" t="s">
        <v>754</v>
      </c>
      <c r="E195" s="180" t="str">
        <f>IFERROR(__xludf.DUMMYFUNCTION("REGEXREPLACE(D195, ""https://odysia-cruise-uk.client.prod.eu-west.dreamlake.io"", """")"),"/cruise-lines/msc-cruises/msc-preziosa/cruises")</f>
        <v>/cruise-lines/msc-cruises/msc-preziosa/cruises</v>
      </c>
    </row>
    <row r="196">
      <c r="A196" s="182" t="s">
        <v>755</v>
      </c>
      <c r="B196" s="180" t="str">
        <f>IFERROR(__xludf.DUMMYFUNCTION("REGEXREPLACE(A196, ""&lt;loc&gt;"", """")"),"https://odysia-cruise-uk.client.prod.eu-west.dreamlake.io/cruise-lines/azamara/cruises&lt;/loc&gt;")</f>
        <v>https://odysia-cruise-uk.client.prod.eu-west.dreamlake.io/cruise-lines/azamara/cruises&lt;/loc&gt;</v>
      </c>
      <c r="C196" s="181" t="str">
        <f>IFERROR(__xludf.DUMMYFUNCTION("REGEXREPLACE(B196, ""&lt;/loc&gt;"", """")"),"https://odysia-cruise-uk.client.prod.eu-west.dreamlake.io/cruise-lines/azamara/cruises")</f>
        <v>https://odysia-cruise-uk.client.prod.eu-west.dreamlake.io/cruise-lines/azamara/cruises</v>
      </c>
    </row>
    <row r="197">
      <c r="A197" s="182" t="s">
        <v>756</v>
      </c>
      <c r="B197" s="180" t="str">
        <f>IFERROR(__xludf.DUMMYFUNCTION("REGEXREPLACE(A197, ""&lt;loc&gt;"", """")"),"https://odysia-cruise-uk.client.prod.eu-west.dreamlake.io/cruise-lines/royal-caribbean/explorer-of-the-seas/cruises&lt;/loc&gt;")</f>
        <v>https://odysia-cruise-uk.client.prod.eu-west.dreamlake.io/cruise-lines/royal-caribbean/explorer-of-the-seas/cruises&lt;/loc&gt;</v>
      </c>
      <c r="C197" s="181" t="str">
        <f>IFERROR(__xludf.DUMMYFUNCTION("REGEXREPLACE(B197, ""&lt;/loc&gt;"", """")"),"https://odysia-cruise-uk.client.prod.eu-west.dreamlake.io/cruise-lines/royal-caribbean/explorer-of-the-seas/cruises")</f>
        <v>https://odysia-cruise-uk.client.prod.eu-west.dreamlake.io/cruise-lines/royal-caribbean/explorer-of-the-seas/cruises</v>
      </c>
      <c r="D197" s="180" t="s">
        <v>757</v>
      </c>
      <c r="E197" s="180" t="str">
        <f>IFERROR(__xludf.DUMMYFUNCTION("REGEXREPLACE(D197, ""https://odysia-cruise-uk.client.prod.eu-west.dreamlake.io"", """")"),"/cruise-lines/royal-caribbean/explorer-of-the-seas/cruises")</f>
        <v>/cruise-lines/royal-caribbean/explorer-of-the-seas/cruises</v>
      </c>
    </row>
    <row r="198">
      <c r="A198" s="182" t="s">
        <v>758</v>
      </c>
      <c r="B198" s="180" t="str">
        <f>IFERROR(__xludf.DUMMYFUNCTION("REGEXREPLACE(A198, ""&lt;loc&gt;"", """")"),"https://odysia-cruise-uk.client.prod.eu-west.dreamlake.io/cruise-lines/celebrity-cruises/celebrity-xcel&lt;/loc&gt;")</f>
        <v>https://odysia-cruise-uk.client.prod.eu-west.dreamlake.io/cruise-lines/celebrity-cruises/celebrity-xcel&lt;/loc&gt;</v>
      </c>
      <c r="C198" s="181" t="str">
        <f>IFERROR(__xludf.DUMMYFUNCTION("REGEXREPLACE(B198, ""&lt;/loc&gt;"", """")"),"https://odysia-cruise-uk.client.prod.eu-west.dreamlake.io/cruise-lines/celebrity-cruises/celebrity-xcel")</f>
        <v>https://odysia-cruise-uk.client.prod.eu-west.dreamlake.io/cruise-lines/celebrity-cruises/celebrity-xcel</v>
      </c>
      <c r="D198" s="180" t="s">
        <v>759</v>
      </c>
      <c r="E198" s="180" t="str">
        <f>IFERROR(__xludf.DUMMYFUNCTION("REGEXREPLACE(D198, ""https://odysia-cruise-uk.client.prod.eu-west.dreamlake.io"", """")"),"/cruise-lines/celebrity-cruises/celebrity-xcel")</f>
        <v>/cruise-lines/celebrity-cruises/celebrity-xcel</v>
      </c>
    </row>
    <row r="199">
      <c r="A199" s="182" t="s">
        <v>760</v>
      </c>
      <c r="B199" s="180" t="str">
        <f>IFERROR(__xludf.DUMMYFUNCTION("REGEXREPLACE(A199, ""&lt;loc&gt;"", """")"),"https://odysia-cruise-uk.client.prod.eu-west.dreamlake.io/cruise-calendar/canary-islands-cruise-dates&lt;/loc&gt;")</f>
        <v>https://odysia-cruise-uk.client.prod.eu-west.dreamlake.io/cruise-calendar/canary-islands-cruise-dates&lt;/loc&gt;</v>
      </c>
      <c r="C199" s="181" t="str">
        <f>IFERROR(__xludf.DUMMYFUNCTION("REGEXREPLACE(B199, ""&lt;/loc&gt;"", """")"),"https://odysia-cruise-uk.client.prod.eu-west.dreamlake.io/cruise-calendar/canary-islands-cruise-dates")</f>
        <v>https://odysia-cruise-uk.client.prod.eu-west.dreamlake.io/cruise-calendar/canary-islands-cruise-dates</v>
      </c>
    </row>
    <row r="200">
      <c r="A200" s="182" t="s">
        <v>761</v>
      </c>
      <c r="B200" s="180" t="str">
        <f>IFERROR(__xludf.DUMMYFUNCTION("REGEXREPLACE(A200, ""&lt;loc&gt;"", """")"),"https://odysia-cruise-uk.client.prod.eu-west.dreamlake.io/cruise-lines/oceania-cruises/oceania-insignia&lt;/loc&gt;")</f>
        <v>https://odysia-cruise-uk.client.prod.eu-west.dreamlake.io/cruise-lines/oceania-cruises/oceania-insignia&lt;/loc&gt;</v>
      </c>
      <c r="C200" s="181" t="str">
        <f>IFERROR(__xludf.DUMMYFUNCTION("REGEXREPLACE(B200, ""&lt;/loc&gt;"", """")"),"https://odysia-cruise-uk.client.prod.eu-west.dreamlake.io/cruise-lines/oceania-cruises/oceania-insignia")</f>
        <v>https://odysia-cruise-uk.client.prod.eu-west.dreamlake.io/cruise-lines/oceania-cruises/oceania-insignia</v>
      </c>
      <c r="D200" s="180" t="s">
        <v>762</v>
      </c>
      <c r="E200" s="180" t="str">
        <f>IFERROR(__xludf.DUMMYFUNCTION("REGEXREPLACE(D200, ""https://odysia-cruise-uk.client.prod.eu-west.dreamlake.io"", """")"),"/cruise-lines/oceania-cruises/oceania-insignia")</f>
        <v>/cruise-lines/oceania-cruises/oceania-insignia</v>
      </c>
    </row>
    <row r="201">
      <c r="A201" s="182" t="s">
        <v>763</v>
      </c>
      <c r="B201" s="180" t="str">
        <f>IFERROR(__xludf.DUMMYFUNCTION("REGEXREPLACE(A201, ""&lt;loc&gt;"", """")"),"https://odysia-cruise-uk.client.prod.eu-west.dreamlake.io/cruise-deals/cruises-from-newcastle&lt;/loc&gt;")</f>
        <v>https://odysia-cruise-uk.client.prod.eu-west.dreamlake.io/cruise-deals/cruises-from-newcastle&lt;/loc&gt;</v>
      </c>
      <c r="C201" s="181" t="str">
        <f>IFERROR(__xludf.DUMMYFUNCTION("REGEXREPLACE(B201, ""&lt;/loc&gt;"", """")"),"https://odysia-cruise-uk.client.prod.eu-west.dreamlake.io/cruise-deals/cruises-from-newcastle")</f>
        <v>https://odysia-cruise-uk.client.prod.eu-west.dreamlake.io/cruise-deals/cruises-from-newcastle</v>
      </c>
      <c r="D201" s="180" t="s">
        <v>764</v>
      </c>
    </row>
    <row r="202">
      <c r="A202" s="182" t="s">
        <v>765</v>
      </c>
      <c r="B202" s="180" t="str">
        <f>IFERROR(__xludf.DUMMYFUNCTION("REGEXREPLACE(A202, ""&lt;loc&gt;"", """")"),"https://odysia-cruise-uk.client.prod.eu-west.dreamlake.io/cruise-lines/princess-cruises/sapphire-princess&lt;/loc&gt;")</f>
        <v>https://odysia-cruise-uk.client.prod.eu-west.dreamlake.io/cruise-lines/princess-cruises/sapphire-princess&lt;/loc&gt;</v>
      </c>
      <c r="C202" s="181" t="str">
        <f>IFERROR(__xludf.DUMMYFUNCTION("REGEXREPLACE(B202, ""&lt;/loc&gt;"", """")"),"https://odysia-cruise-uk.client.prod.eu-west.dreamlake.io/cruise-lines/princess-cruises/sapphire-princess")</f>
        <v>https://odysia-cruise-uk.client.prod.eu-west.dreamlake.io/cruise-lines/princess-cruises/sapphire-princess</v>
      </c>
      <c r="D202" s="180" t="s">
        <v>766</v>
      </c>
      <c r="E202" s="180" t="str">
        <f>IFERROR(__xludf.DUMMYFUNCTION("REGEXREPLACE(D202, ""https://odysia-cruise-uk.client.prod.eu-west.dreamlake.io"", """")"),"/cruise-lines/princess-cruises/sapphire-princess")</f>
        <v>/cruise-lines/princess-cruises/sapphire-princess</v>
      </c>
    </row>
    <row r="203">
      <c r="A203" s="182" t="s">
        <v>767</v>
      </c>
      <c r="B203" s="180" t="str">
        <f>IFERROR(__xludf.DUMMYFUNCTION("REGEXREPLACE(A203, ""&lt;loc&gt;"", """")"),"https://odysia-cruise-uk.client.prod.eu-west.dreamlake.io/destinations/northern-europe-cruises&lt;/loc&gt;")</f>
        <v>https://odysia-cruise-uk.client.prod.eu-west.dreamlake.io/destinations/northern-europe-cruises&lt;/loc&gt;</v>
      </c>
      <c r="C203" s="181" t="str">
        <f>IFERROR(__xludf.DUMMYFUNCTION("REGEXREPLACE(B203, ""&lt;/loc&gt;"", """")"),"https://odysia-cruise-uk.client.prod.eu-west.dreamlake.io/destinations/northern-europe-cruises")</f>
        <v>https://odysia-cruise-uk.client.prod.eu-west.dreamlake.io/destinations/northern-europe-cruises</v>
      </c>
    </row>
    <row r="204">
      <c r="A204" s="182" t="s">
        <v>768</v>
      </c>
      <c r="B204" s="180" t="str">
        <f>IFERROR(__xludf.DUMMYFUNCTION("REGEXREPLACE(A204, ""&lt;loc&gt;"", """")"),"https://odysia-cruise-uk.client.prod.eu-west.dreamlake.io/cruise-lines/celebrity-cruises/celebrity-millennium/cruises&lt;/loc&gt;")</f>
        <v>https://odysia-cruise-uk.client.prod.eu-west.dreamlake.io/cruise-lines/celebrity-cruises/celebrity-millennium/cruises&lt;/loc&gt;</v>
      </c>
      <c r="C204" s="181" t="str">
        <f>IFERROR(__xludf.DUMMYFUNCTION("REGEXREPLACE(B204, ""&lt;/loc&gt;"", """")"),"https://odysia-cruise-uk.client.prod.eu-west.dreamlake.io/cruise-lines/celebrity-cruises/celebrity-millennium/cruises")</f>
        <v>https://odysia-cruise-uk.client.prod.eu-west.dreamlake.io/cruise-lines/celebrity-cruises/celebrity-millennium/cruises</v>
      </c>
      <c r="D204" s="180" t="s">
        <v>769</v>
      </c>
      <c r="E204" s="180" t="str">
        <f>IFERROR(__xludf.DUMMYFUNCTION("REGEXREPLACE(D204, ""https://odysia-cruise-uk.client.prod.eu-west.dreamlake.io"", """")"),"/cruise-lines/celebrity-cruises/celebrity-millennium/cruises")</f>
        <v>/cruise-lines/celebrity-cruises/celebrity-millennium/cruises</v>
      </c>
    </row>
    <row r="205">
      <c r="A205" s="182" t="s">
        <v>770</v>
      </c>
      <c r="B205" s="180" t="str">
        <f>IFERROR(__xludf.DUMMYFUNCTION("REGEXREPLACE(A205, ""&lt;loc&gt;"", """")"),"https://odysia-cruise-uk.client.prod.eu-west.dreamlake.io/destinations/polar-regions-cruises&lt;/loc&gt;")</f>
        <v>https://odysia-cruise-uk.client.prod.eu-west.dreamlake.io/destinations/polar-regions-cruises&lt;/loc&gt;</v>
      </c>
      <c r="C205" s="181" t="str">
        <f>IFERROR(__xludf.DUMMYFUNCTION("REGEXREPLACE(B205, ""&lt;/loc&gt;"", """")"),"https://odysia-cruise-uk.client.prod.eu-west.dreamlake.io/destinations/polar-regions-cruises")</f>
        <v>https://odysia-cruise-uk.client.prod.eu-west.dreamlake.io/destinations/polar-regions-cruises</v>
      </c>
    </row>
    <row r="206">
      <c r="A206" s="182" t="s">
        <v>771</v>
      </c>
      <c r="B206" s="180" t="str">
        <f>IFERROR(__xludf.DUMMYFUNCTION("REGEXREPLACE(A206, ""&lt;loc&gt;"", """")"),"https://odysia-cruise-uk.client.prod.eu-west.dreamlake.io/cruise-calendar&lt;/loc&gt;")</f>
        <v>https://odysia-cruise-uk.client.prod.eu-west.dreamlake.io/cruise-calendar&lt;/loc&gt;</v>
      </c>
      <c r="C206" s="181" t="str">
        <f>IFERROR(__xludf.DUMMYFUNCTION("REGEXREPLACE(B206, ""&lt;/loc&gt;"", """")"),"https://odysia-cruise-uk.client.prod.eu-west.dreamlake.io/cruise-calendar")</f>
        <v>https://odysia-cruise-uk.client.prod.eu-west.dreamlake.io/cruise-calendar</v>
      </c>
    </row>
    <row r="207">
      <c r="A207" s="182" t="s">
        <v>772</v>
      </c>
      <c r="B207" s="180" t="str">
        <f>IFERROR(__xludf.DUMMYFUNCTION("REGEXREPLACE(A207, ""&lt;loc&gt;"", """")"),"https://odysia-cruise-uk.client.prod.eu-west.dreamlake.io/cruise-lines/celebrity-cruises/celebrity-ascent&lt;/loc&gt;")</f>
        <v>https://odysia-cruise-uk.client.prod.eu-west.dreamlake.io/cruise-lines/celebrity-cruises/celebrity-ascent&lt;/loc&gt;</v>
      </c>
      <c r="C207" s="181" t="str">
        <f>IFERROR(__xludf.DUMMYFUNCTION("REGEXREPLACE(B207, ""&lt;/loc&gt;"", """")"),"https://odysia-cruise-uk.client.prod.eu-west.dreamlake.io/cruise-lines/celebrity-cruises/celebrity-ascent")</f>
        <v>https://odysia-cruise-uk.client.prod.eu-west.dreamlake.io/cruise-lines/celebrity-cruises/celebrity-ascent</v>
      </c>
      <c r="D207" s="180" t="s">
        <v>773</v>
      </c>
      <c r="E207" s="180" t="str">
        <f>IFERROR(__xludf.DUMMYFUNCTION("REGEXREPLACE(D207, ""https://odysia-cruise-uk.client.prod.eu-west.dreamlake.io"", """")"),"/cruise-lines/celebrity-cruises/celebrity-ascent")</f>
        <v>/cruise-lines/celebrity-cruises/celebrity-ascent</v>
      </c>
    </row>
    <row r="208">
      <c r="A208" s="182" t="s">
        <v>774</v>
      </c>
      <c r="B208" s="180" t="str">
        <f>IFERROR(__xludf.DUMMYFUNCTION("REGEXREPLACE(A208, ""&lt;loc&gt;"", """")"),"https://odysia-cruise-uk.client.prod.eu-west.dreamlake.io/cruise-lines/princess-cruises/island-princess/cruises&lt;/loc&gt;")</f>
        <v>https://odysia-cruise-uk.client.prod.eu-west.dreamlake.io/cruise-lines/princess-cruises/island-princess/cruises&lt;/loc&gt;</v>
      </c>
      <c r="C208" s="181" t="str">
        <f>IFERROR(__xludf.DUMMYFUNCTION("REGEXREPLACE(B208, ""&lt;/loc&gt;"", """")"),"https://odysia-cruise-uk.client.prod.eu-west.dreamlake.io/cruise-lines/princess-cruises/island-princess/cruises")</f>
        <v>https://odysia-cruise-uk.client.prod.eu-west.dreamlake.io/cruise-lines/princess-cruises/island-princess/cruises</v>
      </c>
      <c r="D208" s="180" t="s">
        <v>775</v>
      </c>
      <c r="E208" s="180" t="str">
        <f>IFERROR(__xludf.DUMMYFUNCTION("REGEXREPLACE(D208, ""https://odysia-cruise-uk.client.prod.eu-west.dreamlake.io"", """")"),"/cruise-lines/princess-cruises/island-princess/cruises")</f>
        <v>/cruise-lines/princess-cruises/island-princess/cruises</v>
      </c>
    </row>
    <row r="209">
      <c r="A209" s="182" t="s">
        <v>776</v>
      </c>
      <c r="B209" s="180" t="str">
        <f>IFERROR(__xludf.DUMMYFUNCTION("REGEXREPLACE(A209, ""&lt;loc&gt;"", """")"),"https://odysia-cruise-uk.client.prod.eu-west.dreamlake.io/cruise-lines/celebrity-cruises/celebrity-xcel/cruises&lt;/loc&gt;")</f>
        <v>https://odysia-cruise-uk.client.prod.eu-west.dreamlake.io/cruise-lines/celebrity-cruises/celebrity-xcel/cruises&lt;/loc&gt;</v>
      </c>
      <c r="C209" s="181" t="str">
        <f>IFERROR(__xludf.DUMMYFUNCTION("REGEXREPLACE(B209, ""&lt;/loc&gt;"", """")"),"https://odysia-cruise-uk.client.prod.eu-west.dreamlake.io/cruise-lines/celebrity-cruises/celebrity-xcel/cruises")</f>
        <v>https://odysia-cruise-uk.client.prod.eu-west.dreamlake.io/cruise-lines/celebrity-cruises/celebrity-xcel/cruises</v>
      </c>
      <c r="D209" s="180" t="s">
        <v>777</v>
      </c>
      <c r="E209" s="180" t="str">
        <f>IFERROR(__xludf.DUMMYFUNCTION("REGEXREPLACE(D209, ""https://odysia-cruise-uk.client.prod.eu-west.dreamlake.io"", """")"),"/cruise-lines/celebrity-cruises/celebrity-xcel/cruises")</f>
        <v>/cruise-lines/celebrity-cruises/celebrity-xcel/cruises</v>
      </c>
    </row>
    <row r="210">
      <c r="A210" s="182" t="s">
        <v>778</v>
      </c>
      <c r="B210" s="180" t="str">
        <f>IFERROR(__xludf.DUMMYFUNCTION("REGEXREPLACE(A210, ""&lt;loc&gt;"", """")"),"https://odysia-cruise-uk.client.prod.eu-west.dreamlake.io/cruise-lines/royal-caribbean/legend-of-the-seas/cruises&lt;/loc&gt;")</f>
        <v>https://odysia-cruise-uk.client.prod.eu-west.dreamlake.io/cruise-lines/royal-caribbean/legend-of-the-seas/cruises&lt;/loc&gt;</v>
      </c>
      <c r="C210" s="181" t="str">
        <f>IFERROR(__xludf.DUMMYFUNCTION("REGEXREPLACE(B210, ""&lt;/loc&gt;"", """")"),"https://odysia-cruise-uk.client.prod.eu-west.dreamlake.io/cruise-lines/royal-caribbean/legend-of-the-seas/cruises")</f>
        <v>https://odysia-cruise-uk.client.prod.eu-west.dreamlake.io/cruise-lines/royal-caribbean/legend-of-the-seas/cruises</v>
      </c>
      <c r="D210" s="180" t="s">
        <v>779</v>
      </c>
      <c r="E210" s="180" t="str">
        <f>IFERROR(__xludf.DUMMYFUNCTION("REGEXREPLACE(D210, ""https://odysia-cruise-uk.client.prod.eu-west.dreamlake.io"", """")"),"/cruise-lines/royal-caribbean/legend-of-the-seas/cruises")</f>
        <v>/cruise-lines/royal-caribbean/legend-of-the-seas/cruises</v>
      </c>
    </row>
    <row r="211">
      <c r="A211" s="182" t="s">
        <v>780</v>
      </c>
      <c r="B211" s="180" t="str">
        <f>IFERROR(__xludf.DUMMYFUNCTION("REGEXREPLACE(A211, ""&lt;loc&gt;"", """")"),"https://odysia-cruise-uk.client.prod.eu-west.dreamlake.io/cruise-lines/royal-caribbean/adventure-of-the-seas/cruises&lt;/loc&gt;")</f>
        <v>https://odysia-cruise-uk.client.prod.eu-west.dreamlake.io/cruise-lines/royal-caribbean/adventure-of-the-seas/cruises&lt;/loc&gt;</v>
      </c>
      <c r="C211" s="181" t="str">
        <f>IFERROR(__xludf.DUMMYFUNCTION("REGEXREPLACE(B211, ""&lt;/loc&gt;"", """")"),"https://odysia-cruise-uk.client.prod.eu-west.dreamlake.io/cruise-lines/royal-caribbean/adventure-of-the-seas/cruises")</f>
        <v>https://odysia-cruise-uk.client.prod.eu-west.dreamlake.io/cruise-lines/royal-caribbean/adventure-of-the-seas/cruises</v>
      </c>
      <c r="D211" s="180" t="s">
        <v>781</v>
      </c>
      <c r="E211" s="180" t="str">
        <f>IFERROR(__xludf.DUMMYFUNCTION("REGEXREPLACE(D211, ""https://odysia-cruise-uk.client.prod.eu-west.dreamlake.io"", """")"),"/cruise-lines/royal-caribbean/adventure-of-the-seas/cruises")</f>
        <v>/cruise-lines/royal-caribbean/adventure-of-the-seas/cruises</v>
      </c>
    </row>
    <row r="212">
      <c r="A212" s="182" t="s">
        <v>782</v>
      </c>
      <c r="B212" s="180" t="str">
        <f>IFERROR(__xludf.DUMMYFUNCTION("REGEXREPLACE(A212, ""&lt;loc&gt;"", """")"),"https://odysia-cruise-uk.client.prod.eu-west.dreamlake.io/cruise-lines/azamara/azamara-quest&lt;/loc&gt;")</f>
        <v>https://odysia-cruise-uk.client.prod.eu-west.dreamlake.io/cruise-lines/azamara/azamara-quest&lt;/loc&gt;</v>
      </c>
      <c r="C212" s="181" t="str">
        <f>IFERROR(__xludf.DUMMYFUNCTION("REGEXREPLACE(B212, ""&lt;/loc&gt;"", """")"),"https://odysia-cruise-uk.client.prod.eu-west.dreamlake.io/cruise-lines/azamara/azamara-quest")</f>
        <v>https://odysia-cruise-uk.client.prod.eu-west.dreamlake.io/cruise-lines/azamara/azamara-quest</v>
      </c>
    </row>
    <row r="213">
      <c r="A213" s="182" t="s">
        <v>783</v>
      </c>
      <c r="B213" s="180" t="str">
        <f>IFERROR(__xludf.DUMMYFUNCTION("REGEXREPLACE(A213, ""&lt;loc&gt;"", """")"),"https://odysia-cruise-uk.client.prod.eu-west.dreamlake.io/cruise-lines/holland-america-line/nieuw-statendam/cruises&lt;/loc&gt;")</f>
        <v>https://odysia-cruise-uk.client.prod.eu-west.dreamlake.io/cruise-lines/holland-america-line/nieuw-statendam/cruises&lt;/loc&gt;</v>
      </c>
      <c r="C213" s="181" t="str">
        <f>IFERROR(__xludf.DUMMYFUNCTION("REGEXREPLACE(B213, ""&lt;/loc&gt;"", """")"),"https://odysia-cruise-uk.client.prod.eu-west.dreamlake.io/cruise-lines/holland-america-line/nieuw-statendam/cruises")</f>
        <v>https://odysia-cruise-uk.client.prod.eu-west.dreamlake.io/cruise-lines/holland-america-line/nieuw-statendam/cruises</v>
      </c>
      <c r="D213" s="180" t="s">
        <v>784</v>
      </c>
      <c r="E213" s="180" t="str">
        <f>IFERROR(__xludf.DUMMYFUNCTION("REGEXREPLACE(D213, ""https://odysia-cruise-uk.client.prod.eu-west.dreamlake.io"", """")"),"/cruise-lines/holland-america-line/nieuw-statendam/cruises")</f>
        <v>/cruise-lines/holland-america-line/nieuw-statendam/cruises</v>
      </c>
    </row>
    <row r="214">
      <c r="A214" s="182" t="s">
        <v>785</v>
      </c>
      <c r="B214" s="180" t="str">
        <f>IFERROR(__xludf.DUMMYFUNCTION("REGEXREPLACE(A214, ""&lt;loc&gt;"", """")"),"https://odysia-cruise-uk.client.prod.eu-west.dreamlake.io/cruise-lines/oceania-cruises&lt;/loc&gt;")</f>
        <v>https://odysia-cruise-uk.client.prod.eu-west.dreamlake.io/cruise-lines/oceania-cruises&lt;/loc&gt;</v>
      </c>
      <c r="C214" s="181" t="str">
        <f>IFERROR(__xludf.DUMMYFUNCTION("REGEXREPLACE(B214, ""&lt;/loc&gt;"", """")"),"https://odysia-cruise-uk.client.prod.eu-west.dreamlake.io/cruise-lines/oceania-cruises")</f>
        <v>https://odysia-cruise-uk.client.prod.eu-west.dreamlake.io/cruise-lines/oceania-cruises</v>
      </c>
      <c r="D214" s="180" t="s">
        <v>786</v>
      </c>
      <c r="E214" s="180" t="str">
        <f>IFERROR(__xludf.DUMMYFUNCTION("REGEXREPLACE(D214, ""https://odysia-cruise-uk.client.prod.eu-west.dreamlake.io"", """")"),"/cruise-lines/oceania-cruises")</f>
        <v>/cruise-lines/oceania-cruises</v>
      </c>
    </row>
    <row r="215">
      <c r="A215" s="182" t="s">
        <v>787</v>
      </c>
      <c r="B215" s="180" t="str">
        <f>IFERROR(__xludf.DUMMYFUNCTION("REGEXREPLACE(A215, ""&lt;loc&gt;"", """")"),"https://odysia-cruise-uk.client.prod.eu-west.dreamlake.io/cruise-lines/celebrity-cruises&lt;/loc&gt;")</f>
        <v>https://odysia-cruise-uk.client.prod.eu-west.dreamlake.io/cruise-lines/celebrity-cruises&lt;/loc&gt;</v>
      </c>
      <c r="C215" s="181" t="str">
        <f>IFERROR(__xludf.DUMMYFUNCTION("REGEXREPLACE(B215, ""&lt;/loc&gt;"", """")"),"https://odysia-cruise-uk.client.prod.eu-west.dreamlake.io/cruise-lines/celebrity-cruises")</f>
        <v>https://odysia-cruise-uk.client.prod.eu-west.dreamlake.io/cruise-lines/celebrity-cruises</v>
      </c>
      <c r="D215" s="180" t="s">
        <v>788</v>
      </c>
      <c r="E215" s="180" t="str">
        <f>IFERROR(__xludf.DUMMYFUNCTION("REGEXREPLACE(D215, ""https://odysia-cruise-uk.client.prod.eu-west.dreamlake.io"", """")"),"/cruise-lines/celebrity-cruises")</f>
        <v>/cruise-lines/celebrity-cruises</v>
      </c>
    </row>
    <row r="216">
      <c r="A216" s="182" t="s">
        <v>789</v>
      </c>
      <c r="B216" s="180" t="str">
        <f>IFERROR(__xludf.DUMMYFUNCTION("REGEXREPLACE(A216, ""&lt;loc&gt;"", """")"),"https://odysia-cruise-uk.client.prod.eu-west.dreamlake.io/cruise-lines/costa-cruises/costa-pacifica&lt;/loc&gt;")</f>
        <v>https://odysia-cruise-uk.client.prod.eu-west.dreamlake.io/cruise-lines/costa-cruises/costa-pacifica&lt;/loc&gt;</v>
      </c>
      <c r="C216" s="181" t="str">
        <f>IFERROR(__xludf.DUMMYFUNCTION("REGEXREPLACE(B216, ""&lt;/loc&gt;"", """")"),"https://odysia-cruise-uk.client.prod.eu-west.dreamlake.io/cruise-lines/costa-cruises/costa-pacifica")</f>
        <v>https://odysia-cruise-uk.client.prod.eu-west.dreamlake.io/cruise-lines/costa-cruises/costa-pacifica</v>
      </c>
      <c r="D216" s="180" t="s">
        <v>790</v>
      </c>
      <c r="E216" s="180" t="str">
        <f>IFERROR(__xludf.DUMMYFUNCTION("REGEXREPLACE(D216, ""https://odysia-cruise-uk.client.prod.eu-west.dreamlake.io"", """")"),"/cruise-lines/costa-cruises/costa-pacifica")</f>
        <v>/cruise-lines/costa-cruises/costa-pacifica</v>
      </c>
    </row>
    <row r="217">
      <c r="A217" s="182" t="s">
        <v>791</v>
      </c>
      <c r="B217" s="180" t="str">
        <f>IFERROR(__xludf.DUMMYFUNCTION("REGEXREPLACE(A217, ""&lt;loc&gt;"", """")"),"https://odysia-cruise-uk.client.prod.eu-west.dreamlake.io/cruise-lines/royal-caribbean/allure-of-the-seas&lt;/loc&gt;")</f>
        <v>https://odysia-cruise-uk.client.prod.eu-west.dreamlake.io/cruise-lines/royal-caribbean/allure-of-the-seas&lt;/loc&gt;</v>
      </c>
      <c r="C217" s="181" t="str">
        <f>IFERROR(__xludf.DUMMYFUNCTION("REGEXREPLACE(B217, ""&lt;/loc&gt;"", """")"),"https://odysia-cruise-uk.client.prod.eu-west.dreamlake.io/cruise-lines/royal-caribbean/allure-of-the-seas")</f>
        <v>https://odysia-cruise-uk.client.prod.eu-west.dreamlake.io/cruise-lines/royal-caribbean/allure-of-the-seas</v>
      </c>
      <c r="D217" s="180" t="s">
        <v>792</v>
      </c>
      <c r="E217" s="180" t="str">
        <f>IFERROR(__xludf.DUMMYFUNCTION("REGEXREPLACE(D217, ""https://odysia-cruise-uk.client.prod.eu-west.dreamlake.io"", """")"),"/cruise-lines/royal-caribbean/allure-of-the-seas")</f>
        <v>/cruise-lines/royal-caribbean/allure-of-the-seas</v>
      </c>
    </row>
    <row r="218">
      <c r="A218" s="182" t="s">
        <v>793</v>
      </c>
      <c r="B218" s="180" t="str">
        <f>IFERROR(__xludf.DUMMYFUNCTION("REGEXREPLACE(A218, ""&lt;loc&gt;"", """")"),"https://odysia-cruise-uk.client.prod.eu-west.dreamlake.io/destinations/transatlantic-cruises&lt;/loc&gt;")</f>
        <v>https://odysia-cruise-uk.client.prod.eu-west.dreamlake.io/destinations/transatlantic-cruises&lt;/loc&gt;</v>
      </c>
      <c r="C218" s="181" t="str">
        <f>IFERROR(__xludf.DUMMYFUNCTION("REGEXREPLACE(B218, ""&lt;/loc&gt;"", """")"),"https://odysia-cruise-uk.client.prod.eu-west.dreamlake.io/destinations/transatlantic-cruises")</f>
        <v>https://odysia-cruise-uk.client.prod.eu-west.dreamlake.io/destinations/transatlantic-cruises</v>
      </c>
    </row>
    <row r="219">
      <c r="A219" s="182" t="s">
        <v>794</v>
      </c>
      <c r="B219" s="180" t="str">
        <f>IFERROR(__xludf.DUMMYFUNCTION("REGEXREPLACE(A219, ""&lt;loc&gt;"", """")"),"https://odysia-cruise-uk.client.prod.eu-west.dreamlake.io/cruise-lines/msc-cruises/msc-poesia/cruises&lt;/loc&gt;")</f>
        <v>https://odysia-cruise-uk.client.prod.eu-west.dreamlake.io/cruise-lines/msc-cruises/msc-poesia/cruises&lt;/loc&gt;</v>
      </c>
      <c r="C219" s="181" t="str">
        <f>IFERROR(__xludf.DUMMYFUNCTION("REGEXREPLACE(B219, ""&lt;/loc&gt;"", """")"),"https://odysia-cruise-uk.client.prod.eu-west.dreamlake.io/cruise-lines/msc-cruises/msc-poesia/cruises")</f>
        <v>https://odysia-cruise-uk.client.prod.eu-west.dreamlake.io/cruise-lines/msc-cruises/msc-poesia/cruises</v>
      </c>
      <c r="D219" s="180" t="s">
        <v>795</v>
      </c>
      <c r="E219" s="180" t="str">
        <f>IFERROR(__xludf.DUMMYFUNCTION("REGEXREPLACE(D219, ""https://odysia-cruise-uk.client.prod.eu-west.dreamlake.io"", """")"),"/cruise-lines/msc-cruises/msc-poesia/cruises")</f>
        <v>/cruise-lines/msc-cruises/msc-poesia/cruises</v>
      </c>
    </row>
    <row r="220">
      <c r="A220" s="182" t="s">
        <v>796</v>
      </c>
      <c r="B220" s="180" t="str">
        <f>IFERROR(__xludf.DUMMYFUNCTION("REGEXREPLACE(A220, ""&lt;loc&gt;"", """")"),"https://odysia-cruise-uk.client.prod.eu-west.dreamlake.io/cruise-lines/msc-cruises/msc-bellissima/cruises&lt;/loc&gt;")</f>
        <v>https://odysia-cruise-uk.client.prod.eu-west.dreamlake.io/cruise-lines/msc-cruises/msc-bellissima/cruises&lt;/loc&gt;</v>
      </c>
      <c r="C220" s="181" t="str">
        <f>IFERROR(__xludf.DUMMYFUNCTION("REGEXREPLACE(B220, ""&lt;/loc&gt;"", """")"),"https://odysia-cruise-uk.client.prod.eu-west.dreamlake.io/cruise-lines/msc-cruises/msc-bellissima/cruises")</f>
        <v>https://odysia-cruise-uk.client.prod.eu-west.dreamlake.io/cruise-lines/msc-cruises/msc-bellissima/cruises</v>
      </c>
      <c r="D220" s="180" t="s">
        <v>797</v>
      </c>
      <c r="E220" s="180" t="str">
        <f>IFERROR(__xludf.DUMMYFUNCTION("REGEXREPLACE(D220, ""https://odysia-cruise-uk.client.prod.eu-west.dreamlake.io"", """")"),"/cruise-lines/msc-cruises/msc-bellissima/cruises")</f>
        <v>/cruise-lines/msc-cruises/msc-bellissima/cruises</v>
      </c>
    </row>
    <row r="221">
      <c r="A221" s="182" t="s">
        <v>798</v>
      </c>
      <c r="B221" s="180" t="str">
        <f>IFERROR(__xludf.DUMMYFUNCTION("REGEXREPLACE(A221, ""&lt;loc&gt;"", """")"),"https://odysia-cruise-uk.client.prod.eu-west.dreamlake.io/cruise-lines/holland-america-line/noordam/cruises&lt;/loc&gt;")</f>
        <v>https://odysia-cruise-uk.client.prod.eu-west.dreamlake.io/cruise-lines/holland-america-line/noordam/cruises&lt;/loc&gt;</v>
      </c>
      <c r="C221" s="181" t="str">
        <f>IFERROR(__xludf.DUMMYFUNCTION("REGEXREPLACE(B221, ""&lt;/loc&gt;"", """")"),"https://odysia-cruise-uk.client.prod.eu-west.dreamlake.io/cruise-lines/holland-america-line/noordam/cruises")</f>
        <v>https://odysia-cruise-uk.client.prod.eu-west.dreamlake.io/cruise-lines/holland-america-line/noordam/cruises</v>
      </c>
      <c r="D221" s="180" t="s">
        <v>799</v>
      </c>
      <c r="E221" s="180" t="str">
        <f>IFERROR(__xludf.DUMMYFUNCTION("REGEXREPLACE(D221, ""https://odysia-cruise-uk.client.prod.eu-west.dreamlake.io"", """")"),"/cruise-lines/holland-america-line/noordam/cruises")</f>
        <v>/cruise-lines/holland-america-line/noordam/cruises</v>
      </c>
    </row>
    <row r="222">
      <c r="A222" s="182" t="s">
        <v>800</v>
      </c>
      <c r="B222" s="180" t="str">
        <f>IFERROR(__xludf.DUMMYFUNCTION("REGEXREPLACE(A222, ""&lt;loc&gt;"", """")"),"https://odysia-cruise-uk.client.prod.eu-west.dreamlake.io/cruise-lines/azamara/azamara-journey/cruises&lt;/loc&gt;")</f>
        <v>https://odysia-cruise-uk.client.prod.eu-west.dreamlake.io/cruise-lines/azamara/azamara-journey/cruises&lt;/loc&gt;</v>
      </c>
      <c r="C222" s="181" t="str">
        <f>IFERROR(__xludf.DUMMYFUNCTION("REGEXREPLACE(B222, ""&lt;/loc&gt;"", """")"),"https://odysia-cruise-uk.client.prod.eu-west.dreamlake.io/cruise-lines/azamara/azamara-journey/cruises")</f>
        <v>https://odysia-cruise-uk.client.prod.eu-west.dreamlake.io/cruise-lines/azamara/azamara-journey/cruises</v>
      </c>
    </row>
    <row r="223">
      <c r="A223" s="182" t="s">
        <v>801</v>
      </c>
      <c r="B223" s="180" t="str">
        <f>IFERROR(__xludf.DUMMYFUNCTION("REGEXREPLACE(A223, ""&lt;loc&gt;"", """")"),"https://odysia-cruise-uk.client.prod.eu-west.dreamlake.io/cruise-lines/regent-seven-seas-cruises/seven-seas-grandeur&lt;/loc&gt;")</f>
        <v>https://odysia-cruise-uk.client.prod.eu-west.dreamlake.io/cruise-lines/regent-seven-seas-cruises/seven-seas-grandeur&lt;/loc&gt;</v>
      </c>
      <c r="C223" s="181" t="str">
        <f>IFERROR(__xludf.DUMMYFUNCTION("REGEXREPLACE(B223, ""&lt;/loc&gt;"", """")"),"https://odysia-cruise-uk.client.prod.eu-west.dreamlake.io/cruise-lines/regent-seven-seas-cruises/seven-seas-grandeur")</f>
        <v>https://odysia-cruise-uk.client.prod.eu-west.dreamlake.io/cruise-lines/regent-seven-seas-cruises/seven-seas-grandeur</v>
      </c>
      <c r="D223" s="180" t="s">
        <v>802</v>
      </c>
      <c r="E223" s="180" t="str">
        <f>IFERROR(__xludf.DUMMYFUNCTION("REGEXREPLACE(D223, ""https://odysia-cruise-uk.client.prod.eu-west.dreamlake.io"", """")"),"/cruise-lines/regent-seven-seas-cruises/seven-seas-grandeur")</f>
        <v>/cruise-lines/regent-seven-seas-cruises/seven-seas-grandeur</v>
      </c>
    </row>
    <row r="224">
      <c r="A224" s="182" t="s">
        <v>803</v>
      </c>
      <c r="B224" s="180" t="str">
        <f>IFERROR(__xludf.DUMMYFUNCTION("REGEXREPLACE(A224, ""&lt;loc&gt;"", """")"),"https://odysia-cruise-uk.client.prod.eu-west.dreamlake.io/cruise-lines/cunard&lt;/loc&gt;")</f>
        <v>https://odysia-cruise-uk.client.prod.eu-west.dreamlake.io/cruise-lines/cunard&lt;/loc&gt;</v>
      </c>
      <c r="C224" s="181" t="str">
        <f>IFERROR(__xludf.DUMMYFUNCTION("REGEXREPLACE(B224, ""&lt;/loc&gt;"", """")"),"https://odysia-cruise-uk.client.prod.eu-west.dreamlake.io/cruise-lines/cunard")</f>
        <v>https://odysia-cruise-uk.client.prod.eu-west.dreamlake.io/cruise-lines/cunard</v>
      </c>
      <c r="D224" s="180" t="s">
        <v>804</v>
      </c>
      <c r="E224" s="180" t="str">
        <f>IFERROR(__xludf.DUMMYFUNCTION("REGEXREPLACE(D224, ""https://odysia-cruise-uk.client.prod.eu-west.dreamlake.io"", """")"),"/cruise-lines/cunard")</f>
        <v>/cruise-lines/cunard</v>
      </c>
    </row>
    <row r="225">
      <c r="A225" s="182" t="s">
        <v>805</v>
      </c>
      <c r="B225" s="180" t="str">
        <f>IFERROR(__xludf.DUMMYFUNCTION("REGEXREPLACE(A225, ""&lt;loc&gt;"", """")"),"https://odysia-cruise-uk.client.prod.eu-west.dreamlake.io/cruise-lines/costa-cruises/costa-toscana&lt;/loc&gt;")</f>
        <v>https://odysia-cruise-uk.client.prod.eu-west.dreamlake.io/cruise-lines/costa-cruises/costa-toscana&lt;/loc&gt;</v>
      </c>
      <c r="C225" s="181" t="str">
        <f>IFERROR(__xludf.DUMMYFUNCTION("REGEXREPLACE(B225, ""&lt;/loc&gt;"", """")"),"https://odysia-cruise-uk.client.prod.eu-west.dreamlake.io/cruise-lines/costa-cruises/costa-toscana")</f>
        <v>https://odysia-cruise-uk.client.prod.eu-west.dreamlake.io/cruise-lines/costa-cruises/costa-toscana</v>
      </c>
      <c r="D225" s="180" t="s">
        <v>806</v>
      </c>
      <c r="E225" s="180" t="str">
        <f>IFERROR(__xludf.DUMMYFUNCTION("REGEXREPLACE(D225, ""https://odysia-cruise-uk.client.prod.eu-west.dreamlake.io"", """")"),"/cruise-lines/costa-cruises/costa-toscana")</f>
        <v>/cruise-lines/costa-cruises/costa-toscana</v>
      </c>
    </row>
    <row r="226">
      <c r="A226" s="182" t="s">
        <v>807</v>
      </c>
      <c r="B226" s="180" t="str">
        <f>IFERROR(__xludf.DUMMYFUNCTION("REGEXREPLACE(A226, ""&lt;loc&gt;"", """")"),"https://odysia-cruise-uk.client.prod.eu-west.dreamlake.io/cruise-lines/princess-cruises/coral-princess&lt;/loc&gt;")</f>
        <v>https://odysia-cruise-uk.client.prod.eu-west.dreamlake.io/cruise-lines/princess-cruises/coral-princess&lt;/loc&gt;</v>
      </c>
      <c r="C226" s="181" t="str">
        <f>IFERROR(__xludf.DUMMYFUNCTION("REGEXREPLACE(B226, ""&lt;/loc&gt;"", """")"),"https://odysia-cruise-uk.client.prod.eu-west.dreamlake.io/cruise-lines/princess-cruises/coral-princess")</f>
        <v>https://odysia-cruise-uk.client.prod.eu-west.dreamlake.io/cruise-lines/princess-cruises/coral-princess</v>
      </c>
      <c r="D226" s="180" t="s">
        <v>808</v>
      </c>
      <c r="E226" s="180" t="str">
        <f>IFERROR(__xludf.DUMMYFUNCTION("REGEXREPLACE(D226, ""https://odysia-cruise-uk.client.prod.eu-west.dreamlake.io"", """")"),"/cruise-lines/princess-cruises/coral-princess")</f>
        <v>/cruise-lines/princess-cruises/coral-princess</v>
      </c>
    </row>
    <row r="227">
      <c r="A227" s="182" t="s">
        <v>809</v>
      </c>
      <c r="B227" s="180" t="str">
        <f>IFERROR(__xludf.DUMMYFUNCTION("REGEXREPLACE(A227, ""&lt;loc&gt;"", """")"),"https://odysia-cruise-uk.client.prod.eu-west.dreamlake.io/cruise-lines/cunard/queen-elizabeth&lt;/loc&gt;")</f>
        <v>https://odysia-cruise-uk.client.prod.eu-west.dreamlake.io/cruise-lines/cunard/queen-elizabeth&lt;/loc&gt;</v>
      </c>
      <c r="C227" s="181" t="str">
        <f>IFERROR(__xludf.DUMMYFUNCTION("REGEXREPLACE(B227, ""&lt;/loc&gt;"", """")"),"https://odysia-cruise-uk.client.prod.eu-west.dreamlake.io/cruise-lines/cunard/queen-elizabeth")</f>
        <v>https://odysia-cruise-uk.client.prod.eu-west.dreamlake.io/cruise-lines/cunard/queen-elizabeth</v>
      </c>
      <c r="D227" s="180" t="s">
        <v>810</v>
      </c>
      <c r="E227" s="180" t="str">
        <f>IFERROR(__xludf.DUMMYFUNCTION("REGEXREPLACE(D227, ""https://odysia-cruise-uk.client.prod.eu-west.dreamlake.io"", """")"),"/cruise-lines/cunard/queen-elizabeth")</f>
        <v>/cruise-lines/cunard/queen-elizabeth</v>
      </c>
    </row>
    <row r="228">
      <c r="A228" s="182" t="s">
        <v>811</v>
      </c>
      <c r="B228" s="180" t="str">
        <f>IFERROR(__xludf.DUMMYFUNCTION("REGEXREPLACE(A228, ""&lt;loc&gt;"", """")"),"https://odysia-cruise-uk.client.prod.eu-west.dreamlake.io/cruise-lines/msc-cruises/msc-meraviglia/cruises&lt;/loc&gt;")</f>
        <v>https://odysia-cruise-uk.client.prod.eu-west.dreamlake.io/cruise-lines/msc-cruises/msc-meraviglia/cruises&lt;/loc&gt;</v>
      </c>
      <c r="C228" s="181" t="str">
        <f>IFERROR(__xludf.DUMMYFUNCTION("REGEXREPLACE(B228, ""&lt;/loc&gt;"", """")"),"https://odysia-cruise-uk.client.prod.eu-west.dreamlake.io/cruise-lines/msc-cruises/msc-meraviglia/cruises")</f>
        <v>https://odysia-cruise-uk.client.prod.eu-west.dreamlake.io/cruise-lines/msc-cruises/msc-meraviglia/cruises</v>
      </c>
      <c r="D228" s="180" t="s">
        <v>812</v>
      </c>
      <c r="E228" s="180" t="str">
        <f>IFERROR(__xludf.DUMMYFUNCTION("REGEXREPLACE(D228, ""https://odysia-cruise-uk.client.prod.eu-west.dreamlake.io"", """")"),"/cruise-lines/msc-cruises/msc-meraviglia/cruises")</f>
        <v>/cruise-lines/msc-cruises/msc-meraviglia/cruises</v>
      </c>
    </row>
    <row r="229">
      <c r="A229" s="182" t="s">
        <v>813</v>
      </c>
      <c r="B229" s="180" t="str">
        <f>IFERROR(__xludf.DUMMYFUNCTION("REGEXREPLACE(A229, ""&lt;loc&gt;"", """")"),"https://odysia-cruise-uk.client.prod.eu-west.dreamlake.io/cruise-lines/norwegian-cruise-line/norwegian-escape/cruises&lt;/loc&gt;")</f>
        <v>https://odysia-cruise-uk.client.prod.eu-west.dreamlake.io/cruise-lines/norwegian-cruise-line/norwegian-escape/cruises&lt;/loc&gt;</v>
      </c>
      <c r="C229" s="181" t="str">
        <f>IFERROR(__xludf.DUMMYFUNCTION("REGEXREPLACE(B229, ""&lt;/loc&gt;"", """")"),"https://odysia-cruise-uk.client.prod.eu-west.dreamlake.io/cruise-lines/norwegian-cruise-line/norwegian-escape/cruises")</f>
        <v>https://odysia-cruise-uk.client.prod.eu-west.dreamlake.io/cruise-lines/norwegian-cruise-line/norwegian-escape/cruises</v>
      </c>
      <c r="D229" s="180" t="s">
        <v>814</v>
      </c>
      <c r="E229" s="180" t="str">
        <f>IFERROR(__xludf.DUMMYFUNCTION("REGEXREPLACE(D229, ""https://odysia-cruise-uk.client.prod.eu-west.dreamlake.io"", """")"),"/cruise-lines/norwegian-cruise-line/norwegian-escape/cruises")</f>
        <v>/cruise-lines/norwegian-cruise-line/norwegian-escape/cruises</v>
      </c>
    </row>
    <row r="230">
      <c r="A230" s="182" t="s">
        <v>815</v>
      </c>
      <c r="B230" s="180" t="str">
        <f>IFERROR(__xludf.DUMMYFUNCTION("REGEXREPLACE(A230, ""&lt;loc&gt;"", """")"),"https://odysia-cruise-uk.client.prod.eu-west.dreamlake.io/cruise-lines/msc-cruises/msc-fantasia/cruises&lt;/loc&gt;")</f>
        <v>https://odysia-cruise-uk.client.prod.eu-west.dreamlake.io/cruise-lines/msc-cruises/msc-fantasia/cruises&lt;/loc&gt;</v>
      </c>
      <c r="C230" s="181" t="str">
        <f>IFERROR(__xludf.DUMMYFUNCTION("REGEXREPLACE(B230, ""&lt;/loc&gt;"", """")"),"https://odysia-cruise-uk.client.prod.eu-west.dreamlake.io/cruise-lines/msc-cruises/msc-fantasia/cruises")</f>
        <v>https://odysia-cruise-uk.client.prod.eu-west.dreamlake.io/cruise-lines/msc-cruises/msc-fantasia/cruises</v>
      </c>
      <c r="D230" s="180" t="s">
        <v>816</v>
      </c>
      <c r="E230" s="180" t="str">
        <f>IFERROR(__xludf.DUMMYFUNCTION("REGEXREPLACE(D230, ""https://odysia-cruise-uk.client.prod.eu-west.dreamlake.io"", """")"),"/cruise-lines/msc-cruises/msc-fantasia/cruises")</f>
        <v>/cruise-lines/msc-cruises/msc-fantasia/cruises</v>
      </c>
    </row>
    <row r="231">
      <c r="A231" s="182" t="s">
        <v>817</v>
      </c>
      <c r="B231" s="180" t="str">
        <f>IFERROR(__xludf.DUMMYFUNCTION("REGEXREPLACE(A231, ""&lt;loc&gt;"", """")"),"https://odysia-cruise-uk.client.prod.eu-west.dreamlake.io/cruise-lines/oceania-cruises/oceania-sirena/cruises&lt;/loc&gt;")</f>
        <v>https://odysia-cruise-uk.client.prod.eu-west.dreamlake.io/cruise-lines/oceania-cruises/oceania-sirena/cruises&lt;/loc&gt;</v>
      </c>
      <c r="C231" s="181" t="str">
        <f>IFERROR(__xludf.DUMMYFUNCTION("REGEXREPLACE(B231, ""&lt;/loc&gt;"", """")"),"https://odysia-cruise-uk.client.prod.eu-west.dreamlake.io/cruise-lines/oceania-cruises/oceania-sirena/cruises")</f>
        <v>https://odysia-cruise-uk.client.prod.eu-west.dreamlake.io/cruise-lines/oceania-cruises/oceania-sirena/cruises</v>
      </c>
      <c r="D231" s="180" t="s">
        <v>818</v>
      </c>
      <c r="E231" s="180" t="str">
        <f>IFERROR(__xludf.DUMMYFUNCTION("REGEXREPLACE(D231, ""https://odysia-cruise-uk.client.prod.eu-west.dreamlake.io"", """")"),"/cruise-lines/oceania-cruises/oceania-sirena/cruises")</f>
        <v>/cruise-lines/oceania-cruises/oceania-sirena/cruises</v>
      </c>
    </row>
    <row r="232">
      <c r="A232" s="182" t="s">
        <v>819</v>
      </c>
      <c r="B232" s="180" t="str">
        <f>IFERROR(__xludf.DUMMYFUNCTION("REGEXREPLACE(A232, ""&lt;loc&gt;"", """")"),"https://odysia-cruise-uk.client.prod.eu-west.dreamlake.io/cruise-lines/regent-seven-seas-cruises/seven-seas-mariner/cruises&lt;/loc&gt;")</f>
        <v>https://odysia-cruise-uk.client.prod.eu-west.dreamlake.io/cruise-lines/regent-seven-seas-cruises/seven-seas-mariner/cruises&lt;/loc&gt;</v>
      </c>
      <c r="C232" s="181" t="str">
        <f>IFERROR(__xludf.DUMMYFUNCTION("REGEXREPLACE(B232, ""&lt;/loc&gt;"", """")"),"https://odysia-cruise-uk.client.prod.eu-west.dreamlake.io/cruise-lines/regent-seven-seas-cruises/seven-seas-mariner/cruises")</f>
        <v>https://odysia-cruise-uk.client.prod.eu-west.dreamlake.io/cruise-lines/regent-seven-seas-cruises/seven-seas-mariner/cruises</v>
      </c>
      <c r="D232" s="180" t="s">
        <v>820</v>
      </c>
      <c r="E232" s="180" t="str">
        <f>IFERROR(__xludf.DUMMYFUNCTION("REGEXREPLACE(D232, ""https://odysia-cruise-uk.client.prod.eu-west.dreamlake.io"", """")"),"/cruise-lines/regent-seven-seas-cruises/seven-seas-mariner/cruises")</f>
        <v>/cruise-lines/regent-seven-seas-cruises/seven-seas-mariner/cruises</v>
      </c>
    </row>
    <row r="233">
      <c r="A233" s="182" t="s">
        <v>821</v>
      </c>
      <c r="B233" s="180" t="str">
        <f>IFERROR(__xludf.DUMMYFUNCTION("REGEXREPLACE(A233, ""&lt;loc&gt;"", """")"),"https://odysia-cruise-uk.client.prod.eu-west.dreamlake.io/cruise-lines/po-cruises/iona&lt;/loc&gt;")</f>
        <v>https://odysia-cruise-uk.client.prod.eu-west.dreamlake.io/cruise-lines/po-cruises/iona&lt;/loc&gt;</v>
      </c>
      <c r="C233" s="181" t="str">
        <f>IFERROR(__xludf.DUMMYFUNCTION("REGEXREPLACE(B233, ""&lt;/loc&gt;"", """")"),"https://odysia-cruise-uk.client.prod.eu-west.dreamlake.io/cruise-lines/po-cruises/iona")</f>
        <v>https://odysia-cruise-uk.client.prod.eu-west.dreamlake.io/cruise-lines/po-cruises/iona</v>
      </c>
      <c r="D233" s="180" t="s">
        <v>822</v>
      </c>
      <c r="E233" s="180" t="str">
        <f>IFERROR(__xludf.DUMMYFUNCTION("REGEXREPLACE(D233, ""https://odysia-cruise-uk.client.prod.eu-west.dreamlake.io"", """")"),"/cruise-lines/po-cruises/iona")</f>
        <v>/cruise-lines/po-cruises/iona</v>
      </c>
    </row>
    <row r="234">
      <c r="A234" s="182" t="s">
        <v>823</v>
      </c>
      <c r="B234" s="180" t="str">
        <f>IFERROR(__xludf.DUMMYFUNCTION("REGEXREPLACE(A234, ""&lt;loc&gt;"", """")"),"https://odysia-cruise-uk.client.prod.eu-west.dreamlake.io/cruise-lines/msc-cruises/msc-virtuosa&lt;/loc&gt;")</f>
        <v>https://odysia-cruise-uk.client.prod.eu-west.dreamlake.io/cruise-lines/msc-cruises/msc-virtuosa&lt;/loc&gt;</v>
      </c>
      <c r="C234" s="181" t="str">
        <f>IFERROR(__xludf.DUMMYFUNCTION("REGEXREPLACE(B234, ""&lt;/loc&gt;"", """")"),"https://odysia-cruise-uk.client.prod.eu-west.dreamlake.io/cruise-lines/msc-cruises/msc-virtuosa")</f>
        <v>https://odysia-cruise-uk.client.prod.eu-west.dreamlake.io/cruise-lines/msc-cruises/msc-virtuosa</v>
      </c>
      <c r="D234" s="180" t="s">
        <v>824</v>
      </c>
      <c r="E234" s="180" t="str">
        <f>IFERROR(__xludf.DUMMYFUNCTION("REGEXREPLACE(D234, ""https://odysia-cruise-uk.client.prod.eu-west.dreamlake.io"", """")"),"/cruise-lines/msc-cruises/msc-virtuosa")</f>
        <v>/cruise-lines/msc-cruises/msc-virtuosa</v>
      </c>
    </row>
    <row r="235">
      <c r="A235" s="182" t="s">
        <v>825</v>
      </c>
      <c r="B235" s="180" t="str">
        <f>IFERROR(__xludf.DUMMYFUNCTION("REGEXREPLACE(A235, ""&lt;loc&gt;"", """")"),"https://odysia-cruise-uk.client.prod.eu-west.dreamlake.io/cruise-lines/msc-cruises/msc-bellissima&lt;/loc&gt;")</f>
        <v>https://odysia-cruise-uk.client.prod.eu-west.dreamlake.io/cruise-lines/msc-cruises/msc-bellissima&lt;/loc&gt;</v>
      </c>
      <c r="C235" s="181" t="str">
        <f>IFERROR(__xludf.DUMMYFUNCTION("REGEXREPLACE(B235, ""&lt;/loc&gt;"", """")"),"https://odysia-cruise-uk.client.prod.eu-west.dreamlake.io/cruise-lines/msc-cruises/msc-bellissima")</f>
        <v>https://odysia-cruise-uk.client.prod.eu-west.dreamlake.io/cruise-lines/msc-cruises/msc-bellissima</v>
      </c>
      <c r="D235" s="180" t="s">
        <v>826</v>
      </c>
      <c r="E235" s="180" t="str">
        <f>IFERROR(__xludf.DUMMYFUNCTION("REGEXREPLACE(D235, ""https://odysia-cruise-uk.client.prod.eu-west.dreamlake.io"", """")"),"/cruise-lines/msc-cruises/msc-bellissima")</f>
        <v>/cruise-lines/msc-cruises/msc-bellissima</v>
      </c>
    </row>
    <row r="236">
      <c r="A236" s="182" t="s">
        <v>827</v>
      </c>
      <c r="B236" s="180" t="str">
        <f>IFERROR(__xludf.DUMMYFUNCTION("REGEXREPLACE(A236, ""&lt;loc&gt;"", """")"),"https://odysia-cruise-uk.client.prod.eu-west.dreamlake.io/cruise-lines/royal-caribbean/spectrum-of-the-seas&lt;/loc&gt;")</f>
        <v>https://odysia-cruise-uk.client.prod.eu-west.dreamlake.io/cruise-lines/royal-caribbean/spectrum-of-the-seas&lt;/loc&gt;</v>
      </c>
      <c r="C236" s="181" t="str">
        <f>IFERROR(__xludf.DUMMYFUNCTION("REGEXREPLACE(B236, ""&lt;/loc&gt;"", """")"),"https://odysia-cruise-uk.client.prod.eu-west.dreamlake.io/cruise-lines/royal-caribbean/spectrum-of-the-seas")</f>
        <v>https://odysia-cruise-uk.client.prod.eu-west.dreamlake.io/cruise-lines/royal-caribbean/spectrum-of-the-seas</v>
      </c>
      <c r="D236" s="180" t="s">
        <v>828</v>
      </c>
      <c r="E236" s="180" t="str">
        <f>IFERROR(__xludf.DUMMYFUNCTION("REGEXREPLACE(D236, ""https://odysia-cruise-uk.client.prod.eu-west.dreamlake.io"", """")"),"/cruise-lines/royal-caribbean/spectrum-of-the-seas")</f>
        <v>/cruise-lines/royal-caribbean/spectrum-of-the-seas</v>
      </c>
    </row>
    <row r="237">
      <c r="A237" s="182" t="s">
        <v>829</v>
      </c>
      <c r="B237" s="180" t="str">
        <f>IFERROR(__xludf.DUMMYFUNCTION("REGEXREPLACE(A237, ""&lt;loc&gt;"", """")"),"https://odysia-cruise-uk.client.prod.eu-west.dreamlake.io/cruise-lines/princess-cruises/coral-princess/cruises&lt;/loc&gt;")</f>
        <v>https://odysia-cruise-uk.client.prod.eu-west.dreamlake.io/cruise-lines/princess-cruises/coral-princess/cruises&lt;/loc&gt;</v>
      </c>
      <c r="C237" s="181" t="str">
        <f>IFERROR(__xludf.DUMMYFUNCTION("REGEXREPLACE(B237, ""&lt;/loc&gt;"", """")"),"https://odysia-cruise-uk.client.prod.eu-west.dreamlake.io/cruise-lines/princess-cruises/coral-princess/cruises")</f>
        <v>https://odysia-cruise-uk.client.prod.eu-west.dreamlake.io/cruise-lines/princess-cruises/coral-princess/cruises</v>
      </c>
      <c r="D237" s="180" t="s">
        <v>830</v>
      </c>
      <c r="E237" s="180" t="str">
        <f>IFERROR(__xludf.DUMMYFUNCTION("REGEXREPLACE(D237, ""https://odysia-cruise-uk.client.prod.eu-west.dreamlake.io"", """")"),"/cruise-lines/princess-cruises/coral-princess/cruises")</f>
        <v>/cruise-lines/princess-cruises/coral-princess/cruises</v>
      </c>
    </row>
    <row r="238">
      <c r="A238" s="182" t="s">
        <v>831</v>
      </c>
      <c r="B238" s="180" t="str">
        <f>IFERROR(__xludf.DUMMYFUNCTION("REGEXREPLACE(A238, ""&lt;loc&gt;"", """")"),"https://odysia-cruise-uk.client.prod.eu-west.dreamlake.io/cruise-lines/explora-journeys/explora-i&lt;/loc&gt;")</f>
        <v>https://odysia-cruise-uk.client.prod.eu-west.dreamlake.io/cruise-lines/explora-journeys/explora-i&lt;/loc&gt;</v>
      </c>
      <c r="C238" s="181" t="str">
        <f>IFERROR(__xludf.DUMMYFUNCTION("REGEXREPLACE(B238, ""&lt;/loc&gt;"", """")"),"https://odysia-cruise-uk.client.prod.eu-west.dreamlake.io/cruise-lines/explora-journeys/explora-i")</f>
        <v>https://odysia-cruise-uk.client.prod.eu-west.dreamlake.io/cruise-lines/explora-journeys/explora-i</v>
      </c>
      <c r="D238" s="180" t="s">
        <v>832</v>
      </c>
      <c r="E238" s="180" t="str">
        <f>IFERROR(__xludf.DUMMYFUNCTION("REGEXREPLACE(D238, ""https://odysia-cruise-uk.client.prod.eu-west.dreamlake.io"", """")"),"/cruise-lines/explora-journeys/explora-i")</f>
        <v>/cruise-lines/explora-journeys/explora-i</v>
      </c>
    </row>
    <row r="239">
      <c r="A239" s="182" t="s">
        <v>833</v>
      </c>
      <c r="B239" s="180" t="str">
        <f>IFERROR(__xludf.DUMMYFUNCTION("REGEXREPLACE(A239, ""&lt;loc&gt;"", """")"),"https://odysia-cruise-uk.client.prod.eu-west.dreamlake.io/cruise-lines/regent-seven-seas-cruises/seven-seas-explorer&lt;/loc&gt;")</f>
        <v>https://odysia-cruise-uk.client.prod.eu-west.dreamlake.io/cruise-lines/regent-seven-seas-cruises/seven-seas-explorer&lt;/loc&gt;</v>
      </c>
      <c r="C239" s="181" t="str">
        <f>IFERROR(__xludf.DUMMYFUNCTION("REGEXREPLACE(B239, ""&lt;/loc&gt;"", """")"),"https://odysia-cruise-uk.client.prod.eu-west.dreamlake.io/cruise-lines/regent-seven-seas-cruises/seven-seas-explorer")</f>
        <v>https://odysia-cruise-uk.client.prod.eu-west.dreamlake.io/cruise-lines/regent-seven-seas-cruises/seven-seas-explorer</v>
      </c>
      <c r="D239" s="180" t="s">
        <v>834</v>
      </c>
      <c r="E239" s="180" t="str">
        <f>IFERROR(__xludf.DUMMYFUNCTION("REGEXREPLACE(D239, ""https://odysia-cruise-uk.client.prod.eu-west.dreamlake.io"", """")"),"/cruise-lines/regent-seven-seas-cruises/seven-seas-explorer")</f>
        <v>/cruise-lines/regent-seven-seas-cruises/seven-seas-explorer</v>
      </c>
    </row>
    <row r="240">
      <c r="A240" s="182" t="s">
        <v>835</v>
      </c>
      <c r="B240" s="180" t="str">
        <f>IFERROR(__xludf.DUMMYFUNCTION("REGEXREPLACE(A240, ""&lt;loc&gt;"", """")"),"https://odysia-cruise-uk.client.prod.eu-west.dreamlake.io/cruise-lines/royal-caribbean/navigator-of-the-seas/cruises&lt;/loc&gt;")</f>
        <v>https://odysia-cruise-uk.client.prod.eu-west.dreamlake.io/cruise-lines/royal-caribbean/navigator-of-the-seas/cruises&lt;/loc&gt;</v>
      </c>
      <c r="C240" s="181" t="str">
        <f>IFERROR(__xludf.DUMMYFUNCTION("REGEXREPLACE(B240, ""&lt;/loc&gt;"", """")"),"https://odysia-cruise-uk.client.prod.eu-west.dreamlake.io/cruise-lines/royal-caribbean/navigator-of-the-seas/cruises")</f>
        <v>https://odysia-cruise-uk.client.prod.eu-west.dreamlake.io/cruise-lines/royal-caribbean/navigator-of-the-seas/cruises</v>
      </c>
      <c r="D240" s="180" t="s">
        <v>836</v>
      </c>
      <c r="E240" s="180" t="str">
        <f>IFERROR(__xludf.DUMMYFUNCTION("REGEXREPLACE(D240, ""https://odysia-cruise-uk.client.prod.eu-west.dreamlake.io"", """")"),"/cruise-lines/royal-caribbean/navigator-of-the-seas/cruises")</f>
        <v>/cruise-lines/royal-caribbean/navigator-of-the-seas/cruises</v>
      </c>
    </row>
    <row r="241">
      <c r="A241" s="182" t="s">
        <v>837</v>
      </c>
      <c r="B241" s="180" t="str">
        <f>IFERROR(__xludf.DUMMYFUNCTION("REGEXREPLACE(A241, ""&lt;loc&gt;"", """")"),"https://odysia-cruise-uk.client.prod.eu-west.dreamlake.io/cruise-lines/virgin-voyages/valiant-lady&lt;/loc&gt;")</f>
        <v>https://odysia-cruise-uk.client.prod.eu-west.dreamlake.io/cruise-lines/virgin-voyages/valiant-lady&lt;/loc&gt;</v>
      </c>
      <c r="C241" s="181" t="str">
        <f>IFERROR(__xludf.DUMMYFUNCTION("REGEXREPLACE(B241, ""&lt;/loc&gt;"", """")"),"https://odysia-cruise-uk.client.prod.eu-west.dreamlake.io/cruise-lines/virgin-voyages/valiant-lady")</f>
        <v>https://odysia-cruise-uk.client.prod.eu-west.dreamlake.io/cruise-lines/virgin-voyages/valiant-lady</v>
      </c>
      <c r="D241" s="180" t="s">
        <v>838</v>
      </c>
      <c r="E241" s="180" t="str">
        <f>IFERROR(__xludf.DUMMYFUNCTION("REGEXREPLACE(D241, ""https://odysia-cruise-uk.client.prod.eu-west.dreamlake.io"", """")"),"/cruise-lines/virgin-voyages/valiant-lady")</f>
        <v>/cruise-lines/virgin-voyages/valiant-lady</v>
      </c>
    </row>
    <row r="242">
      <c r="A242" s="182" t="s">
        <v>839</v>
      </c>
      <c r="B242" s="180" t="str">
        <f>IFERROR(__xludf.DUMMYFUNCTION("REGEXREPLACE(A242, ""&lt;loc&gt;"", """")"),"https://odysia-cruise-uk.client.prod.eu-west.dreamlake.io/cruise-lines/norwegian-cruise-line/norwegian-aqua/cruises&lt;/loc&gt;")</f>
        <v>https://odysia-cruise-uk.client.prod.eu-west.dreamlake.io/cruise-lines/norwegian-cruise-line/norwegian-aqua/cruises&lt;/loc&gt;</v>
      </c>
      <c r="C242" s="181" t="str">
        <f>IFERROR(__xludf.DUMMYFUNCTION("REGEXREPLACE(B242, ""&lt;/loc&gt;"", """")"),"https://odysia-cruise-uk.client.prod.eu-west.dreamlake.io/cruise-lines/norwegian-cruise-line/norwegian-aqua/cruises")</f>
        <v>https://odysia-cruise-uk.client.prod.eu-west.dreamlake.io/cruise-lines/norwegian-cruise-line/norwegian-aqua/cruises</v>
      </c>
      <c r="D242" s="180" t="s">
        <v>840</v>
      </c>
      <c r="E242" s="180" t="str">
        <f>IFERROR(__xludf.DUMMYFUNCTION("REGEXREPLACE(D242, ""https://odysia-cruise-uk.client.prod.eu-west.dreamlake.io"", """")"),"/cruise-lines/norwegian-cruise-line/norwegian-aqua/cruises")</f>
        <v>/cruise-lines/norwegian-cruise-line/norwegian-aqua/cruises</v>
      </c>
    </row>
    <row r="243">
      <c r="A243" s="182" t="s">
        <v>841</v>
      </c>
      <c r="B243" s="180" t="str">
        <f>IFERROR(__xludf.DUMMYFUNCTION("REGEXREPLACE(A243, ""&lt;loc&gt;"", """")"),"https://odysia-cruise-uk.client.prod.eu-west.dreamlake.io/cruise-lines/norwegian-cruise-line/norwegian-jewel&lt;/loc&gt;")</f>
        <v>https://odysia-cruise-uk.client.prod.eu-west.dreamlake.io/cruise-lines/norwegian-cruise-line/norwegian-jewel&lt;/loc&gt;</v>
      </c>
      <c r="C243" s="181" t="str">
        <f>IFERROR(__xludf.DUMMYFUNCTION("REGEXREPLACE(B243, ""&lt;/loc&gt;"", """")"),"https://odysia-cruise-uk.client.prod.eu-west.dreamlake.io/cruise-lines/norwegian-cruise-line/norwegian-jewel")</f>
        <v>https://odysia-cruise-uk.client.prod.eu-west.dreamlake.io/cruise-lines/norwegian-cruise-line/norwegian-jewel</v>
      </c>
      <c r="D243" s="180" t="s">
        <v>842</v>
      </c>
      <c r="E243" s="180" t="str">
        <f>IFERROR(__xludf.DUMMYFUNCTION("REGEXREPLACE(D243, ""https://odysia-cruise-uk.client.prod.eu-west.dreamlake.io"", """")"),"/cruise-lines/norwegian-cruise-line/norwegian-jewel")</f>
        <v>/cruise-lines/norwegian-cruise-line/norwegian-jewel</v>
      </c>
    </row>
    <row r="244">
      <c r="A244" s="182" t="s">
        <v>843</v>
      </c>
      <c r="B244" s="180" t="str">
        <f>IFERROR(__xludf.DUMMYFUNCTION("REGEXREPLACE(A244, ""&lt;loc&gt;"", """")"),"https://odysia-cruise-uk.client.prod.eu-west.dreamlake.io/cruise-lines/costa-cruises/costa-diadema&lt;/loc&gt;")</f>
        <v>https://odysia-cruise-uk.client.prod.eu-west.dreamlake.io/cruise-lines/costa-cruises/costa-diadema&lt;/loc&gt;</v>
      </c>
      <c r="C244" s="181" t="str">
        <f>IFERROR(__xludf.DUMMYFUNCTION("REGEXREPLACE(B244, ""&lt;/loc&gt;"", """")"),"https://odysia-cruise-uk.client.prod.eu-west.dreamlake.io/cruise-lines/costa-cruises/costa-diadema")</f>
        <v>https://odysia-cruise-uk.client.prod.eu-west.dreamlake.io/cruise-lines/costa-cruises/costa-diadema</v>
      </c>
      <c r="D244" s="180" t="s">
        <v>844</v>
      </c>
      <c r="E244" s="180" t="str">
        <f>IFERROR(__xludf.DUMMYFUNCTION("REGEXREPLACE(D244, ""https://odysia-cruise-uk.client.prod.eu-west.dreamlake.io"", """")"),"/cruise-lines/costa-cruises/costa-diadema")</f>
        <v>/cruise-lines/costa-cruises/costa-diadema</v>
      </c>
    </row>
    <row r="245">
      <c r="A245" s="182" t="s">
        <v>845</v>
      </c>
      <c r="B245" s="180" t="str">
        <f>IFERROR(__xludf.DUMMYFUNCTION("REGEXREPLACE(A245, ""&lt;loc&gt;"", """")"),"https://odysia-cruise-uk.client.prod.eu-west.dreamlake.io/cruise-lines/royal-caribbean/jewel-of-the-seas/cruises&lt;/loc&gt;")</f>
        <v>https://odysia-cruise-uk.client.prod.eu-west.dreamlake.io/cruise-lines/royal-caribbean/jewel-of-the-seas/cruises&lt;/loc&gt;</v>
      </c>
      <c r="C245" s="181" t="str">
        <f>IFERROR(__xludf.DUMMYFUNCTION("REGEXREPLACE(B245, ""&lt;/loc&gt;"", """")"),"https://odysia-cruise-uk.client.prod.eu-west.dreamlake.io/cruise-lines/royal-caribbean/jewel-of-the-seas/cruises")</f>
        <v>https://odysia-cruise-uk.client.prod.eu-west.dreamlake.io/cruise-lines/royal-caribbean/jewel-of-the-seas/cruises</v>
      </c>
      <c r="D245" s="180" t="s">
        <v>846</v>
      </c>
      <c r="E245" s="180" t="str">
        <f>IFERROR(__xludf.DUMMYFUNCTION("REGEXREPLACE(D245, ""https://odysia-cruise-uk.client.prod.eu-west.dreamlake.io"", """")"),"/cruise-lines/royal-caribbean/jewel-of-the-seas/cruises")</f>
        <v>/cruise-lines/royal-caribbean/jewel-of-the-seas/cruises</v>
      </c>
    </row>
    <row r="246">
      <c r="A246" s="182" t="s">
        <v>847</v>
      </c>
      <c r="B246" s="180" t="str">
        <f>IFERROR(__xludf.DUMMYFUNCTION("REGEXREPLACE(A246, ""&lt;loc&gt;"", """")"),"https://odysia-cruise-uk.client.prod.eu-west.dreamlake.io/cruise-deals/cruises-from-tilbury&lt;/loc&gt;")</f>
        <v>https://odysia-cruise-uk.client.prod.eu-west.dreamlake.io/cruise-deals/cruises-from-tilbury&lt;/loc&gt;</v>
      </c>
      <c r="C246" s="181" t="str">
        <f>IFERROR(__xludf.DUMMYFUNCTION("REGEXREPLACE(B246, ""&lt;/loc&gt;"", """")"),"https://odysia-cruise-uk.client.prod.eu-west.dreamlake.io/cruise-deals/cruises-from-tilbury")</f>
        <v>https://odysia-cruise-uk.client.prod.eu-west.dreamlake.io/cruise-deals/cruises-from-tilbury</v>
      </c>
      <c r="D246" s="180" t="s">
        <v>848</v>
      </c>
    </row>
    <row r="247">
      <c r="A247" s="182" t="s">
        <v>849</v>
      </c>
      <c r="B247" s="180" t="str">
        <f>IFERROR(__xludf.DUMMYFUNCTION("REGEXREPLACE(A247, ""&lt;loc&gt;"", """")"),"https://odysia-cruise-uk.client.prod.eu-west.dreamlake.io/cruise-lines/celebrity-cruises/celebrity-infinity&lt;/loc&gt;")</f>
        <v>https://odysia-cruise-uk.client.prod.eu-west.dreamlake.io/cruise-lines/celebrity-cruises/celebrity-infinity&lt;/loc&gt;</v>
      </c>
      <c r="C247" s="181" t="str">
        <f>IFERROR(__xludf.DUMMYFUNCTION("REGEXREPLACE(B247, ""&lt;/loc&gt;"", """")"),"https://odysia-cruise-uk.client.prod.eu-west.dreamlake.io/cruise-lines/celebrity-cruises/celebrity-infinity")</f>
        <v>https://odysia-cruise-uk.client.prod.eu-west.dreamlake.io/cruise-lines/celebrity-cruises/celebrity-infinity</v>
      </c>
      <c r="D247" s="180" t="s">
        <v>850</v>
      </c>
      <c r="E247" s="180" t="str">
        <f>IFERROR(__xludf.DUMMYFUNCTION("REGEXREPLACE(D247, ""https://odysia-cruise-uk.client.prod.eu-west.dreamlake.io"", """")"),"/cruise-lines/celebrity-cruises/celebrity-infinity")</f>
        <v>/cruise-lines/celebrity-cruises/celebrity-infinity</v>
      </c>
    </row>
    <row r="248">
      <c r="A248" s="182" t="s">
        <v>851</v>
      </c>
      <c r="B248" s="180" t="str">
        <f>IFERROR(__xludf.DUMMYFUNCTION("REGEXREPLACE(A248, ""&lt;loc&gt;"", """")"),"https://odysia-cruise-uk.client.prod.eu-west.dreamlake.io/cruise-lines/seabourn/seabourn-quest&lt;/loc&gt;")</f>
        <v>https://odysia-cruise-uk.client.prod.eu-west.dreamlake.io/cruise-lines/seabourn/seabourn-quest&lt;/loc&gt;</v>
      </c>
      <c r="C248" s="181" t="str">
        <f>IFERROR(__xludf.DUMMYFUNCTION("REGEXREPLACE(B248, ""&lt;/loc&gt;"", """")"),"https://odysia-cruise-uk.client.prod.eu-west.dreamlake.io/cruise-lines/seabourn/seabourn-quest")</f>
        <v>https://odysia-cruise-uk.client.prod.eu-west.dreamlake.io/cruise-lines/seabourn/seabourn-quest</v>
      </c>
      <c r="D248" s="180" t="s">
        <v>852</v>
      </c>
      <c r="E248" s="180" t="str">
        <f>IFERROR(__xludf.DUMMYFUNCTION("REGEXREPLACE(D248, ""https://odysia-cruise-uk.client.prod.eu-west.dreamlake.io"", """")"),"/cruise-lines/seabourn/seabourn-quest")</f>
        <v>/cruise-lines/seabourn/seabourn-quest</v>
      </c>
    </row>
    <row r="249">
      <c r="A249" s="182" t="s">
        <v>853</v>
      </c>
      <c r="B249" s="180" t="str">
        <f>IFERROR(__xludf.DUMMYFUNCTION("REGEXREPLACE(A249, ""&lt;loc&gt;"", """")"),"https://odysia-cruise-uk.client.prod.eu-west.dreamlake.io/cruise-lines/oceania-cruises/oceania-marina&lt;/loc&gt;")</f>
        <v>https://odysia-cruise-uk.client.prod.eu-west.dreamlake.io/cruise-lines/oceania-cruises/oceania-marina&lt;/loc&gt;</v>
      </c>
      <c r="C249" s="181" t="str">
        <f>IFERROR(__xludf.DUMMYFUNCTION("REGEXREPLACE(B249, ""&lt;/loc&gt;"", """")"),"https://odysia-cruise-uk.client.prod.eu-west.dreamlake.io/cruise-lines/oceania-cruises/oceania-marina")</f>
        <v>https://odysia-cruise-uk.client.prod.eu-west.dreamlake.io/cruise-lines/oceania-cruises/oceania-marina</v>
      </c>
      <c r="D249" s="180" t="s">
        <v>854</v>
      </c>
      <c r="E249" s="180" t="str">
        <f>IFERROR(__xludf.DUMMYFUNCTION("REGEXREPLACE(D249, ""https://odysia-cruise-uk.client.prod.eu-west.dreamlake.io"", """")"),"/cruise-lines/oceania-cruises/oceania-marina")</f>
        <v>/cruise-lines/oceania-cruises/oceania-marina</v>
      </c>
    </row>
    <row r="250">
      <c r="A250" s="182" t="s">
        <v>855</v>
      </c>
      <c r="B250" s="180" t="str">
        <f>IFERROR(__xludf.DUMMYFUNCTION("REGEXREPLACE(A250, ""&lt;loc&gt;"", """")"),"https://odysia-cruise-uk.client.prod.eu-west.dreamlake.io/cruise-lines/fred-olsen-cruises&lt;/loc&gt;")</f>
        <v>https://odysia-cruise-uk.client.prod.eu-west.dreamlake.io/cruise-lines/fred-olsen-cruises&lt;/loc&gt;</v>
      </c>
      <c r="C250" s="181" t="str">
        <f>IFERROR(__xludf.DUMMYFUNCTION("REGEXREPLACE(B250, ""&lt;/loc&gt;"", """")"),"https://odysia-cruise-uk.client.prod.eu-west.dreamlake.io/cruise-lines/fred-olsen-cruises")</f>
        <v>https://odysia-cruise-uk.client.prod.eu-west.dreamlake.io/cruise-lines/fred-olsen-cruises</v>
      </c>
      <c r="D250" s="180" t="s">
        <v>856</v>
      </c>
      <c r="E250" s="180" t="str">
        <f>IFERROR(__xludf.DUMMYFUNCTION("REGEXREPLACE(D250, ""https://odysia-cruise-uk.client.prod.eu-west.dreamlake.io"", """")"),"/cruise-lines/fred-olsen-cruises")</f>
        <v>/cruise-lines/fred-olsen-cruises</v>
      </c>
    </row>
    <row r="251">
      <c r="A251" s="182" t="s">
        <v>857</v>
      </c>
      <c r="B251" s="180" t="str">
        <f>IFERROR(__xludf.DUMMYFUNCTION("REGEXREPLACE(A251, ""&lt;loc&gt;"", """")"),"https://odysia-cruise-uk.client.prod.eu-west.dreamlake.io/cruise-lines/ambassador-cruise-line/cruises&lt;/loc&gt;")</f>
        <v>https://odysia-cruise-uk.client.prod.eu-west.dreamlake.io/cruise-lines/ambassador-cruise-line/cruises&lt;/loc&gt;</v>
      </c>
      <c r="C251" s="181" t="str">
        <f>IFERROR(__xludf.DUMMYFUNCTION("REGEXREPLACE(B251, ""&lt;/loc&gt;"", """")"),"https://odysia-cruise-uk.client.prod.eu-west.dreamlake.io/cruise-lines/ambassador-cruise-line/cruises")</f>
        <v>https://odysia-cruise-uk.client.prod.eu-west.dreamlake.io/cruise-lines/ambassador-cruise-line/cruises</v>
      </c>
      <c r="D251" s="180" t="s">
        <v>858</v>
      </c>
      <c r="E251" s="180" t="str">
        <f>IFERROR(__xludf.DUMMYFUNCTION("REGEXREPLACE(D251, ""https://odysia-cruise-uk.client.prod.eu-west.dreamlake.io"", """")"),"/cruise-lines/ambassador-cruise-line/cruises")</f>
        <v>/cruise-lines/ambassador-cruise-line/cruises</v>
      </c>
    </row>
    <row r="252">
      <c r="A252" s="182" t="s">
        <v>859</v>
      </c>
      <c r="B252" s="180" t="str">
        <f>IFERROR(__xludf.DUMMYFUNCTION("REGEXREPLACE(A252, ""&lt;loc&gt;"", """")"),"https://odysia-cruise-uk.client.prod.eu-west.dreamlake.io/cruise-lines/royal-caribbean/odyssey-of-the-seas/cruises&lt;/loc&gt;")</f>
        <v>https://odysia-cruise-uk.client.prod.eu-west.dreamlake.io/cruise-lines/royal-caribbean/odyssey-of-the-seas/cruises&lt;/loc&gt;</v>
      </c>
      <c r="C252" s="181" t="str">
        <f>IFERROR(__xludf.DUMMYFUNCTION("REGEXREPLACE(B252, ""&lt;/loc&gt;"", """")"),"https://odysia-cruise-uk.client.prod.eu-west.dreamlake.io/cruise-lines/royal-caribbean/odyssey-of-the-seas/cruises")</f>
        <v>https://odysia-cruise-uk.client.prod.eu-west.dreamlake.io/cruise-lines/royal-caribbean/odyssey-of-the-seas/cruises</v>
      </c>
      <c r="D252" s="180" t="s">
        <v>860</v>
      </c>
      <c r="E252" s="180" t="str">
        <f>IFERROR(__xludf.DUMMYFUNCTION("REGEXREPLACE(D252, ""https://odysia-cruise-uk.client.prod.eu-west.dreamlake.io"", """")"),"/cruise-lines/royal-caribbean/odyssey-of-the-seas/cruises")</f>
        <v>/cruise-lines/royal-caribbean/odyssey-of-the-seas/cruises</v>
      </c>
    </row>
    <row r="253">
      <c r="A253" s="182" t="s">
        <v>861</v>
      </c>
      <c r="B253" s="180" t="str">
        <f>IFERROR(__xludf.DUMMYFUNCTION("REGEXREPLACE(A253, ""&lt;loc&gt;"", """")"),"https://odysia-cruise-uk.client.prod.eu-west.dreamlake.io/cruise-lines/royal-caribbean&lt;/loc&gt;")</f>
        <v>https://odysia-cruise-uk.client.prod.eu-west.dreamlake.io/cruise-lines/royal-caribbean&lt;/loc&gt;</v>
      </c>
      <c r="C253" s="181" t="str">
        <f>IFERROR(__xludf.DUMMYFUNCTION("REGEXREPLACE(B253, ""&lt;/loc&gt;"", """")"),"https://odysia-cruise-uk.client.prod.eu-west.dreamlake.io/cruise-lines/royal-caribbean")</f>
        <v>https://odysia-cruise-uk.client.prod.eu-west.dreamlake.io/cruise-lines/royal-caribbean</v>
      </c>
      <c r="D253" s="180" t="s">
        <v>862</v>
      </c>
      <c r="E253" s="180" t="str">
        <f>IFERROR(__xludf.DUMMYFUNCTION("REGEXREPLACE(D253, ""https://odysia-cruise-uk.client.prod.eu-west.dreamlake.io"", """")"),"/cruise-lines/royal-caribbean")</f>
        <v>/cruise-lines/royal-caribbean</v>
      </c>
    </row>
    <row r="254">
      <c r="A254" s="182" t="s">
        <v>863</v>
      </c>
      <c r="B254" s="180" t="str">
        <f>IFERROR(__xludf.DUMMYFUNCTION("REGEXREPLACE(A254, ""&lt;loc&gt;"", """")"),"https://odysia-cruise-uk.client.prod.eu-west.dreamlake.io/destinations&lt;/loc&gt;")</f>
        <v>https://odysia-cruise-uk.client.prod.eu-west.dreamlake.io/destinations&lt;/loc&gt;</v>
      </c>
      <c r="C254" s="181" t="str">
        <f>IFERROR(__xludf.DUMMYFUNCTION("REGEXREPLACE(B254, ""&lt;/loc&gt;"", """")"),"https://odysia-cruise-uk.client.prod.eu-west.dreamlake.io/destinations")</f>
        <v>https://odysia-cruise-uk.client.prod.eu-west.dreamlake.io/destinations</v>
      </c>
    </row>
    <row r="255">
      <c r="A255" s="182" t="s">
        <v>864</v>
      </c>
      <c r="B255" s="180" t="str">
        <f>IFERROR(__xludf.DUMMYFUNCTION("REGEXREPLACE(A255, ""&lt;loc&gt;"", """")"),"https://odysia-cruise-uk.client.prod.eu-west.dreamlake.io/cruise-lines/royal-caribbean/brilliance-of-the-seas/cruises&lt;/loc&gt;")</f>
        <v>https://odysia-cruise-uk.client.prod.eu-west.dreamlake.io/cruise-lines/royal-caribbean/brilliance-of-the-seas/cruises&lt;/loc&gt;</v>
      </c>
      <c r="C255" s="181" t="str">
        <f>IFERROR(__xludf.DUMMYFUNCTION("REGEXREPLACE(B255, ""&lt;/loc&gt;"", """")"),"https://odysia-cruise-uk.client.prod.eu-west.dreamlake.io/cruise-lines/royal-caribbean/brilliance-of-the-seas/cruises")</f>
        <v>https://odysia-cruise-uk.client.prod.eu-west.dreamlake.io/cruise-lines/royal-caribbean/brilliance-of-the-seas/cruises</v>
      </c>
      <c r="D255" s="180" t="s">
        <v>865</v>
      </c>
      <c r="E255" s="180" t="str">
        <f>IFERROR(__xludf.DUMMYFUNCTION("REGEXREPLACE(D255, ""https://odysia-cruise-uk.client.prod.eu-west.dreamlake.io"", """")"),"/cruise-lines/royal-caribbean/brilliance-of-the-seas/cruises")</f>
        <v>/cruise-lines/royal-caribbean/brilliance-of-the-seas/cruises</v>
      </c>
    </row>
    <row r="256">
      <c r="A256" s="182" t="s">
        <v>866</v>
      </c>
      <c r="B256" s="180" t="str">
        <f>IFERROR(__xludf.DUMMYFUNCTION("REGEXREPLACE(A256, ""&lt;loc&gt;"", """")"),"https://odysia-cruise-uk.client.prod.eu-west.dreamlake.io/cruise-lines/fred-olsen-cruises/balmoral&lt;/loc&gt;")</f>
        <v>https://odysia-cruise-uk.client.prod.eu-west.dreamlake.io/cruise-lines/fred-olsen-cruises/balmoral&lt;/loc&gt;</v>
      </c>
      <c r="C256" s="181" t="str">
        <f>IFERROR(__xludf.DUMMYFUNCTION("REGEXREPLACE(B256, ""&lt;/loc&gt;"", """")"),"https://odysia-cruise-uk.client.prod.eu-west.dreamlake.io/cruise-lines/fred-olsen-cruises/balmoral")</f>
        <v>https://odysia-cruise-uk.client.prod.eu-west.dreamlake.io/cruise-lines/fred-olsen-cruises/balmoral</v>
      </c>
      <c r="D256" s="180" t="s">
        <v>867</v>
      </c>
      <c r="E256" s="180" t="str">
        <f>IFERROR(__xludf.DUMMYFUNCTION("REGEXREPLACE(D256, ""https://odysia-cruise-uk.client.prod.eu-west.dreamlake.io"", """")"),"/cruise-lines/fred-olsen-cruises/balmoral")</f>
        <v>/cruise-lines/fred-olsen-cruises/balmoral</v>
      </c>
    </row>
    <row r="257">
      <c r="A257" s="182" t="s">
        <v>868</v>
      </c>
      <c r="B257" s="180" t="str">
        <f>IFERROR(__xludf.DUMMYFUNCTION("REGEXREPLACE(A257, ""&lt;loc&gt;"", """")"),"https://odysia-cruise-uk.client.prod.eu-west.dreamlake.io/cruise-lines/seabourn&lt;/loc&gt;")</f>
        <v>https://odysia-cruise-uk.client.prod.eu-west.dreamlake.io/cruise-lines/seabourn&lt;/loc&gt;</v>
      </c>
      <c r="C257" s="181" t="str">
        <f>IFERROR(__xludf.DUMMYFUNCTION("REGEXREPLACE(B257, ""&lt;/loc&gt;"", """")"),"https://odysia-cruise-uk.client.prod.eu-west.dreamlake.io/cruise-lines/seabourn")</f>
        <v>https://odysia-cruise-uk.client.prod.eu-west.dreamlake.io/cruise-lines/seabourn</v>
      </c>
      <c r="D257" s="180" t="s">
        <v>869</v>
      </c>
      <c r="E257" s="180" t="str">
        <f>IFERROR(__xludf.DUMMYFUNCTION("REGEXREPLACE(D257, ""https://odysia-cruise-uk.client.prod.eu-west.dreamlake.io"", """")"),"/cruise-lines/seabourn")</f>
        <v>/cruise-lines/seabourn</v>
      </c>
    </row>
    <row r="258">
      <c r="A258" s="182" t="s">
        <v>870</v>
      </c>
      <c r="B258" s="180" t="str">
        <f>IFERROR(__xludf.DUMMYFUNCTION("REGEXREPLACE(A258, ""&lt;loc&gt;"", """")"),"https://odysia-cruise-uk.client.prod.eu-west.dreamlake.io/cruise-lines/ambassador-cruise-line/renaissance&lt;/loc&gt;")</f>
        <v>https://odysia-cruise-uk.client.prod.eu-west.dreamlake.io/cruise-lines/ambassador-cruise-line/renaissance&lt;/loc&gt;</v>
      </c>
      <c r="C258" s="181" t="str">
        <f>IFERROR(__xludf.DUMMYFUNCTION("REGEXREPLACE(B258, ""&lt;/loc&gt;"", """")"),"https://odysia-cruise-uk.client.prod.eu-west.dreamlake.io/cruise-lines/ambassador-cruise-line/renaissance")</f>
        <v>https://odysia-cruise-uk.client.prod.eu-west.dreamlake.io/cruise-lines/ambassador-cruise-line/renaissance</v>
      </c>
      <c r="D258" s="180" t="s">
        <v>871</v>
      </c>
      <c r="E258" s="180" t="str">
        <f>IFERROR(__xludf.DUMMYFUNCTION("REGEXREPLACE(D258, ""https://odysia-cruise-uk.client.prod.eu-west.dreamlake.io"", """")"),"/cruise-lines/ambassador-cruise-line/renaissance")</f>
        <v>/cruise-lines/ambassador-cruise-line/renaissance</v>
      </c>
    </row>
    <row r="259">
      <c r="A259" s="182" t="s">
        <v>872</v>
      </c>
      <c r="B259" s="180" t="str">
        <f>IFERROR(__xludf.DUMMYFUNCTION("REGEXREPLACE(A259, ""&lt;loc&gt;"", """")"),"https://odysia-cruise-uk.client.prod.eu-west.dreamlake.io/cruise-lines/princess-cruises/star-princess/cruises&lt;/loc&gt;")</f>
        <v>https://odysia-cruise-uk.client.prod.eu-west.dreamlake.io/cruise-lines/princess-cruises/star-princess/cruises&lt;/loc&gt;</v>
      </c>
      <c r="C259" s="181" t="str">
        <f>IFERROR(__xludf.DUMMYFUNCTION("REGEXREPLACE(B259, ""&lt;/loc&gt;"", """")"),"https://odysia-cruise-uk.client.prod.eu-west.dreamlake.io/cruise-lines/princess-cruises/star-princess/cruises")</f>
        <v>https://odysia-cruise-uk.client.prod.eu-west.dreamlake.io/cruise-lines/princess-cruises/star-princess/cruises</v>
      </c>
      <c r="D259" s="180" t="s">
        <v>873</v>
      </c>
      <c r="E259" s="180" t="str">
        <f>IFERROR(__xludf.DUMMYFUNCTION("REGEXREPLACE(D259, ""https://odysia-cruise-uk.client.prod.eu-west.dreamlake.io"", """")"),"/cruise-lines/princess-cruises/star-princess/cruises")</f>
        <v>/cruise-lines/princess-cruises/star-princess/cruises</v>
      </c>
    </row>
    <row r="260">
      <c r="A260" s="182" t="s">
        <v>874</v>
      </c>
      <c r="B260" s="180" t="str">
        <f>IFERROR(__xludf.DUMMYFUNCTION("REGEXREPLACE(A260, ""&lt;loc&gt;"", """")"),"https://odysia-cruise-uk.client.prod.eu-west.dreamlake.io/cruise-lines/seabourn/seabourn-ovation&lt;/loc&gt;")</f>
        <v>https://odysia-cruise-uk.client.prod.eu-west.dreamlake.io/cruise-lines/seabourn/seabourn-ovation&lt;/loc&gt;</v>
      </c>
      <c r="C260" s="181" t="str">
        <f>IFERROR(__xludf.DUMMYFUNCTION("REGEXREPLACE(B260, ""&lt;/loc&gt;"", """")"),"https://odysia-cruise-uk.client.prod.eu-west.dreamlake.io/cruise-lines/seabourn/seabourn-ovation")</f>
        <v>https://odysia-cruise-uk.client.prod.eu-west.dreamlake.io/cruise-lines/seabourn/seabourn-ovation</v>
      </c>
      <c r="D260" s="180" t="s">
        <v>875</v>
      </c>
      <c r="E260" s="180" t="str">
        <f>IFERROR(__xludf.DUMMYFUNCTION("REGEXREPLACE(D260, ""https://odysia-cruise-uk.client.prod.eu-west.dreamlake.io"", """")"),"/cruise-lines/seabourn/seabourn-ovation")</f>
        <v>/cruise-lines/seabourn/seabourn-ovation</v>
      </c>
    </row>
    <row r="261">
      <c r="A261" s="182" t="s">
        <v>876</v>
      </c>
      <c r="B261" s="180" t="str">
        <f>IFERROR(__xludf.DUMMYFUNCTION("REGEXREPLACE(A261, ""&lt;loc&gt;"", """")"),"https://odysia-cruise-uk.client.prod.eu-west.dreamlake.io/cruise-lines/po-cruises/aurora&lt;/loc&gt;")</f>
        <v>https://odysia-cruise-uk.client.prod.eu-west.dreamlake.io/cruise-lines/po-cruises/aurora&lt;/loc&gt;</v>
      </c>
      <c r="C261" s="181" t="str">
        <f>IFERROR(__xludf.DUMMYFUNCTION("REGEXREPLACE(B261, ""&lt;/loc&gt;"", """")"),"https://odysia-cruise-uk.client.prod.eu-west.dreamlake.io/cruise-lines/po-cruises/aurora")</f>
        <v>https://odysia-cruise-uk.client.prod.eu-west.dreamlake.io/cruise-lines/po-cruises/aurora</v>
      </c>
      <c r="D261" s="180" t="s">
        <v>877</v>
      </c>
      <c r="E261" s="180" t="str">
        <f>IFERROR(__xludf.DUMMYFUNCTION("REGEXREPLACE(D261, ""https://odysia-cruise-uk.client.prod.eu-west.dreamlake.io"", """")"),"/cruise-lines/po-cruises/aurora")</f>
        <v>/cruise-lines/po-cruises/aurora</v>
      </c>
    </row>
    <row r="262">
      <c r="A262" s="182" t="s">
        <v>878</v>
      </c>
      <c r="B262" s="180" t="str">
        <f>IFERROR(__xludf.DUMMYFUNCTION("REGEXREPLACE(A262, ""&lt;loc&gt;"", """")"),"https://odysia-cruise-uk.client.prod.eu-west.dreamlake.io/cruise-lines/royal-caribbean/mariner-of-the-seas&lt;/loc&gt;")</f>
        <v>https://odysia-cruise-uk.client.prod.eu-west.dreamlake.io/cruise-lines/royal-caribbean/mariner-of-the-seas&lt;/loc&gt;</v>
      </c>
      <c r="C262" s="181" t="str">
        <f>IFERROR(__xludf.DUMMYFUNCTION("REGEXREPLACE(B262, ""&lt;/loc&gt;"", """")"),"https://odysia-cruise-uk.client.prod.eu-west.dreamlake.io/cruise-lines/royal-caribbean/mariner-of-the-seas")</f>
        <v>https://odysia-cruise-uk.client.prod.eu-west.dreamlake.io/cruise-lines/royal-caribbean/mariner-of-the-seas</v>
      </c>
      <c r="D262" s="180" t="s">
        <v>879</v>
      </c>
      <c r="E262" s="180" t="str">
        <f>IFERROR(__xludf.DUMMYFUNCTION("REGEXREPLACE(D262, ""https://odysia-cruise-uk.client.prod.eu-west.dreamlake.io"", """")"),"/cruise-lines/royal-caribbean/mariner-of-the-seas")</f>
        <v>/cruise-lines/royal-caribbean/mariner-of-the-seas</v>
      </c>
    </row>
    <row r="263">
      <c r="A263" s="182" t="s">
        <v>880</v>
      </c>
      <c r="B263" s="180" t="str">
        <f>IFERROR(__xludf.DUMMYFUNCTION("REGEXREPLACE(A263, ""&lt;loc&gt;"", """")"),"https://odysia-cruise-uk.client.prod.eu-west.dreamlake.io/cruise-lines/norwegian-cruise-line/pride-of-america&lt;/loc&gt;")</f>
        <v>https://odysia-cruise-uk.client.prod.eu-west.dreamlake.io/cruise-lines/norwegian-cruise-line/pride-of-america&lt;/loc&gt;</v>
      </c>
      <c r="C263" s="181" t="str">
        <f>IFERROR(__xludf.DUMMYFUNCTION("REGEXREPLACE(B263, ""&lt;/loc&gt;"", """")"),"https://odysia-cruise-uk.client.prod.eu-west.dreamlake.io/cruise-lines/norwegian-cruise-line/pride-of-america")</f>
        <v>https://odysia-cruise-uk.client.prod.eu-west.dreamlake.io/cruise-lines/norwegian-cruise-line/pride-of-america</v>
      </c>
      <c r="D263" s="180" t="s">
        <v>881</v>
      </c>
      <c r="E263" s="180" t="str">
        <f>IFERROR(__xludf.DUMMYFUNCTION("REGEXREPLACE(D263, ""https://odysia-cruise-uk.client.prod.eu-west.dreamlake.io"", """")"),"/cruise-lines/norwegian-cruise-line/pride-of-america")</f>
        <v>/cruise-lines/norwegian-cruise-line/pride-of-america</v>
      </c>
    </row>
    <row r="264">
      <c r="A264" s="182" t="s">
        <v>882</v>
      </c>
      <c r="B264" s="180" t="str">
        <f>IFERROR(__xludf.DUMMYFUNCTION("REGEXREPLACE(A264, ""&lt;loc&gt;"", """")"),"https://odysia-cruise-uk.client.prod.eu-west.dreamlake.io/cruise-lines/celebrity-cruises/celebrity-ascent/cruises&lt;/loc&gt;")</f>
        <v>https://odysia-cruise-uk.client.prod.eu-west.dreamlake.io/cruise-lines/celebrity-cruises/celebrity-ascent/cruises&lt;/loc&gt;</v>
      </c>
      <c r="C264" s="181" t="str">
        <f>IFERROR(__xludf.DUMMYFUNCTION("REGEXREPLACE(B264, ""&lt;/loc&gt;"", """")"),"https://odysia-cruise-uk.client.prod.eu-west.dreamlake.io/cruise-lines/celebrity-cruises/celebrity-ascent/cruises")</f>
        <v>https://odysia-cruise-uk.client.prod.eu-west.dreamlake.io/cruise-lines/celebrity-cruises/celebrity-ascent/cruises</v>
      </c>
      <c r="D264" s="180" t="s">
        <v>883</v>
      </c>
      <c r="E264" s="180" t="str">
        <f>IFERROR(__xludf.DUMMYFUNCTION("REGEXREPLACE(D264, ""https://odysia-cruise-uk.client.prod.eu-west.dreamlake.io"", """")"),"/cruise-lines/celebrity-cruises/celebrity-ascent/cruises")</f>
        <v>/cruise-lines/celebrity-cruises/celebrity-ascent/cruises</v>
      </c>
    </row>
    <row r="265">
      <c r="A265" s="182" t="s">
        <v>884</v>
      </c>
      <c r="B265" s="180" t="str">
        <f>IFERROR(__xludf.DUMMYFUNCTION("REGEXREPLACE(A265, ""&lt;loc&gt;"", """")"),"https://odysia-cruise-uk.client.prod.eu-west.dreamlake.io/cruise-lines/msc-cruises/msc-preziosa&lt;/loc&gt;")</f>
        <v>https://odysia-cruise-uk.client.prod.eu-west.dreamlake.io/cruise-lines/msc-cruises/msc-preziosa&lt;/loc&gt;</v>
      </c>
      <c r="C265" s="181" t="str">
        <f>IFERROR(__xludf.DUMMYFUNCTION("REGEXREPLACE(B265, ""&lt;/loc&gt;"", """")"),"https://odysia-cruise-uk.client.prod.eu-west.dreamlake.io/cruise-lines/msc-cruises/msc-preziosa")</f>
        <v>https://odysia-cruise-uk.client.prod.eu-west.dreamlake.io/cruise-lines/msc-cruises/msc-preziosa</v>
      </c>
      <c r="D265" s="180" t="s">
        <v>885</v>
      </c>
      <c r="E265" s="180" t="str">
        <f>IFERROR(__xludf.DUMMYFUNCTION("REGEXREPLACE(D265, ""https://odysia-cruise-uk.client.prod.eu-west.dreamlake.io"", """")"),"/cruise-lines/msc-cruises/msc-preziosa")</f>
        <v>/cruise-lines/msc-cruises/msc-preziosa</v>
      </c>
    </row>
    <row r="266">
      <c r="A266" s="182" t="s">
        <v>886</v>
      </c>
      <c r="B266" s="180" t="str">
        <f>IFERROR(__xludf.DUMMYFUNCTION("REGEXREPLACE(A266, ""&lt;loc&gt;"", """")"),"https://odysia-cruise-uk.client.prod.eu-west.dreamlake.io/cruise-lines/holland-america-line/volendam/cruises&lt;/loc&gt;")</f>
        <v>https://odysia-cruise-uk.client.prod.eu-west.dreamlake.io/cruise-lines/holland-america-line/volendam/cruises&lt;/loc&gt;</v>
      </c>
      <c r="C266" s="181" t="str">
        <f>IFERROR(__xludf.DUMMYFUNCTION("REGEXREPLACE(B266, ""&lt;/loc&gt;"", """")"),"https://odysia-cruise-uk.client.prod.eu-west.dreamlake.io/cruise-lines/holland-america-line/volendam/cruises")</f>
        <v>https://odysia-cruise-uk.client.prod.eu-west.dreamlake.io/cruise-lines/holland-america-line/volendam/cruises</v>
      </c>
      <c r="D266" s="180" t="s">
        <v>887</v>
      </c>
      <c r="E266" s="180" t="str">
        <f>IFERROR(__xludf.DUMMYFUNCTION("REGEXREPLACE(D266, ""https://odysia-cruise-uk.client.prod.eu-west.dreamlake.io"", """")"),"/cruise-lines/holland-america-line/volendam/cruises")</f>
        <v>/cruise-lines/holland-america-line/volendam/cruises</v>
      </c>
    </row>
    <row r="267">
      <c r="A267" s="182" t="s">
        <v>888</v>
      </c>
      <c r="B267" s="180" t="str">
        <f>IFERROR(__xludf.DUMMYFUNCTION("REGEXREPLACE(A267, ""&lt;loc&gt;"", """")"),"https://odysia-cruise-uk.client.prod.eu-west.dreamlake.io/cruise-lines/virgin-voyages/resilient-lady/cruises&lt;/loc&gt;")</f>
        <v>https://odysia-cruise-uk.client.prod.eu-west.dreamlake.io/cruise-lines/virgin-voyages/resilient-lady/cruises&lt;/loc&gt;</v>
      </c>
      <c r="C267" s="181" t="str">
        <f>IFERROR(__xludf.DUMMYFUNCTION("REGEXREPLACE(B267, ""&lt;/loc&gt;"", """")"),"https://odysia-cruise-uk.client.prod.eu-west.dreamlake.io/cruise-lines/virgin-voyages/resilient-lady/cruises")</f>
        <v>https://odysia-cruise-uk.client.prod.eu-west.dreamlake.io/cruise-lines/virgin-voyages/resilient-lady/cruises</v>
      </c>
      <c r="D267" s="180" t="s">
        <v>889</v>
      </c>
      <c r="E267" s="180" t="str">
        <f>IFERROR(__xludf.DUMMYFUNCTION("REGEXREPLACE(D267, ""https://odysia-cruise-uk.client.prod.eu-west.dreamlake.io"", """")"),"/cruise-lines/virgin-voyages/resilient-lady/cruises")</f>
        <v>/cruise-lines/virgin-voyages/resilient-lady/cruises</v>
      </c>
    </row>
    <row r="268">
      <c r="A268" s="182" t="s">
        <v>890</v>
      </c>
      <c r="B268" s="180" t="str">
        <f>IFERROR(__xludf.DUMMYFUNCTION("REGEXREPLACE(A268, ""&lt;loc&gt;"", """")"),"https://odysia-cruise-uk.client.prod.eu-west.dreamlake.io/cruise-lines/msc-cruises/msc-musica/cruises&lt;/loc&gt;")</f>
        <v>https://odysia-cruise-uk.client.prod.eu-west.dreamlake.io/cruise-lines/msc-cruises/msc-musica/cruises&lt;/loc&gt;</v>
      </c>
      <c r="C268" s="181" t="str">
        <f>IFERROR(__xludf.DUMMYFUNCTION("REGEXREPLACE(B268, ""&lt;/loc&gt;"", """")"),"https://odysia-cruise-uk.client.prod.eu-west.dreamlake.io/cruise-lines/msc-cruises/msc-musica/cruises")</f>
        <v>https://odysia-cruise-uk.client.prod.eu-west.dreamlake.io/cruise-lines/msc-cruises/msc-musica/cruises</v>
      </c>
      <c r="D268" s="180" t="s">
        <v>891</v>
      </c>
      <c r="E268" s="180" t="str">
        <f>IFERROR(__xludf.DUMMYFUNCTION("REGEXREPLACE(D268, ""https://odysia-cruise-uk.client.prod.eu-west.dreamlake.io"", """")"),"/cruise-lines/msc-cruises/msc-musica/cruises")</f>
        <v>/cruise-lines/msc-cruises/msc-musica/cruises</v>
      </c>
    </row>
    <row r="269">
      <c r="A269" s="182" t="s">
        <v>892</v>
      </c>
      <c r="B269" s="180" t="str">
        <f>IFERROR(__xludf.DUMMYFUNCTION("REGEXREPLACE(A269, ""&lt;loc&gt;"", """")"),"https://odysia-cruise-uk.client.prod.eu-west.dreamlake.io/cruise-lines/norwegian-cruise-line&lt;/loc&gt;")</f>
        <v>https://odysia-cruise-uk.client.prod.eu-west.dreamlake.io/cruise-lines/norwegian-cruise-line&lt;/loc&gt;</v>
      </c>
      <c r="C269" s="181" t="str">
        <f>IFERROR(__xludf.DUMMYFUNCTION("REGEXREPLACE(B269, ""&lt;/loc&gt;"", """")"),"https://odysia-cruise-uk.client.prod.eu-west.dreamlake.io/cruise-lines/norwegian-cruise-line")</f>
        <v>https://odysia-cruise-uk.client.prod.eu-west.dreamlake.io/cruise-lines/norwegian-cruise-line</v>
      </c>
      <c r="D269" s="180" t="s">
        <v>893</v>
      </c>
      <c r="E269" s="180" t="str">
        <f>IFERROR(__xludf.DUMMYFUNCTION("REGEXREPLACE(D269, ""https://odysia-cruise-uk.client.prod.eu-west.dreamlake.io"", """")"),"/cruise-lines/norwegian-cruise-line")</f>
        <v>/cruise-lines/norwegian-cruise-line</v>
      </c>
    </row>
    <row r="270">
      <c r="A270" s="182" t="s">
        <v>894</v>
      </c>
      <c r="B270" s="180" t="str">
        <f>IFERROR(__xludf.DUMMYFUNCTION("REGEXREPLACE(A270, ""&lt;loc&gt;"", """")"),"https://odysia-cruise-uk.client.prod.eu-west.dreamlake.io/cruise-deals/cruises-from-dover&lt;/loc&gt;")</f>
        <v>https://odysia-cruise-uk.client.prod.eu-west.dreamlake.io/cruise-deals/cruises-from-dover&lt;/loc&gt;</v>
      </c>
      <c r="C270" s="181" t="str">
        <f>IFERROR(__xludf.DUMMYFUNCTION("REGEXREPLACE(B270, ""&lt;/loc&gt;"", """")"),"https://odysia-cruise-uk.client.prod.eu-west.dreamlake.io/cruise-deals/cruises-from-dover")</f>
        <v>https://odysia-cruise-uk.client.prod.eu-west.dreamlake.io/cruise-deals/cruises-from-dover</v>
      </c>
      <c r="D270" s="180" t="s">
        <v>895</v>
      </c>
    </row>
    <row r="271">
      <c r="A271" s="182" t="s">
        <v>896</v>
      </c>
      <c r="B271" s="180" t="str">
        <f>IFERROR(__xludf.DUMMYFUNCTION("REGEXREPLACE(A271, ""&lt;loc&gt;"", """")"),"https://odysia-cruise-uk.client.prod.eu-west.dreamlake.io/cruise-lines/ambassador-cruise-line/ambience&lt;/loc&gt;")</f>
        <v>https://odysia-cruise-uk.client.prod.eu-west.dreamlake.io/cruise-lines/ambassador-cruise-line/ambience&lt;/loc&gt;</v>
      </c>
      <c r="C271" s="181" t="str">
        <f>IFERROR(__xludf.DUMMYFUNCTION("REGEXREPLACE(B271, ""&lt;/loc&gt;"", """")"),"https://odysia-cruise-uk.client.prod.eu-west.dreamlake.io/cruise-lines/ambassador-cruise-line/ambience")</f>
        <v>https://odysia-cruise-uk.client.prod.eu-west.dreamlake.io/cruise-lines/ambassador-cruise-line/ambience</v>
      </c>
      <c r="D271" s="180" t="s">
        <v>897</v>
      </c>
      <c r="E271" s="180" t="str">
        <f>IFERROR(__xludf.DUMMYFUNCTION("REGEXREPLACE(D271, ""https://odysia-cruise-uk.client.prod.eu-west.dreamlake.io"", """")"),"/cruise-lines/ambassador-cruise-line/ambience")</f>
        <v>/cruise-lines/ambassador-cruise-line/ambience</v>
      </c>
    </row>
    <row r="272">
      <c r="A272" s="182" t="s">
        <v>898</v>
      </c>
      <c r="B272" s="180" t="str">
        <f>IFERROR(__xludf.DUMMYFUNCTION("REGEXREPLACE(A272, ""&lt;loc&gt;"", """")"),"https://odysia-cruise-uk.client.prod.eu-west.dreamlake.io/cruise-lines/royal-caribbean/freedom-of-the-seas/cruises&lt;/loc&gt;")</f>
        <v>https://odysia-cruise-uk.client.prod.eu-west.dreamlake.io/cruise-lines/royal-caribbean/freedom-of-the-seas/cruises&lt;/loc&gt;</v>
      </c>
      <c r="C272" s="181" t="str">
        <f>IFERROR(__xludf.DUMMYFUNCTION("REGEXREPLACE(B272, ""&lt;/loc&gt;"", """")"),"https://odysia-cruise-uk.client.prod.eu-west.dreamlake.io/cruise-lines/royal-caribbean/freedom-of-the-seas/cruises")</f>
        <v>https://odysia-cruise-uk.client.prod.eu-west.dreamlake.io/cruise-lines/royal-caribbean/freedom-of-the-seas/cruises</v>
      </c>
      <c r="D272" s="180" t="s">
        <v>899</v>
      </c>
      <c r="E272" s="180" t="str">
        <f>IFERROR(__xludf.DUMMYFUNCTION("REGEXREPLACE(D272, ""https://odysia-cruise-uk.client.prod.eu-west.dreamlake.io"", """")"),"/cruise-lines/royal-caribbean/freedom-of-the-seas/cruises")</f>
        <v>/cruise-lines/royal-caribbean/freedom-of-the-seas/cruises</v>
      </c>
    </row>
    <row r="273">
      <c r="A273" s="182" t="s">
        <v>900</v>
      </c>
      <c r="B273" s="180" t="str">
        <f>IFERROR(__xludf.DUMMYFUNCTION("REGEXREPLACE(A273, ""&lt;loc&gt;"", """")"),"https://odysia-cruise-uk.client.prod.eu-west.dreamlake.io/cruise-lines/explora-journeys/explora-iii&lt;/loc&gt;")</f>
        <v>https://odysia-cruise-uk.client.prod.eu-west.dreamlake.io/cruise-lines/explora-journeys/explora-iii&lt;/loc&gt;</v>
      </c>
      <c r="C273" s="181" t="str">
        <f>IFERROR(__xludf.DUMMYFUNCTION("REGEXREPLACE(B273, ""&lt;/loc&gt;"", """")"),"https://odysia-cruise-uk.client.prod.eu-west.dreamlake.io/cruise-lines/explora-journeys/explora-iii")</f>
        <v>https://odysia-cruise-uk.client.prod.eu-west.dreamlake.io/cruise-lines/explora-journeys/explora-iii</v>
      </c>
      <c r="D273" s="180" t="s">
        <v>901</v>
      </c>
      <c r="E273" s="180" t="str">
        <f>IFERROR(__xludf.DUMMYFUNCTION("REGEXREPLACE(D273, ""https://odysia-cruise-uk.client.prod.eu-west.dreamlake.io"", """")"),"/cruise-lines/explora-journeys/explora-iii")</f>
        <v>/cruise-lines/explora-journeys/explora-iii</v>
      </c>
    </row>
    <row r="274">
      <c r="A274" s="182" t="s">
        <v>902</v>
      </c>
      <c r="B274" s="180" t="str">
        <f>IFERROR(__xludf.DUMMYFUNCTION("REGEXREPLACE(A274, ""&lt;loc&gt;"", """")"),"https://odysia-cruise-uk.client.prod.eu-west.dreamlake.io/cruise-lines/princess-cruises/sapphire-princess/cruises&lt;/loc&gt;")</f>
        <v>https://odysia-cruise-uk.client.prod.eu-west.dreamlake.io/cruise-lines/princess-cruises/sapphire-princess/cruises&lt;/loc&gt;</v>
      </c>
      <c r="C274" s="181" t="str">
        <f>IFERROR(__xludf.DUMMYFUNCTION("REGEXREPLACE(B274, ""&lt;/loc&gt;"", """")"),"https://odysia-cruise-uk.client.prod.eu-west.dreamlake.io/cruise-lines/princess-cruises/sapphire-princess/cruises")</f>
        <v>https://odysia-cruise-uk.client.prod.eu-west.dreamlake.io/cruise-lines/princess-cruises/sapphire-princess/cruises</v>
      </c>
      <c r="D274" s="180" t="s">
        <v>903</v>
      </c>
      <c r="E274" s="180" t="str">
        <f>IFERROR(__xludf.DUMMYFUNCTION("REGEXREPLACE(D274, ""https://odysia-cruise-uk.client.prod.eu-west.dreamlake.io"", """")"),"/cruise-lines/princess-cruises/sapphire-princess/cruises")</f>
        <v>/cruise-lines/princess-cruises/sapphire-princess/cruises</v>
      </c>
    </row>
    <row r="275">
      <c r="A275" s="182" t="s">
        <v>904</v>
      </c>
      <c r="B275" s="180" t="str">
        <f>IFERROR(__xludf.DUMMYFUNCTION("REGEXREPLACE(A275, ""&lt;loc&gt;"", """")"),"https://odysia-cruise-uk.client.prod.eu-west.dreamlake.io/cruise-lines/costa-cruises/costa-pacifica/cruises&lt;/loc&gt;")</f>
        <v>https://odysia-cruise-uk.client.prod.eu-west.dreamlake.io/cruise-lines/costa-cruises/costa-pacifica/cruises&lt;/loc&gt;</v>
      </c>
      <c r="C275" s="181" t="str">
        <f>IFERROR(__xludf.DUMMYFUNCTION("REGEXREPLACE(B275, ""&lt;/loc&gt;"", """")"),"https://odysia-cruise-uk.client.prod.eu-west.dreamlake.io/cruise-lines/costa-cruises/costa-pacifica/cruises")</f>
        <v>https://odysia-cruise-uk.client.prod.eu-west.dreamlake.io/cruise-lines/costa-cruises/costa-pacifica/cruises</v>
      </c>
      <c r="D275" s="180" t="s">
        <v>905</v>
      </c>
      <c r="E275" s="180" t="str">
        <f>IFERROR(__xludf.DUMMYFUNCTION("REGEXREPLACE(D275, ""https://odysia-cruise-uk.client.prod.eu-west.dreamlake.io"", """")"),"/cruise-lines/costa-cruises/costa-pacifica/cruises")</f>
        <v>/cruise-lines/costa-cruises/costa-pacifica/cruises</v>
      </c>
    </row>
    <row r="276">
      <c r="A276" s="182" t="s">
        <v>906</v>
      </c>
      <c r="B276" s="180" t="str">
        <f>IFERROR(__xludf.DUMMYFUNCTION("REGEXREPLACE(A276, ""&lt;loc&gt;"", """")"),"https://odysia-cruise-uk.client.prod.eu-west.dreamlake.io/cruise-lines/costa-cruises/costa-fascinosa&lt;/loc&gt;")</f>
        <v>https://odysia-cruise-uk.client.prod.eu-west.dreamlake.io/cruise-lines/costa-cruises/costa-fascinosa&lt;/loc&gt;</v>
      </c>
      <c r="C276" s="181" t="str">
        <f>IFERROR(__xludf.DUMMYFUNCTION("REGEXREPLACE(B276, ""&lt;/loc&gt;"", """")"),"https://odysia-cruise-uk.client.prod.eu-west.dreamlake.io/cruise-lines/costa-cruises/costa-fascinosa")</f>
        <v>https://odysia-cruise-uk.client.prod.eu-west.dreamlake.io/cruise-lines/costa-cruises/costa-fascinosa</v>
      </c>
      <c r="D276" s="180" t="s">
        <v>907</v>
      </c>
      <c r="E276" s="180" t="str">
        <f>IFERROR(__xludf.DUMMYFUNCTION("REGEXREPLACE(D276, ""https://odysia-cruise-uk.client.prod.eu-west.dreamlake.io"", """")"),"/cruise-lines/costa-cruises/costa-fascinosa")</f>
        <v>/cruise-lines/costa-cruises/costa-fascinosa</v>
      </c>
    </row>
    <row r="277">
      <c r="A277" s="182" t="s">
        <v>908</v>
      </c>
      <c r="B277" s="180" t="str">
        <f>IFERROR(__xludf.DUMMYFUNCTION("REGEXREPLACE(A277, ""&lt;loc&gt;"", """")"),"https://odysia-cruise-uk.client.prod.eu-west.dreamlake.io/cruise-lines/celebrity-cruises/celebrity-solstice/cruises&lt;/loc&gt;")</f>
        <v>https://odysia-cruise-uk.client.prod.eu-west.dreamlake.io/cruise-lines/celebrity-cruises/celebrity-solstice/cruises&lt;/loc&gt;</v>
      </c>
      <c r="C277" s="181" t="str">
        <f>IFERROR(__xludf.DUMMYFUNCTION("REGEXREPLACE(B277, ""&lt;/loc&gt;"", """")"),"https://odysia-cruise-uk.client.prod.eu-west.dreamlake.io/cruise-lines/celebrity-cruises/celebrity-solstice/cruises")</f>
        <v>https://odysia-cruise-uk.client.prod.eu-west.dreamlake.io/cruise-lines/celebrity-cruises/celebrity-solstice/cruises</v>
      </c>
      <c r="D277" s="180" t="s">
        <v>909</v>
      </c>
      <c r="E277" s="180" t="str">
        <f>IFERROR(__xludf.DUMMYFUNCTION("REGEXREPLACE(D277, ""https://odysia-cruise-uk.client.prod.eu-west.dreamlake.io"", """")"),"/cruise-lines/celebrity-cruises/celebrity-solstice/cruises")</f>
        <v>/cruise-lines/celebrity-cruises/celebrity-solstice/cruises</v>
      </c>
    </row>
    <row r="278">
      <c r="A278" s="182" t="s">
        <v>910</v>
      </c>
      <c r="B278" s="180" t="str">
        <f>IFERROR(__xludf.DUMMYFUNCTION("REGEXREPLACE(A278, ""&lt;loc&gt;"", """")"),"https://odysia-cruise-uk.client.prod.eu-west.dreamlake.io/cruise-lines/princess-cruises/diamond-princess&lt;/loc&gt;")</f>
        <v>https://odysia-cruise-uk.client.prod.eu-west.dreamlake.io/cruise-lines/princess-cruises/diamond-princess&lt;/loc&gt;</v>
      </c>
      <c r="C278" s="181" t="str">
        <f>IFERROR(__xludf.DUMMYFUNCTION("REGEXREPLACE(B278, ""&lt;/loc&gt;"", """")"),"https://odysia-cruise-uk.client.prod.eu-west.dreamlake.io/cruise-lines/princess-cruises/diamond-princess")</f>
        <v>https://odysia-cruise-uk.client.prod.eu-west.dreamlake.io/cruise-lines/princess-cruises/diamond-princess</v>
      </c>
      <c r="D278" s="180" t="s">
        <v>911</v>
      </c>
      <c r="E278" s="180" t="str">
        <f>IFERROR(__xludf.DUMMYFUNCTION("REGEXREPLACE(D278, ""https://odysia-cruise-uk.client.prod.eu-west.dreamlake.io"", """")"),"/cruise-lines/princess-cruises/diamond-princess")</f>
        <v>/cruise-lines/princess-cruises/diamond-princess</v>
      </c>
    </row>
    <row r="279">
      <c r="A279" s="182" t="s">
        <v>912</v>
      </c>
      <c r="B279" s="180" t="str">
        <f>IFERROR(__xludf.DUMMYFUNCTION("REGEXREPLACE(A279, ""&lt;loc&gt;"", """")"),"https://odysia-cruise-uk.client.prod.eu-west.dreamlake.io/cruise-lines/norwegian-cruise-line/norwegian-jade&lt;/loc&gt;")</f>
        <v>https://odysia-cruise-uk.client.prod.eu-west.dreamlake.io/cruise-lines/norwegian-cruise-line/norwegian-jade&lt;/loc&gt;</v>
      </c>
      <c r="C279" s="181" t="str">
        <f>IFERROR(__xludf.DUMMYFUNCTION("REGEXREPLACE(B279, ""&lt;/loc&gt;"", """")"),"https://odysia-cruise-uk.client.prod.eu-west.dreamlake.io/cruise-lines/norwegian-cruise-line/norwegian-jade")</f>
        <v>https://odysia-cruise-uk.client.prod.eu-west.dreamlake.io/cruise-lines/norwegian-cruise-line/norwegian-jade</v>
      </c>
      <c r="D279" s="180" t="s">
        <v>913</v>
      </c>
      <c r="E279" s="180" t="str">
        <f>IFERROR(__xludf.DUMMYFUNCTION("REGEXREPLACE(D279, ""https://odysia-cruise-uk.client.prod.eu-west.dreamlake.io"", """")"),"/cruise-lines/norwegian-cruise-line/norwegian-jade")</f>
        <v>/cruise-lines/norwegian-cruise-line/norwegian-jade</v>
      </c>
    </row>
    <row r="280">
      <c r="A280" s="182" t="s">
        <v>914</v>
      </c>
      <c r="B280" s="180" t="str">
        <f>IFERROR(__xludf.DUMMYFUNCTION("REGEXREPLACE(A280, ""&lt;loc&gt;"", """")"),"https://odysia-cruise-uk.client.prod.eu-west.dreamlake.io/cruise-lines/explora-journeys&lt;/loc&gt;")</f>
        <v>https://odysia-cruise-uk.client.prod.eu-west.dreamlake.io/cruise-lines/explora-journeys&lt;/loc&gt;</v>
      </c>
      <c r="C280" s="181" t="str">
        <f>IFERROR(__xludf.DUMMYFUNCTION("REGEXREPLACE(B280, ""&lt;/loc&gt;"", """")"),"https://odysia-cruise-uk.client.prod.eu-west.dreamlake.io/cruise-lines/explora-journeys")</f>
        <v>https://odysia-cruise-uk.client.prod.eu-west.dreamlake.io/cruise-lines/explora-journeys</v>
      </c>
      <c r="D280" s="180" t="s">
        <v>915</v>
      </c>
      <c r="E280" s="180" t="str">
        <f>IFERROR(__xludf.DUMMYFUNCTION("REGEXREPLACE(D280, ""https://odysia-cruise-uk.client.prod.eu-west.dreamlake.io"", """")"),"/cruise-lines/explora-journeys")</f>
        <v>/cruise-lines/explora-journeys</v>
      </c>
    </row>
    <row r="281">
      <c r="A281" s="182" t="s">
        <v>916</v>
      </c>
      <c r="B281" s="180" t="str">
        <f>IFERROR(__xludf.DUMMYFUNCTION("REGEXREPLACE(A281, ""&lt;loc&gt;"", """")"),"https://odysia-cruise-uk.client.prod.eu-west.dreamlake.io/cruise-lines/royal-caribbean/wonder-of-the-seas/cruises&lt;/loc&gt;")</f>
        <v>https://odysia-cruise-uk.client.prod.eu-west.dreamlake.io/cruise-lines/royal-caribbean/wonder-of-the-seas/cruises&lt;/loc&gt;</v>
      </c>
      <c r="C281" s="181" t="str">
        <f>IFERROR(__xludf.DUMMYFUNCTION("REGEXREPLACE(B281, ""&lt;/loc&gt;"", """")"),"https://odysia-cruise-uk.client.prod.eu-west.dreamlake.io/cruise-lines/royal-caribbean/wonder-of-the-seas/cruises")</f>
        <v>https://odysia-cruise-uk.client.prod.eu-west.dreamlake.io/cruise-lines/royal-caribbean/wonder-of-the-seas/cruises</v>
      </c>
      <c r="D281" s="180" t="s">
        <v>917</v>
      </c>
      <c r="E281" s="180" t="str">
        <f>IFERROR(__xludf.DUMMYFUNCTION("REGEXREPLACE(D281, ""https://odysia-cruise-uk.client.prod.eu-west.dreamlake.io"", """")"),"/cruise-lines/royal-caribbean/wonder-of-the-seas/cruises")</f>
        <v>/cruise-lines/royal-caribbean/wonder-of-the-seas/cruises</v>
      </c>
    </row>
    <row r="282">
      <c r="A282" s="182" t="s">
        <v>918</v>
      </c>
      <c r="B282" s="180" t="str">
        <f>IFERROR(__xludf.DUMMYFUNCTION("REGEXREPLACE(A282, ""&lt;loc&gt;"", """")"),"https://odysia-cruise-uk.client.prod.eu-west.dreamlake.io/cruise-lines/costa-cruises/costa-fortuna/cruises&lt;/loc&gt;")</f>
        <v>https://odysia-cruise-uk.client.prod.eu-west.dreamlake.io/cruise-lines/costa-cruises/costa-fortuna/cruises&lt;/loc&gt;</v>
      </c>
      <c r="C282" s="181" t="str">
        <f>IFERROR(__xludf.DUMMYFUNCTION("REGEXREPLACE(B282, ""&lt;/loc&gt;"", """")"),"https://odysia-cruise-uk.client.prod.eu-west.dreamlake.io/cruise-lines/costa-cruises/costa-fortuna/cruises")</f>
        <v>https://odysia-cruise-uk.client.prod.eu-west.dreamlake.io/cruise-lines/costa-cruises/costa-fortuna/cruises</v>
      </c>
      <c r="D282" s="180" t="s">
        <v>919</v>
      </c>
      <c r="E282" s="180" t="str">
        <f>IFERROR(__xludf.DUMMYFUNCTION("REGEXREPLACE(D282, ""https://odysia-cruise-uk.client.prod.eu-west.dreamlake.io"", """")"),"/cruise-lines/costa-cruises/costa-fortuna/cruises")</f>
        <v>/cruise-lines/costa-cruises/costa-fortuna/cruises</v>
      </c>
    </row>
    <row r="283">
      <c r="A283" s="182" t="s">
        <v>920</v>
      </c>
      <c r="B283" s="180" t="str">
        <f>IFERROR(__xludf.DUMMYFUNCTION("REGEXREPLACE(A283, ""&lt;loc&gt;"", """")"),"https://odysia-cruise-uk.client.prod.eu-west.dreamlake.io/cruise-lines/virgin-voyages/brilliant-lady/cruises&lt;/loc&gt;")</f>
        <v>https://odysia-cruise-uk.client.prod.eu-west.dreamlake.io/cruise-lines/virgin-voyages/brilliant-lady/cruises&lt;/loc&gt;</v>
      </c>
      <c r="C283" s="181" t="str">
        <f>IFERROR(__xludf.DUMMYFUNCTION("REGEXREPLACE(B283, ""&lt;/loc&gt;"", """")"),"https://odysia-cruise-uk.client.prod.eu-west.dreamlake.io/cruise-lines/virgin-voyages/brilliant-lady/cruises")</f>
        <v>https://odysia-cruise-uk.client.prod.eu-west.dreamlake.io/cruise-lines/virgin-voyages/brilliant-lady/cruises</v>
      </c>
      <c r="D283" s="180" t="s">
        <v>921</v>
      </c>
      <c r="E283" s="180" t="str">
        <f>IFERROR(__xludf.DUMMYFUNCTION("REGEXREPLACE(D283, ""https://odysia-cruise-uk.client.prod.eu-west.dreamlake.io"", """")"),"/cruise-lines/virgin-voyages/brilliant-lady/cruises")</f>
        <v>/cruise-lines/virgin-voyages/brilliant-lady/cruises</v>
      </c>
    </row>
    <row r="284">
      <c r="A284" s="182" t="s">
        <v>922</v>
      </c>
      <c r="B284" s="180" t="str">
        <f>IFERROR(__xludf.DUMMYFUNCTION("REGEXREPLACE(A284, ""&lt;loc&gt;"", """")"),"https://odysia-cruise-uk.client.prod.eu-west.dreamlake.io/cruise-lines/celebrity-cruises/celebrity-solstice&lt;/loc&gt;")</f>
        <v>https://odysia-cruise-uk.client.prod.eu-west.dreamlake.io/cruise-lines/celebrity-cruises/celebrity-solstice&lt;/loc&gt;</v>
      </c>
      <c r="C284" s="181" t="str">
        <f>IFERROR(__xludf.DUMMYFUNCTION("REGEXREPLACE(B284, ""&lt;/loc&gt;"", """")"),"https://odysia-cruise-uk.client.prod.eu-west.dreamlake.io/cruise-lines/celebrity-cruises/celebrity-solstice")</f>
        <v>https://odysia-cruise-uk.client.prod.eu-west.dreamlake.io/cruise-lines/celebrity-cruises/celebrity-solstice</v>
      </c>
      <c r="D284" s="180" t="s">
        <v>923</v>
      </c>
      <c r="E284" s="180" t="str">
        <f>IFERROR(__xludf.DUMMYFUNCTION("REGEXREPLACE(D284, ""https://odysia-cruise-uk.client.prod.eu-west.dreamlake.io"", """")"),"/cruise-lines/celebrity-cruises/celebrity-solstice")</f>
        <v>/cruise-lines/celebrity-cruises/celebrity-solstice</v>
      </c>
    </row>
    <row r="285">
      <c r="A285" s="182" t="s">
        <v>924</v>
      </c>
      <c r="B285" s="180" t="str">
        <f>IFERROR(__xludf.DUMMYFUNCTION("REGEXREPLACE(A285, ""&lt;loc&gt;"", """")"),"https://odysia-cruise-uk.client.prod.eu-west.dreamlake.io/cruise-lines/princess-cruises/sky-princess/cruises&lt;/loc&gt;")</f>
        <v>https://odysia-cruise-uk.client.prod.eu-west.dreamlake.io/cruise-lines/princess-cruises/sky-princess/cruises&lt;/loc&gt;</v>
      </c>
      <c r="C285" s="181" t="str">
        <f>IFERROR(__xludf.DUMMYFUNCTION("REGEXREPLACE(B285, ""&lt;/loc&gt;"", """")"),"https://odysia-cruise-uk.client.prod.eu-west.dreamlake.io/cruise-lines/princess-cruises/sky-princess/cruises")</f>
        <v>https://odysia-cruise-uk.client.prod.eu-west.dreamlake.io/cruise-lines/princess-cruises/sky-princess/cruises</v>
      </c>
      <c r="D285" s="180" t="s">
        <v>925</v>
      </c>
      <c r="E285" s="180" t="str">
        <f>IFERROR(__xludf.DUMMYFUNCTION("REGEXREPLACE(D285, ""https://odysia-cruise-uk.client.prod.eu-west.dreamlake.io"", """")"),"/cruise-lines/princess-cruises/sky-princess/cruises")</f>
        <v>/cruise-lines/princess-cruises/sky-princess/cruises</v>
      </c>
    </row>
    <row r="286">
      <c r="A286" s="182" t="s">
        <v>926</v>
      </c>
      <c r="B286" s="180" t="str">
        <f>IFERROR(__xludf.DUMMYFUNCTION("REGEXREPLACE(A286, ""&lt;loc&gt;"", """")"),"https://odysia-cruise-uk.client.prod.eu-west.dreamlake.io/cruise-lines/princess-cruises/grand-princess&lt;/loc&gt;")</f>
        <v>https://odysia-cruise-uk.client.prod.eu-west.dreamlake.io/cruise-lines/princess-cruises/grand-princess&lt;/loc&gt;</v>
      </c>
      <c r="C286" s="181" t="str">
        <f>IFERROR(__xludf.DUMMYFUNCTION("REGEXREPLACE(B286, ""&lt;/loc&gt;"", """")"),"https://odysia-cruise-uk.client.prod.eu-west.dreamlake.io/cruise-lines/princess-cruises/grand-princess")</f>
        <v>https://odysia-cruise-uk.client.prod.eu-west.dreamlake.io/cruise-lines/princess-cruises/grand-princess</v>
      </c>
      <c r="D286" s="180" t="s">
        <v>927</v>
      </c>
      <c r="E286" s="180" t="str">
        <f>IFERROR(__xludf.DUMMYFUNCTION("REGEXREPLACE(D286, ""https://odysia-cruise-uk.client.prod.eu-west.dreamlake.io"", """")"),"/cruise-lines/princess-cruises/grand-princess")</f>
        <v>/cruise-lines/princess-cruises/grand-princess</v>
      </c>
    </row>
    <row r="287">
      <c r="A287" s="182" t="s">
        <v>928</v>
      </c>
      <c r="B287" s="180" t="str">
        <f>IFERROR(__xludf.DUMMYFUNCTION("REGEXREPLACE(A287, ""&lt;loc&gt;"", """")"),"https://odysia-cruise-uk.client.prod.eu-west.dreamlake.io/cruise-lines/costa-cruises/costa-deliziosa&lt;/loc&gt;")</f>
        <v>https://odysia-cruise-uk.client.prod.eu-west.dreamlake.io/cruise-lines/costa-cruises/costa-deliziosa&lt;/loc&gt;</v>
      </c>
      <c r="C287" s="181" t="str">
        <f>IFERROR(__xludf.DUMMYFUNCTION("REGEXREPLACE(B287, ""&lt;/loc&gt;"", """")"),"https://odysia-cruise-uk.client.prod.eu-west.dreamlake.io/cruise-lines/costa-cruises/costa-deliziosa")</f>
        <v>https://odysia-cruise-uk.client.prod.eu-west.dreamlake.io/cruise-lines/costa-cruises/costa-deliziosa</v>
      </c>
      <c r="D287" s="180" t="s">
        <v>929</v>
      </c>
      <c r="E287" s="180" t="str">
        <f>IFERROR(__xludf.DUMMYFUNCTION("REGEXREPLACE(D287, ""https://odysia-cruise-uk.client.prod.eu-west.dreamlake.io"", """")"),"/cruise-lines/costa-cruises/costa-deliziosa")</f>
        <v>/cruise-lines/costa-cruises/costa-deliziosa</v>
      </c>
    </row>
    <row r="288">
      <c r="A288" s="182" t="s">
        <v>930</v>
      </c>
      <c r="B288" s="180" t="str">
        <f>IFERROR(__xludf.DUMMYFUNCTION("REGEXREPLACE(A288, ""&lt;loc&gt;"", """")"),"https://odysia-cruise-uk.client.prod.eu-west.dreamlake.io/cruise-lines/regent-seven-seas-cruises/seven-seas-voyager/cruises&lt;/loc&gt;")</f>
        <v>https://odysia-cruise-uk.client.prod.eu-west.dreamlake.io/cruise-lines/regent-seven-seas-cruises/seven-seas-voyager/cruises&lt;/loc&gt;</v>
      </c>
      <c r="C288" s="181" t="str">
        <f>IFERROR(__xludf.DUMMYFUNCTION("REGEXREPLACE(B288, ""&lt;/loc&gt;"", """")"),"https://odysia-cruise-uk.client.prod.eu-west.dreamlake.io/cruise-lines/regent-seven-seas-cruises/seven-seas-voyager/cruises")</f>
        <v>https://odysia-cruise-uk.client.prod.eu-west.dreamlake.io/cruise-lines/regent-seven-seas-cruises/seven-seas-voyager/cruises</v>
      </c>
      <c r="D288" s="180" t="s">
        <v>931</v>
      </c>
      <c r="E288" s="180" t="str">
        <f>IFERROR(__xludf.DUMMYFUNCTION("REGEXREPLACE(D288, ""https://odysia-cruise-uk.client.prod.eu-west.dreamlake.io"", """")"),"/cruise-lines/regent-seven-seas-cruises/seven-seas-voyager/cruises")</f>
        <v>/cruise-lines/regent-seven-seas-cruises/seven-seas-voyager/cruises</v>
      </c>
    </row>
    <row r="289">
      <c r="A289" s="182" t="s">
        <v>932</v>
      </c>
      <c r="B289" s="180" t="str">
        <f>IFERROR(__xludf.DUMMYFUNCTION("REGEXREPLACE(A289, ""&lt;loc&gt;"", """")"),"https://odysia-cruise-uk.client.prod.eu-west.dreamlake.io/cruise-lines/norwegian-cruise-line/norwegian-pearl&lt;/loc&gt;")</f>
        <v>https://odysia-cruise-uk.client.prod.eu-west.dreamlake.io/cruise-lines/norwegian-cruise-line/norwegian-pearl&lt;/loc&gt;</v>
      </c>
      <c r="C289" s="181" t="str">
        <f>IFERROR(__xludf.DUMMYFUNCTION("REGEXREPLACE(B289, ""&lt;/loc&gt;"", """")"),"https://odysia-cruise-uk.client.prod.eu-west.dreamlake.io/cruise-lines/norwegian-cruise-line/norwegian-pearl")</f>
        <v>https://odysia-cruise-uk.client.prod.eu-west.dreamlake.io/cruise-lines/norwegian-cruise-line/norwegian-pearl</v>
      </c>
      <c r="D289" s="180" t="s">
        <v>933</v>
      </c>
      <c r="E289" s="180" t="str">
        <f>IFERROR(__xludf.DUMMYFUNCTION("REGEXREPLACE(D289, ""https://odysia-cruise-uk.client.prod.eu-west.dreamlake.io"", """")"),"/cruise-lines/norwegian-cruise-line/norwegian-pearl")</f>
        <v>/cruise-lines/norwegian-cruise-line/norwegian-pearl</v>
      </c>
    </row>
    <row r="290">
      <c r="A290" s="182" t="s">
        <v>934</v>
      </c>
      <c r="B290" s="180" t="str">
        <f>IFERROR(__xludf.DUMMYFUNCTION("REGEXREPLACE(A290, ""&lt;loc&gt;"", """")"),"https://odysia-cruise-uk.client.prod.eu-west.dreamlake.io/cruise-lines/royal-caribbean/vision-of-the-seas/cruises&lt;/loc&gt;")</f>
        <v>https://odysia-cruise-uk.client.prod.eu-west.dreamlake.io/cruise-lines/royal-caribbean/vision-of-the-seas/cruises&lt;/loc&gt;</v>
      </c>
      <c r="C290" s="181" t="str">
        <f>IFERROR(__xludf.DUMMYFUNCTION("REGEXREPLACE(B290, ""&lt;/loc&gt;"", """")"),"https://odysia-cruise-uk.client.prod.eu-west.dreamlake.io/cruise-lines/royal-caribbean/vision-of-the-seas/cruises")</f>
        <v>https://odysia-cruise-uk.client.prod.eu-west.dreamlake.io/cruise-lines/royal-caribbean/vision-of-the-seas/cruises</v>
      </c>
      <c r="D290" s="180" t="s">
        <v>935</v>
      </c>
      <c r="E290" s="180" t="str">
        <f>IFERROR(__xludf.DUMMYFUNCTION("REGEXREPLACE(D290, ""https://odysia-cruise-uk.client.prod.eu-west.dreamlake.io"", """")"),"/cruise-lines/royal-caribbean/vision-of-the-seas/cruises")</f>
        <v>/cruise-lines/royal-caribbean/vision-of-the-seas/cruises</v>
      </c>
    </row>
    <row r="291">
      <c r="A291" s="182" t="s">
        <v>936</v>
      </c>
      <c r="B291" s="180" t="str">
        <f>IFERROR(__xludf.DUMMYFUNCTION("REGEXREPLACE(A291, ""&lt;loc&gt;"", """")"),"https://odysia-cruise-uk.client.prod.eu-west.dreamlake.io/cruise-lines/royal-caribbean/star-of-the-seas/cruises&lt;/loc&gt;")</f>
        <v>https://odysia-cruise-uk.client.prod.eu-west.dreamlake.io/cruise-lines/royal-caribbean/star-of-the-seas/cruises&lt;/loc&gt;</v>
      </c>
      <c r="C291" s="181" t="str">
        <f>IFERROR(__xludf.DUMMYFUNCTION("REGEXREPLACE(B291, ""&lt;/loc&gt;"", """")"),"https://odysia-cruise-uk.client.prod.eu-west.dreamlake.io/cruise-lines/royal-caribbean/star-of-the-seas/cruises")</f>
        <v>https://odysia-cruise-uk.client.prod.eu-west.dreamlake.io/cruise-lines/royal-caribbean/star-of-the-seas/cruises</v>
      </c>
      <c r="D291" s="180" t="s">
        <v>937</v>
      </c>
      <c r="E291" s="180" t="str">
        <f>IFERROR(__xludf.DUMMYFUNCTION("REGEXREPLACE(D291, ""https://odysia-cruise-uk.client.prod.eu-west.dreamlake.io"", """")"),"/cruise-lines/royal-caribbean/star-of-the-seas/cruises")</f>
        <v>/cruise-lines/royal-caribbean/star-of-the-seas/cruises</v>
      </c>
    </row>
    <row r="292">
      <c r="A292" s="182" t="s">
        <v>938</v>
      </c>
      <c r="B292" s="180" t="str">
        <f>IFERROR(__xludf.DUMMYFUNCTION("REGEXREPLACE(A292, ""&lt;loc&gt;"", """")"),"https://odysia-cruise-uk.client.prod.eu-west.dreamlake.io/cruise-calendar/mediterranean-cruise-dates&lt;/loc&gt;")</f>
        <v>https://odysia-cruise-uk.client.prod.eu-west.dreamlake.io/cruise-calendar/mediterranean-cruise-dates&lt;/loc&gt;</v>
      </c>
      <c r="C292" s="181" t="str">
        <f>IFERROR(__xludf.DUMMYFUNCTION("REGEXREPLACE(B292, ""&lt;/loc&gt;"", """")"),"https://odysia-cruise-uk.client.prod.eu-west.dreamlake.io/cruise-calendar/mediterranean-cruise-dates")</f>
        <v>https://odysia-cruise-uk.client.prod.eu-west.dreamlake.io/cruise-calendar/mediterranean-cruise-dates</v>
      </c>
    </row>
    <row r="293">
      <c r="A293" s="182" t="s">
        <v>939</v>
      </c>
      <c r="B293" s="180" t="str">
        <f>IFERROR(__xludf.DUMMYFUNCTION("REGEXREPLACE(A293, ""&lt;loc&gt;"", """")"),"https://odysia-cruise-uk.client.prod.eu-west.dreamlake.io/cruise-lines/msc-cruises/msc-seascape/cruises&lt;/loc&gt;")</f>
        <v>https://odysia-cruise-uk.client.prod.eu-west.dreamlake.io/cruise-lines/msc-cruises/msc-seascape/cruises&lt;/loc&gt;</v>
      </c>
      <c r="C293" s="181" t="str">
        <f>IFERROR(__xludf.DUMMYFUNCTION("REGEXREPLACE(B293, ""&lt;/loc&gt;"", """")"),"https://odysia-cruise-uk.client.prod.eu-west.dreamlake.io/cruise-lines/msc-cruises/msc-seascape/cruises")</f>
        <v>https://odysia-cruise-uk.client.prod.eu-west.dreamlake.io/cruise-lines/msc-cruises/msc-seascape/cruises</v>
      </c>
      <c r="D293" s="180" t="s">
        <v>940</v>
      </c>
      <c r="E293" s="180" t="str">
        <f>IFERROR(__xludf.DUMMYFUNCTION("REGEXREPLACE(D293, ""https://odysia-cruise-uk.client.prod.eu-west.dreamlake.io"", """")"),"/cruise-lines/msc-cruises/msc-seascape/cruises")</f>
        <v>/cruise-lines/msc-cruises/msc-seascape/cruises</v>
      </c>
    </row>
    <row r="294">
      <c r="A294" s="182" t="s">
        <v>941</v>
      </c>
      <c r="B294" s="180" t="str">
        <f>IFERROR(__xludf.DUMMYFUNCTION("REGEXREPLACE(A294, ""&lt;loc&gt;"", """")"),"https://odysia-cruise-uk.client.prod.eu-west.dreamlake.io/cruise-lines/princess-cruises/discovery-princess/cruises&lt;/loc&gt;")</f>
        <v>https://odysia-cruise-uk.client.prod.eu-west.dreamlake.io/cruise-lines/princess-cruises/discovery-princess/cruises&lt;/loc&gt;</v>
      </c>
      <c r="C294" s="181" t="str">
        <f>IFERROR(__xludf.DUMMYFUNCTION("REGEXREPLACE(B294, ""&lt;/loc&gt;"", """")"),"https://odysia-cruise-uk.client.prod.eu-west.dreamlake.io/cruise-lines/princess-cruises/discovery-princess/cruises")</f>
        <v>https://odysia-cruise-uk.client.prod.eu-west.dreamlake.io/cruise-lines/princess-cruises/discovery-princess/cruises</v>
      </c>
      <c r="D294" s="180" t="s">
        <v>942</v>
      </c>
      <c r="E294" s="180" t="str">
        <f>IFERROR(__xludf.DUMMYFUNCTION("REGEXREPLACE(D294, ""https://odysia-cruise-uk.client.prod.eu-west.dreamlake.io"", """")"),"/cruise-lines/princess-cruises/discovery-princess/cruises")</f>
        <v>/cruise-lines/princess-cruises/discovery-princess/cruises</v>
      </c>
    </row>
    <row r="295">
      <c r="A295" s="182" t="s">
        <v>943</v>
      </c>
      <c r="B295" s="180" t="str">
        <f>IFERROR(__xludf.DUMMYFUNCTION("REGEXREPLACE(A295, ""&lt;loc&gt;"", """")"),"https://odysia-cruise-uk.client.prod.eu-west.dreamlake.io/cruise-lines/oceania-cruises/oceania-allura&lt;/loc&gt;")</f>
        <v>https://odysia-cruise-uk.client.prod.eu-west.dreamlake.io/cruise-lines/oceania-cruises/oceania-allura&lt;/loc&gt;</v>
      </c>
      <c r="C295" s="181" t="str">
        <f>IFERROR(__xludf.DUMMYFUNCTION("REGEXREPLACE(B295, ""&lt;/loc&gt;"", """")"),"https://odysia-cruise-uk.client.prod.eu-west.dreamlake.io/cruise-lines/oceania-cruises/oceania-allura")</f>
        <v>https://odysia-cruise-uk.client.prod.eu-west.dreamlake.io/cruise-lines/oceania-cruises/oceania-allura</v>
      </c>
      <c r="D295" s="180" t="s">
        <v>944</v>
      </c>
      <c r="E295" s="180" t="str">
        <f>IFERROR(__xludf.DUMMYFUNCTION("REGEXREPLACE(D295, ""https://odysia-cruise-uk.client.prod.eu-west.dreamlake.io"", """")"),"/cruise-lines/oceania-cruises/oceania-allura")</f>
        <v>/cruise-lines/oceania-cruises/oceania-allura</v>
      </c>
    </row>
    <row r="296">
      <c r="A296" s="182" t="s">
        <v>945</v>
      </c>
      <c r="B296" s="180" t="str">
        <f>IFERROR(__xludf.DUMMYFUNCTION("REGEXREPLACE(A296, ""&lt;loc&gt;"", """")"),"https://odysia-cruise-uk.client.prod.eu-west.dreamlake.io/cruise-lines/po-cruises/azura&lt;/loc&gt;")</f>
        <v>https://odysia-cruise-uk.client.prod.eu-west.dreamlake.io/cruise-lines/po-cruises/azura&lt;/loc&gt;</v>
      </c>
      <c r="C296" s="181" t="str">
        <f>IFERROR(__xludf.DUMMYFUNCTION("REGEXREPLACE(B296, ""&lt;/loc&gt;"", """")"),"https://odysia-cruise-uk.client.prod.eu-west.dreamlake.io/cruise-lines/po-cruises/azura")</f>
        <v>https://odysia-cruise-uk.client.prod.eu-west.dreamlake.io/cruise-lines/po-cruises/azura</v>
      </c>
      <c r="D296" s="180" t="s">
        <v>946</v>
      </c>
      <c r="E296" s="180" t="str">
        <f>IFERROR(__xludf.DUMMYFUNCTION("REGEXREPLACE(D296, ""https://odysia-cruise-uk.client.prod.eu-west.dreamlake.io"", """")"),"/cruise-lines/po-cruises/azura")</f>
        <v>/cruise-lines/po-cruises/azura</v>
      </c>
    </row>
    <row r="297">
      <c r="A297" s="182" t="s">
        <v>947</v>
      </c>
      <c r="B297" s="180" t="str">
        <f>IFERROR(__xludf.DUMMYFUNCTION("REGEXREPLACE(A297, ""&lt;loc&gt;"", """")"),"https://odysia-cruise-uk.client.prod.eu-west.dreamlake.io/cruise-lines/po-cruises/britannia&lt;/loc&gt;")</f>
        <v>https://odysia-cruise-uk.client.prod.eu-west.dreamlake.io/cruise-lines/po-cruises/britannia&lt;/loc&gt;</v>
      </c>
      <c r="C297" s="181" t="str">
        <f>IFERROR(__xludf.DUMMYFUNCTION("REGEXREPLACE(B297, ""&lt;/loc&gt;"", """")"),"https://odysia-cruise-uk.client.prod.eu-west.dreamlake.io/cruise-lines/po-cruises/britannia")</f>
        <v>https://odysia-cruise-uk.client.prod.eu-west.dreamlake.io/cruise-lines/po-cruises/britannia</v>
      </c>
      <c r="D297" s="180" t="s">
        <v>948</v>
      </c>
      <c r="E297" s="180" t="str">
        <f>IFERROR(__xludf.DUMMYFUNCTION("REGEXREPLACE(D297, ""https://odysia-cruise-uk.client.prod.eu-west.dreamlake.io"", """")"),"/cruise-lines/po-cruises/britannia")</f>
        <v>/cruise-lines/po-cruises/britannia</v>
      </c>
    </row>
    <row r="298">
      <c r="A298" s="182" t="s">
        <v>949</v>
      </c>
      <c r="B298" s="180" t="str">
        <f>IFERROR(__xludf.DUMMYFUNCTION("REGEXREPLACE(A298, ""&lt;loc&gt;"", """")"),"https://odysia-cruise-uk.client.prod.eu-west.dreamlake.io/cruise-lines/explora-journeys/cruises&lt;/loc&gt;")</f>
        <v>https://odysia-cruise-uk.client.prod.eu-west.dreamlake.io/cruise-lines/explora-journeys/cruises&lt;/loc&gt;</v>
      </c>
      <c r="C298" s="181" t="str">
        <f>IFERROR(__xludf.DUMMYFUNCTION("REGEXREPLACE(B298, ""&lt;/loc&gt;"", """")"),"https://odysia-cruise-uk.client.prod.eu-west.dreamlake.io/cruise-lines/explora-journeys/cruises")</f>
        <v>https://odysia-cruise-uk.client.prod.eu-west.dreamlake.io/cruise-lines/explora-journeys/cruises</v>
      </c>
      <c r="D298" s="180" t="s">
        <v>950</v>
      </c>
      <c r="E298" s="180" t="str">
        <f>IFERROR(__xludf.DUMMYFUNCTION("REGEXREPLACE(D298, ""https://odysia-cruise-uk.client.prod.eu-west.dreamlake.io"", """")"),"/cruise-lines/explora-journeys/cruises")</f>
        <v>/cruise-lines/explora-journeys/cruises</v>
      </c>
    </row>
    <row r="299">
      <c r="A299" s="182" t="s">
        <v>951</v>
      </c>
      <c r="B299" s="180" t="str">
        <f>IFERROR(__xludf.DUMMYFUNCTION("REGEXREPLACE(A299, ""&lt;loc&gt;"", """")"),"https://odysia-cruise-uk.client.prod.eu-west.dreamlake.io/cruise-lines/celebrity-cruises/celebrity-apex&lt;/loc&gt;")</f>
        <v>https://odysia-cruise-uk.client.prod.eu-west.dreamlake.io/cruise-lines/celebrity-cruises/celebrity-apex&lt;/loc&gt;</v>
      </c>
      <c r="C299" s="181" t="str">
        <f>IFERROR(__xludf.DUMMYFUNCTION("REGEXREPLACE(B299, ""&lt;/loc&gt;"", """")"),"https://odysia-cruise-uk.client.prod.eu-west.dreamlake.io/cruise-lines/celebrity-cruises/celebrity-apex")</f>
        <v>https://odysia-cruise-uk.client.prod.eu-west.dreamlake.io/cruise-lines/celebrity-cruises/celebrity-apex</v>
      </c>
      <c r="D299" s="180" t="s">
        <v>952</v>
      </c>
      <c r="E299" s="180" t="str">
        <f>IFERROR(__xludf.DUMMYFUNCTION("REGEXREPLACE(D299, ""https://odysia-cruise-uk.client.prod.eu-west.dreamlake.io"", """")"),"/cruise-lines/celebrity-cruises/celebrity-apex")</f>
        <v>/cruise-lines/celebrity-cruises/celebrity-apex</v>
      </c>
    </row>
    <row r="300">
      <c r="A300" s="182" t="s">
        <v>953</v>
      </c>
      <c r="B300" s="180" t="str">
        <f>IFERROR(__xludf.DUMMYFUNCTION("REGEXREPLACE(A300, ""&lt;loc&gt;"", """")"),"https://odysia-cruise-uk.client.prod.eu-west.dreamlake.io/cruise-lines/po-cruises/ventura&lt;/loc&gt;")</f>
        <v>https://odysia-cruise-uk.client.prod.eu-west.dreamlake.io/cruise-lines/po-cruises/ventura&lt;/loc&gt;</v>
      </c>
      <c r="C300" s="181" t="str">
        <f>IFERROR(__xludf.DUMMYFUNCTION("REGEXREPLACE(B300, ""&lt;/loc&gt;"", """")"),"https://odysia-cruise-uk.client.prod.eu-west.dreamlake.io/cruise-lines/po-cruises/ventura")</f>
        <v>https://odysia-cruise-uk.client.prod.eu-west.dreamlake.io/cruise-lines/po-cruises/ventura</v>
      </c>
      <c r="D300" s="180" t="s">
        <v>954</v>
      </c>
      <c r="E300" s="180" t="str">
        <f>IFERROR(__xludf.DUMMYFUNCTION("REGEXREPLACE(D300, ""https://odysia-cruise-uk.client.prod.eu-west.dreamlake.io"", """")"),"/cruise-lines/po-cruises/ventura")</f>
        <v>/cruise-lines/po-cruises/ventura</v>
      </c>
    </row>
    <row r="301">
      <c r="A301" s="182" t="s">
        <v>955</v>
      </c>
      <c r="B301" s="180" t="str">
        <f>IFERROR(__xludf.DUMMYFUNCTION("REGEXREPLACE(A301, ""&lt;loc&gt;"", """")"),"https://odysia-cruise-uk.client.prod.eu-west.dreamlake.io/destinations/canada-cruises&lt;/loc&gt;")</f>
        <v>https://odysia-cruise-uk.client.prod.eu-west.dreamlake.io/destinations/canada-cruises&lt;/loc&gt;</v>
      </c>
      <c r="C301" s="181" t="str">
        <f>IFERROR(__xludf.DUMMYFUNCTION("REGEXREPLACE(B301, ""&lt;/loc&gt;"", """")"),"https://odysia-cruise-uk.client.prod.eu-west.dreamlake.io/destinations/canada-cruises")</f>
        <v>https://odysia-cruise-uk.client.prod.eu-west.dreamlake.io/destinations/canada-cruises</v>
      </c>
    </row>
    <row r="302">
      <c r="A302" s="182" t="s">
        <v>956</v>
      </c>
      <c r="B302" s="180" t="str">
        <f>IFERROR(__xludf.DUMMYFUNCTION("REGEXREPLACE(A302, ""&lt;loc&gt;"", """")"),"https://odysia-cruise-uk.client.prod.eu-west.dreamlake.io/cruise-lines/princess-cruises/enchanted-princess&lt;/loc&gt;")</f>
        <v>https://odysia-cruise-uk.client.prod.eu-west.dreamlake.io/cruise-lines/princess-cruises/enchanted-princess&lt;/loc&gt;</v>
      </c>
      <c r="C302" s="181" t="str">
        <f>IFERROR(__xludf.DUMMYFUNCTION("REGEXREPLACE(B302, ""&lt;/loc&gt;"", """")"),"https://odysia-cruise-uk.client.prod.eu-west.dreamlake.io/cruise-lines/princess-cruises/enchanted-princess")</f>
        <v>https://odysia-cruise-uk.client.prod.eu-west.dreamlake.io/cruise-lines/princess-cruises/enchanted-princess</v>
      </c>
      <c r="D302" s="180" t="s">
        <v>957</v>
      </c>
      <c r="E302" s="180" t="str">
        <f>IFERROR(__xludf.DUMMYFUNCTION("REGEXREPLACE(D302, ""https://odysia-cruise-uk.client.prod.eu-west.dreamlake.io"", """")"),"/cruise-lines/princess-cruises/enchanted-princess")</f>
        <v>/cruise-lines/princess-cruises/enchanted-princess</v>
      </c>
    </row>
    <row r="303">
      <c r="A303" s="182" t="s">
        <v>958</v>
      </c>
      <c r="B303" s="180" t="str">
        <f>IFERROR(__xludf.DUMMYFUNCTION("REGEXREPLACE(A303, ""&lt;loc&gt;"", """")"),"https://odysia-cruise-uk.client.prod.eu-west.dreamlake.io/cruise-lines/oceania-cruises/oceania-sirena&lt;/loc&gt;")</f>
        <v>https://odysia-cruise-uk.client.prod.eu-west.dreamlake.io/cruise-lines/oceania-cruises/oceania-sirena&lt;/loc&gt;</v>
      </c>
      <c r="C303" s="181" t="str">
        <f>IFERROR(__xludf.DUMMYFUNCTION("REGEXREPLACE(B303, ""&lt;/loc&gt;"", """")"),"https://odysia-cruise-uk.client.prod.eu-west.dreamlake.io/cruise-lines/oceania-cruises/oceania-sirena")</f>
        <v>https://odysia-cruise-uk.client.prod.eu-west.dreamlake.io/cruise-lines/oceania-cruises/oceania-sirena</v>
      </c>
      <c r="D303" s="180" t="s">
        <v>959</v>
      </c>
      <c r="E303" s="180" t="str">
        <f>IFERROR(__xludf.DUMMYFUNCTION("REGEXREPLACE(D303, ""https://odysia-cruise-uk.client.prod.eu-west.dreamlake.io"", """")"),"/cruise-lines/oceania-cruises/oceania-sirena")</f>
        <v>/cruise-lines/oceania-cruises/oceania-sirena</v>
      </c>
    </row>
    <row r="304">
      <c r="A304" s="182" t="s">
        <v>960</v>
      </c>
      <c r="B304" s="180" t="str">
        <f>IFERROR(__xludf.DUMMYFUNCTION("REGEXREPLACE(A304, ""&lt;loc&gt;"", """")"),"https://odysia-cruise-uk.client.prod.eu-west.dreamlake.io/cruise-lines/msc-cruises/msc-divina&lt;/loc&gt;")</f>
        <v>https://odysia-cruise-uk.client.prod.eu-west.dreamlake.io/cruise-lines/msc-cruises/msc-divina&lt;/loc&gt;</v>
      </c>
      <c r="C304" s="181" t="str">
        <f>IFERROR(__xludf.DUMMYFUNCTION("REGEXREPLACE(B304, ""&lt;/loc&gt;"", """")"),"https://odysia-cruise-uk.client.prod.eu-west.dreamlake.io/cruise-lines/msc-cruises/msc-divina")</f>
        <v>https://odysia-cruise-uk.client.prod.eu-west.dreamlake.io/cruise-lines/msc-cruises/msc-divina</v>
      </c>
      <c r="D304" s="180" t="s">
        <v>961</v>
      </c>
      <c r="E304" s="180" t="str">
        <f>IFERROR(__xludf.DUMMYFUNCTION("REGEXREPLACE(D304, ""https://odysia-cruise-uk.client.prod.eu-west.dreamlake.io"", """")"),"/cruise-lines/msc-cruises/msc-divina")</f>
        <v>/cruise-lines/msc-cruises/msc-divina</v>
      </c>
    </row>
    <row r="305">
      <c r="A305" s="182" t="s">
        <v>962</v>
      </c>
      <c r="B305" s="180" t="str">
        <f>IFERROR(__xludf.DUMMYFUNCTION("REGEXREPLACE(A305, ""&lt;loc&gt;"", """")"),"https://odysia-cruise-uk.client.prod.eu-west.dreamlake.io/cruise-lines/princess-cruises/caribbean-princess&lt;/loc&gt;")</f>
        <v>https://odysia-cruise-uk.client.prod.eu-west.dreamlake.io/cruise-lines/princess-cruises/caribbean-princess&lt;/loc&gt;</v>
      </c>
      <c r="C305" s="181" t="str">
        <f>IFERROR(__xludf.DUMMYFUNCTION("REGEXREPLACE(B305, ""&lt;/loc&gt;"", """")"),"https://odysia-cruise-uk.client.prod.eu-west.dreamlake.io/cruise-lines/princess-cruises/caribbean-princess")</f>
        <v>https://odysia-cruise-uk.client.prod.eu-west.dreamlake.io/cruise-lines/princess-cruises/caribbean-princess</v>
      </c>
      <c r="D305" s="180" t="s">
        <v>963</v>
      </c>
      <c r="E305" s="180" t="str">
        <f>IFERROR(__xludf.DUMMYFUNCTION("REGEXREPLACE(D305, ""https://odysia-cruise-uk.client.prod.eu-west.dreamlake.io"", """")"),"/cruise-lines/princess-cruises/caribbean-princess")</f>
        <v>/cruise-lines/princess-cruises/caribbean-princess</v>
      </c>
    </row>
    <row r="306">
      <c r="A306" s="182" t="s">
        <v>964</v>
      </c>
      <c r="B306" s="180" t="str">
        <f>IFERROR(__xludf.DUMMYFUNCTION("REGEXREPLACE(A306, ""&lt;loc&gt;"", """")"),"https://odysia-cruise-uk.client.prod.eu-west.dreamlake.io/cruise-lines/msc-cruises/msc-seaview&lt;/loc&gt;")</f>
        <v>https://odysia-cruise-uk.client.prod.eu-west.dreamlake.io/cruise-lines/msc-cruises/msc-seaview&lt;/loc&gt;</v>
      </c>
      <c r="C306" s="181" t="str">
        <f>IFERROR(__xludf.DUMMYFUNCTION("REGEXREPLACE(B306, ""&lt;/loc&gt;"", """")"),"https://odysia-cruise-uk.client.prod.eu-west.dreamlake.io/cruise-lines/msc-cruises/msc-seaview")</f>
        <v>https://odysia-cruise-uk.client.prod.eu-west.dreamlake.io/cruise-lines/msc-cruises/msc-seaview</v>
      </c>
      <c r="D306" s="180" t="s">
        <v>965</v>
      </c>
      <c r="E306" s="180" t="str">
        <f>IFERROR(__xludf.DUMMYFUNCTION("REGEXREPLACE(D306, ""https://odysia-cruise-uk.client.prod.eu-west.dreamlake.io"", """")"),"/cruise-lines/msc-cruises/msc-seaview")</f>
        <v>/cruise-lines/msc-cruises/msc-seaview</v>
      </c>
    </row>
    <row r="307">
      <c r="A307" s="182" t="s">
        <v>966</v>
      </c>
      <c r="B307" s="180" t="str">
        <f>IFERROR(__xludf.DUMMYFUNCTION("REGEXREPLACE(A307, ""&lt;loc&gt;"", """")"),"https://odysia-cruise-uk.client.prod.eu-west.dreamlake.io/cruise-lines/royal-caribbean/adventure-of-the-seas&lt;/loc&gt;")</f>
        <v>https://odysia-cruise-uk.client.prod.eu-west.dreamlake.io/cruise-lines/royal-caribbean/adventure-of-the-seas&lt;/loc&gt;</v>
      </c>
      <c r="C307" s="181" t="str">
        <f>IFERROR(__xludf.DUMMYFUNCTION("REGEXREPLACE(B307, ""&lt;/loc&gt;"", """")"),"https://odysia-cruise-uk.client.prod.eu-west.dreamlake.io/cruise-lines/royal-caribbean/adventure-of-the-seas")</f>
        <v>https://odysia-cruise-uk.client.prod.eu-west.dreamlake.io/cruise-lines/royal-caribbean/adventure-of-the-seas</v>
      </c>
      <c r="D307" s="180" t="s">
        <v>967</v>
      </c>
      <c r="E307" s="180" t="str">
        <f>IFERROR(__xludf.DUMMYFUNCTION("REGEXREPLACE(D307, ""https://odysia-cruise-uk.client.prod.eu-west.dreamlake.io"", """")"),"/cruise-lines/royal-caribbean/adventure-of-the-seas")</f>
        <v>/cruise-lines/royal-caribbean/adventure-of-the-seas</v>
      </c>
    </row>
    <row r="308">
      <c r="A308" s="182" t="s">
        <v>968</v>
      </c>
      <c r="B308" s="180" t="str">
        <f>IFERROR(__xludf.DUMMYFUNCTION("REGEXREPLACE(A308, ""&lt;loc&gt;"", """")"),"https://odysia-cruise-uk.client.prod.eu-west.dreamlake.io/cruise-lines/royal-caribbean/liberty-of-the-seas/cruises&lt;/loc&gt;")</f>
        <v>https://odysia-cruise-uk.client.prod.eu-west.dreamlake.io/cruise-lines/royal-caribbean/liberty-of-the-seas/cruises&lt;/loc&gt;</v>
      </c>
      <c r="C308" s="181" t="str">
        <f>IFERROR(__xludf.DUMMYFUNCTION("REGEXREPLACE(B308, ""&lt;/loc&gt;"", """")"),"https://odysia-cruise-uk.client.prod.eu-west.dreamlake.io/cruise-lines/royal-caribbean/liberty-of-the-seas/cruises")</f>
        <v>https://odysia-cruise-uk.client.prod.eu-west.dreamlake.io/cruise-lines/royal-caribbean/liberty-of-the-seas/cruises</v>
      </c>
      <c r="D308" s="180" t="s">
        <v>969</v>
      </c>
      <c r="E308" s="180" t="str">
        <f>IFERROR(__xludf.DUMMYFUNCTION("REGEXREPLACE(D308, ""https://odysia-cruise-uk.client.prod.eu-west.dreamlake.io"", """")"),"/cruise-lines/royal-caribbean/liberty-of-the-seas/cruises")</f>
        <v>/cruise-lines/royal-caribbean/liberty-of-the-seas/cruises</v>
      </c>
    </row>
    <row r="309">
      <c r="A309" s="182" t="s">
        <v>970</v>
      </c>
      <c r="B309" s="180" t="str">
        <f>IFERROR(__xludf.DUMMYFUNCTION("REGEXREPLACE(A309, ""&lt;loc&gt;"", """")"),"https://odysia-cruise-uk.client.prod.eu-west.dreamlake.io/cruise-lines/msc-cruises/msc-grandiosa/cruises&lt;/loc&gt;")</f>
        <v>https://odysia-cruise-uk.client.prod.eu-west.dreamlake.io/cruise-lines/msc-cruises/msc-grandiosa/cruises&lt;/loc&gt;</v>
      </c>
      <c r="C309" s="181" t="str">
        <f>IFERROR(__xludf.DUMMYFUNCTION("REGEXREPLACE(B309, ""&lt;/loc&gt;"", """")"),"https://odysia-cruise-uk.client.prod.eu-west.dreamlake.io/cruise-lines/msc-cruises/msc-grandiosa/cruises")</f>
        <v>https://odysia-cruise-uk.client.prod.eu-west.dreamlake.io/cruise-lines/msc-cruises/msc-grandiosa/cruises</v>
      </c>
      <c r="D309" s="180" t="s">
        <v>971</v>
      </c>
      <c r="E309" s="180" t="str">
        <f>IFERROR(__xludf.DUMMYFUNCTION("REGEXREPLACE(D309, ""https://odysia-cruise-uk.client.prod.eu-west.dreamlake.io"", """")"),"/cruise-lines/msc-cruises/msc-grandiosa/cruises")</f>
        <v>/cruise-lines/msc-cruises/msc-grandiosa/cruises</v>
      </c>
    </row>
    <row r="310">
      <c r="A310" s="182" t="s">
        <v>972</v>
      </c>
      <c r="B310" s="180" t="str">
        <f>IFERROR(__xludf.DUMMYFUNCTION("REGEXREPLACE(A310, ""&lt;loc&gt;"", """")"),"https://odysia-cruise-uk.client.prod.eu-west.dreamlake.io/cruise-lines/ambassador-cruise-line/ambience/cruises&lt;/loc&gt;")</f>
        <v>https://odysia-cruise-uk.client.prod.eu-west.dreamlake.io/cruise-lines/ambassador-cruise-line/ambience/cruises&lt;/loc&gt;</v>
      </c>
      <c r="C310" s="181" t="str">
        <f>IFERROR(__xludf.DUMMYFUNCTION("REGEXREPLACE(B310, ""&lt;/loc&gt;"", """")"),"https://odysia-cruise-uk.client.prod.eu-west.dreamlake.io/cruise-lines/ambassador-cruise-line/ambience/cruises")</f>
        <v>https://odysia-cruise-uk.client.prod.eu-west.dreamlake.io/cruise-lines/ambassador-cruise-line/ambience/cruises</v>
      </c>
      <c r="D310" s="180" t="s">
        <v>973</v>
      </c>
      <c r="E310" s="180" t="str">
        <f>IFERROR(__xludf.DUMMYFUNCTION("REGEXREPLACE(D310, ""https://odysia-cruise-uk.client.prod.eu-west.dreamlake.io"", """")"),"/cruise-lines/ambassador-cruise-line/ambience/cruises")</f>
        <v>/cruise-lines/ambassador-cruise-line/ambience/cruises</v>
      </c>
    </row>
    <row r="311">
      <c r="A311" s="182" t="s">
        <v>974</v>
      </c>
      <c r="B311" s="180" t="str">
        <f>IFERROR(__xludf.DUMMYFUNCTION("REGEXREPLACE(A311, ""&lt;loc&gt;"", """")"),"https://odysia-cruise-uk.client.prod.eu-west.dreamlake.io/cruise-deals/cruises-from-scotland&lt;/loc&gt;")</f>
        <v>https://odysia-cruise-uk.client.prod.eu-west.dreamlake.io/cruise-deals/cruises-from-scotland&lt;/loc&gt;</v>
      </c>
      <c r="C311" s="181" t="str">
        <f>IFERROR(__xludf.DUMMYFUNCTION("REGEXREPLACE(B311, ""&lt;/loc&gt;"", """")"),"https://odysia-cruise-uk.client.prod.eu-west.dreamlake.io/cruise-deals/cruises-from-scotland")</f>
        <v>https://odysia-cruise-uk.client.prod.eu-west.dreamlake.io/cruise-deals/cruises-from-scotland</v>
      </c>
      <c r="D311" s="180" t="s">
        <v>975</v>
      </c>
    </row>
    <row r="312">
      <c r="A312" s="182" t="s">
        <v>976</v>
      </c>
      <c r="B312" s="180" t="str">
        <f>IFERROR(__xludf.DUMMYFUNCTION("REGEXREPLACE(A312, ""&lt;loc&gt;"", """")"),"https://odysia-cruise-uk.client.prod.eu-west.dreamlake.io/cruise-lines/royal-caribbean/quantum-of-the-seas&lt;/loc&gt;")</f>
        <v>https://odysia-cruise-uk.client.prod.eu-west.dreamlake.io/cruise-lines/royal-caribbean/quantum-of-the-seas&lt;/loc&gt;</v>
      </c>
      <c r="C312" s="181" t="str">
        <f>IFERROR(__xludf.DUMMYFUNCTION("REGEXREPLACE(B312, ""&lt;/loc&gt;"", """")"),"https://odysia-cruise-uk.client.prod.eu-west.dreamlake.io/cruise-lines/royal-caribbean/quantum-of-the-seas")</f>
        <v>https://odysia-cruise-uk.client.prod.eu-west.dreamlake.io/cruise-lines/royal-caribbean/quantum-of-the-seas</v>
      </c>
      <c r="D312" s="180" t="s">
        <v>977</v>
      </c>
      <c r="E312" s="180" t="str">
        <f>IFERROR(__xludf.DUMMYFUNCTION("REGEXREPLACE(D312, ""https://odysia-cruise-uk.client.prod.eu-west.dreamlake.io"", """")"),"/cruise-lines/royal-caribbean/quantum-of-the-seas")</f>
        <v>/cruise-lines/royal-caribbean/quantum-of-the-seas</v>
      </c>
    </row>
    <row r="313">
      <c r="A313" s="182" t="s">
        <v>978</v>
      </c>
      <c r="B313" s="180" t="str">
        <f>IFERROR(__xludf.DUMMYFUNCTION("REGEXREPLACE(A313, ""&lt;loc&gt;"", """")"),"https://odysia-cruise-uk.client.prod.eu-west.dreamlake.io/cruise-lines/po-cruises/aurora/cruises&lt;/loc&gt;")</f>
        <v>https://odysia-cruise-uk.client.prod.eu-west.dreamlake.io/cruise-lines/po-cruises/aurora/cruises&lt;/loc&gt;</v>
      </c>
      <c r="C313" s="181" t="str">
        <f>IFERROR(__xludf.DUMMYFUNCTION("REGEXREPLACE(B313, ""&lt;/loc&gt;"", """")"),"https://odysia-cruise-uk.client.prod.eu-west.dreamlake.io/cruise-lines/po-cruises/aurora/cruises")</f>
        <v>https://odysia-cruise-uk.client.prod.eu-west.dreamlake.io/cruise-lines/po-cruises/aurora/cruises</v>
      </c>
      <c r="D313" s="180" t="s">
        <v>979</v>
      </c>
      <c r="E313" s="180" t="str">
        <f>IFERROR(__xludf.DUMMYFUNCTION("REGEXREPLACE(D313, ""https://odysia-cruise-uk.client.prod.eu-west.dreamlake.io"", """")"),"/cruise-lines/po-cruises/aurora/cruises")</f>
        <v>/cruise-lines/po-cruises/aurora/cruises</v>
      </c>
    </row>
    <row r="314">
      <c r="A314" s="182" t="s">
        <v>980</v>
      </c>
      <c r="B314" s="180" t="str">
        <f>IFERROR(__xludf.DUMMYFUNCTION("REGEXREPLACE(A314, ""&lt;loc&gt;"", """")"),"https://odysia-cruise-uk.client.prod.eu-west.dreamlake.io/cruise-lines/holland-america-line/noordam&lt;/loc&gt;")</f>
        <v>https://odysia-cruise-uk.client.prod.eu-west.dreamlake.io/cruise-lines/holland-america-line/noordam&lt;/loc&gt;</v>
      </c>
      <c r="C314" s="181" t="str">
        <f>IFERROR(__xludf.DUMMYFUNCTION("REGEXREPLACE(B314, ""&lt;/loc&gt;"", """")"),"https://odysia-cruise-uk.client.prod.eu-west.dreamlake.io/cruise-lines/holland-america-line/noordam")</f>
        <v>https://odysia-cruise-uk.client.prod.eu-west.dreamlake.io/cruise-lines/holland-america-line/noordam</v>
      </c>
      <c r="D314" s="180" t="s">
        <v>981</v>
      </c>
      <c r="E314" s="180" t="str">
        <f>IFERROR(__xludf.DUMMYFUNCTION("REGEXREPLACE(D314, ""https://odysia-cruise-uk.client.prod.eu-west.dreamlake.io"", """")"),"/cruise-lines/holland-america-line/noordam")</f>
        <v>/cruise-lines/holland-america-line/noordam</v>
      </c>
    </row>
    <row r="315">
      <c r="A315" s="182" t="s">
        <v>982</v>
      </c>
      <c r="B315" s="180" t="str">
        <f>IFERROR(__xludf.DUMMYFUNCTION("REGEXREPLACE(A315, ""&lt;loc&gt;"", """")"),"https://odysia-cruise-uk.client.prod.eu-west.dreamlake.io/cruise-lines/po-cruises/britannia/cruises&lt;/loc&gt;")</f>
        <v>https://odysia-cruise-uk.client.prod.eu-west.dreamlake.io/cruise-lines/po-cruises/britannia/cruises&lt;/loc&gt;</v>
      </c>
      <c r="C315" s="181" t="str">
        <f>IFERROR(__xludf.DUMMYFUNCTION("REGEXREPLACE(B315, ""&lt;/loc&gt;"", """")"),"https://odysia-cruise-uk.client.prod.eu-west.dreamlake.io/cruise-lines/po-cruises/britannia/cruises")</f>
        <v>https://odysia-cruise-uk.client.prod.eu-west.dreamlake.io/cruise-lines/po-cruises/britannia/cruises</v>
      </c>
      <c r="D315" s="180" t="s">
        <v>983</v>
      </c>
      <c r="E315" s="180" t="str">
        <f>IFERROR(__xludf.DUMMYFUNCTION("REGEXREPLACE(D315, ""https://odysia-cruise-uk.client.prod.eu-west.dreamlake.io"", """")"),"/cruise-lines/po-cruises/britannia/cruises")</f>
        <v>/cruise-lines/po-cruises/britannia/cruises</v>
      </c>
    </row>
    <row r="316">
      <c r="A316" s="182" t="s">
        <v>984</v>
      </c>
      <c r="B316" s="180" t="str">
        <f>IFERROR(__xludf.DUMMYFUNCTION("REGEXREPLACE(A316, ""&lt;loc&gt;"", """")"),"https://odysia-cruise-uk.client.prod.eu-west.dreamlake.io/cruise-lines/royal-caribbean/grandeur-of-the-seas/cruises&lt;/loc&gt;")</f>
        <v>https://odysia-cruise-uk.client.prod.eu-west.dreamlake.io/cruise-lines/royal-caribbean/grandeur-of-the-seas/cruises&lt;/loc&gt;</v>
      </c>
      <c r="C316" s="181" t="str">
        <f>IFERROR(__xludf.DUMMYFUNCTION("REGEXREPLACE(B316, ""&lt;/loc&gt;"", """")"),"https://odysia-cruise-uk.client.prod.eu-west.dreamlake.io/cruise-lines/royal-caribbean/grandeur-of-the-seas/cruises")</f>
        <v>https://odysia-cruise-uk.client.prod.eu-west.dreamlake.io/cruise-lines/royal-caribbean/grandeur-of-the-seas/cruises</v>
      </c>
      <c r="D316" s="180" t="s">
        <v>985</v>
      </c>
      <c r="E316" s="180" t="str">
        <f>IFERROR(__xludf.DUMMYFUNCTION("REGEXREPLACE(D316, ""https://odysia-cruise-uk.client.prod.eu-west.dreamlake.io"", """")"),"/cruise-lines/royal-caribbean/grandeur-of-the-seas/cruises")</f>
        <v>/cruise-lines/royal-caribbean/grandeur-of-the-seas/cruises</v>
      </c>
    </row>
    <row r="317">
      <c r="A317" s="182" t="s">
        <v>986</v>
      </c>
      <c r="B317" s="180" t="str">
        <f>IFERROR(__xludf.DUMMYFUNCTION("REGEXREPLACE(A317, ""&lt;loc&gt;"", """")"),"https://odysia-cruise-uk.client.prod.eu-west.dreamlake.io/cruise-lines/costa-cruises/costa-favolosa&lt;/loc&gt;")</f>
        <v>https://odysia-cruise-uk.client.prod.eu-west.dreamlake.io/cruise-lines/costa-cruises/costa-favolosa&lt;/loc&gt;</v>
      </c>
      <c r="C317" s="181" t="str">
        <f>IFERROR(__xludf.DUMMYFUNCTION("REGEXREPLACE(B317, ""&lt;/loc&gt;"", """")"),"https://odysia-cruise-uk.client.prod.eu-west.dreamlake.io/cruise-lines/costa-cruises/costa-favolosa")</f>
        <v>https://odysia-cruise-uk.client.prod.eu-west.dreamlake.io/cruise-lines/costa-cruises/costa-favolosa</v>
      </c>
      <c r="D317" s="180" t="s">
        <v>987</v>
      </c>
      <c r="E317" s="180" t="str">
        <f>IFERROR(__xludf.DUMMYFUNCTION("REGEXREPLACE(D317, ""https://odysia-cruise-uk.client.prod.eu-west.dreamlake.io"", """")"),"/cruise-lines/costa-cruises/costa-favolosa")</f>
        <v>/cruise-lines/costa-cruises/costa-favolosa</v>
      </c>
    </row>
    <row r="318">
      <c r="A318" s="182" t="s">
        <v>988</v>
      </c>
      <c r="B318" s="180" t="str">
        <f>IFERROR(__xludf.DUMMYFUNCTION("REGEXREPLACE(A318, ""&lt;loc&gt;"", """")"),"https://odysia-cruise-uk.client.prod.eu-west.dreamlake.io/cruise-lines/azamara/azamara-onward&lt;/loc&gt;")</f>
        <v>https://odysia-cruise-uk.client.prod.eu-west.dreamlake.io/cruise-lines/azamara/azamara-onward&lt;/loc&gt;</v>
      </c>
      <c r="C318" s="181" t="str">
        <f>IFERROR(__xludf.DUMMYFUNCTION("REGEXREPLACE(B318, ""&lt;/loc&gt;"", """")"),"https://odysia-cruise-uk.client.prod.eu-west.dreamlake.io/cruise-lines/azamara/azamara-onward")</f>
        <v>https://odysia-cruise-uk.client.prod.eu-west.dreamlake.io/cruise-lines/azamara/azamara-onward</v>
      </c>
    </row>
    <row r="319">
      <c r="A319" s="182" t="s">
        <v>989</v>
      </c>
      <c r="B319" s="180" t="str">
        <f>IFERROR(__xludf.DUMMYFUNCTION("REGEXREPLACE(A319, ""&lt;loc&gt;"", """")"),"https://odysia-cruise-uk.client.prod.eu-west.dreamlake.io/cruise-lines/celebrity-cruises/celebrity-reflection/cruises&lt;/loc&gt;")</f>
        <v>https://odysia-cruise-uk.client.prod.eu-west.dreamlake.io/cruise-lines/celebrity-cruises/celebrity-reflection/cruises&lt;/loc&gt;</v>
      </c>
      <c r="C319" s="181" t="str">
        <f>IFERROR(__xludf.DUMMYFUNCTION("REGEXREPLACE(B319, ""&lt;/loc&gt;"", """")"),"https://odysia-cruise-uk.client.prod.eu-west.dreamlake.io/cruise-lines/celebrity-cruises/celebrity-reflection/cruises")</f>
        <v>https://odysia-cruise-uk.client.prod.eu-west.dreamlake.io/cruise-lines/celebrity-cruises/celebrity-reflection/cruises</v>
      </c>
      <c r="D319" s="180" t="s">
        <v>990</v>
      </c>
      <c r="E319" s="180" t="str">
        <f>IFERROR(__xludf.DUMMYFUNCTION("REGEXREPLACE(D319, ""https://odysia-cruise-uk.client.prod.eu-west.dreamlake.io"", """")"),"/cruise-lines/celebrity-cruises/celebrity-reflection/cruises")</f>
        <v>/cruise-lines/celebrity-cruises/celebrity-reflection/cruises</v>
      </c>
    </row>
    <row r="320">
      <c r="A320" s="182" t="s">
        <v>991</v>
      </c>
      <c r="B320" s="180" t="str">
        <f>IFERROR(__xludf.DUMMYFUNCTION("REGEXREPLACE(A320, ""&lt;loc&gt;"", """")"),"https://odysia-cruise-uk.client.prod.eu-west.dreamlake.io/cruise-lines/norwegian-cruise-line/norwegian-encore/cruises&lt;/loc&gt;")</f>
        <v>https://odysia-cruise-uk.client.prod.eu-west.dreamlake.io/cruise-lines/norwegian-cruise-line/norwegian-encore/cruises&lt;/loc&gt;</v>
      </c>
      <c r="C320" s="181" t="str">
        <f>IFERROR(__xludf.DUMMYFUNCTION("REGEXREPLACE(B320, ""&lt;/loc&gt;"", """")"),"https://odysia-cruise-uk.client.prod.eu-west.dreamlake.io/cruise-lines/norwegian-cruise-line/norwegian-encore/cruises")</f>
        <v>https://odysia-cruise-uk.client.prod.eu-west.dreamlake.io/cruise-lines/norwegian-cruise-line/norwegian-encore/cruises</v>
      </c>
      <c r="D320" s="180" t="s">
        <v>992</v>
      </c>
      <c r="E320" s="180" t="str">
        <f>IFERROR(__xludf.DUMMYFUNCTION("REGEXREPLACE(D320, ""https://odysia-cruise-uk.client.prod.eu-west.dreamlake.io"", """")"),"/cruise-lines/norwegian-cruise-line/norwegian-encore/cruises")</f>
        <v>/cruise-lines/norwegian-cruise-line/norwegian-encore/cruises</v>
      </c>
    </row>
    <row r="321">
      <c r="A321" s="182" t="s">
        <v>993</v>
      </c>
      <c r="B321" s="180" t="str">
        <f>IFERROR(__xludf.DUMMYFUNCTION("REGEXREPLACE(A321, ""&lt;loc&gt;"", """")"),"https://odysia-cruise-uk.client.prod.eu-west.dreamlake.io/cruise-lines/royal-caribbean/utopia-of-the-seas&lt;/loc&gt;")</f>
        <v>https://odysia-cruise-uk.client.prod.eu-west.dreamlake.io/cruise-lines/royal-caribbean/utopia-of-the-seas&lt;/loc&gt;</v>
      </c>
      <c r="C321" s="181" t="str">
        <f>IFERROR(__xludf.DUMMYFUNCTION("REGEXREPLACE(B321, ""&lt;/loc&gt;"", """")"),"https://odysia-cruise-uk.client.prod.eu-west.dreamlake.io/cruise-lines/royal-caribbean/utopia-of-the-seas")</f>
        <v>https://odysia-cruise-uk.client.prod.eu-west.dreamlake.io/cruise-lines/royal-caribbean/utopia-of-the-seas</v>
      </c>
      <c r="D321" s="180" t="s">
        <v>994</v>
      </c>
      <c r="E321" s="180" t="str">
        <f>IFERROR(__xludf.DUMMYFUNCTION("REGEXREPLACE(D321, ""https://odysia-cruise-uk.client.prod.eu-west.dreamlake.io"", """")"),"/cruise-lines/royal-caribbean/utopia-of-the-seas")</f>
        <v>/cruise-lines/royal-caribbean/utopia-of-the-seas</v>
      </c>
    </row>
    <row r="322">
      <c r="A322" s="182" t="s">
        <v>995</v>
      </c>
      <c r="B322" s="180" t="str">
        <f>IFERROR(__xludf.DUMMYFUNCTION("REGEXREPLACE(A322, ""&lt;loc&gt;"", """")"),"https://odysia-cruise-uk.client.prod.eu-west.dreamlake.io/cruise-lines/holland-america-line/volendam&lt;/loc&gt;")</f>
        <v>https://odysia-cruise-uk.client.prod.eu-west.dreamlake.io/cruise-lines/holland-america-line/volendam&lt;/loc&gt;</v>
      </c>
      <c r="C322" s="181" t="str">
        <f>IFERROR(__xludf.DUMMYFUNCTION("REGEXREPLACE(B322, ""&lt;/loc&gt;"", """")"),"https://odysia-cruise-uk.client.prod.eu-west.dreamlake.io/cruise-lines/holland-america-line/volendam")</f>
        <v>https://odysia-cruise-uk.client.prod.eu-west.dreamlake.io/cruise-lines/holland-america-line/volendam</v>
      </c>
      <c r="D322" s="180" t="s">
        <v>996</v>
      </c>
      <c r="E322" s="180" t="str">
        <f>IFERROR(__xludf.DUMMYFUNCTION("REGEXREPLACE(D322, ""https://odysia-cruise-uk.client.prod.eu-west.dreamlake.io"", """")"),"/cruise-lines/holland-america-line/volendam")</f>
        <v>/cruise-lines/holland-america-line/volendam</v>
      </c>
    </row>
    <row r="323">
      <c r="A323" s="182" t="s">
        <v>997</v>
      </c>
      <c r="B323" s="180" t="str">
        <f>IFERROR(__xludf.DUMMYFUNCTION("REGEXREPLACE(A323, ""&lt;loc&gt;"", """")"),"https://odysia-cruise-uk.client.prod.eu-west.dreamlake.io/cruise-deals/cruises-from-liverpool&lt;/loc&gt;")</f>
        <v>https://odysia-cruise-uk.client.prod.eu-west.dreamlake.io/cruise-deals/cruises-from-liverpool&lt;/loc&gt;</v>
      </c>
      <c r="C323" s="181" t="str">
        <f>IFERROR(__xludf.DUMMYFUNCTION("REGEXREPLACE(B323, ""&lt;/loc&gt;"", """")"),"https://odysia-cruise-uk.client.prod.eu-west.dreamlake.io/cruise-deals/cruises-from-liverpool")</f>
        <v>https://odysia-cruise-uk.client.prod.eu-west.dreamlake.io/cruise-deals/cruises-from-liverpool</v>
      </c>
      <c r="D323" s="180" t="s">
        <v>998</v>
      </c>
    </row>
    <row r="324">
      <c r="A324" s="182" t="s">
        <v>999</v>
      </c>
      <c r="B324" s="180" t="str">
        <f>IFERROR(__xludf.DUMMYFUNCTION("REGEXREPLACE(A324, ""&lt;loc&gt;"", """")"),"https://odysia-cruise-uk.client.prod.eu-west.dreamlake.io/cruise-lines/royal-caribbean/rhapsody-of-the-seas&lt;/loc&gt;")</f>
        <v>https://odysia-cruise-uk.client.prod.eu-west.dreamlake.io/cruise-lines/royal-caribbean/rhapsody-of-the-seas&lt;/loc&gt;</v>
      </c>
      <c r="C324" s="181" t="str">
        <f>IFERROR(__xludf.DUMMYFUNCTION("REGEXREPLACE(B324, ""&lt;/loc&gt;"", """")"),"https://odysia-cruise-uk.client.prod.eu-west.dreamlake.io/cruise-lines/royal-caribbean/rhapsody-of-the-seas")</f>
        <v>https://odysia-cruise-uk.client.prod.eu-west.dreamlake.io/cruise-lines/royal-caribbean/rhapsody-of-the-seas</v>
      </c>
      <c r="D324" s="180" t="s">
        <v>1000</v>
      </c>
      <c r="E324" s="180" t="str">
        <f>IFERROR(__xludf.DUMMYFUNCTION("REGEXREPLACE(D324, ""https://odysia-cruise-uk.client.prod.eu-west.dreamlake.io"", """")"),"/cruise-lines/royal-caribbean/rhapsody-of-the-seas")</f>
        <v>/cruise-lines/royal-caribbean/rhapsody-of-the-seas</v>
      </c>
    </row>
    <row r="325">
      <c r="A325" s="182" t="s">
        <v>1001</v>
      </c>
      <c r="B325" s="180" t="str">
        <f>IFERROR(__xludf.DUMMYFUNCTION("REGEXREPLACE(A325, ""&lt;loc&gt;"", """")"),"https://odysia-cruise-uk.client.prod.eu-west.dreamlake.io/cruise-lines/po-cruises/arcadia/cruises&lt;/loc&gt;")</f>
        <v>https://odysia-cruise-uk.client.prod.eu-west.dreamlake.io/cruise-lines/po-cruises/arcadia/cruises&lt;/loc&gt;</v>
      </c>
      <c r="C325" s="181" t="str">
        <f>IFERROR(__xludf.DUMMYFUNCTION("REGEXREPLACE(B325, ""&lt;/loc&gt;"", """")"),"https://odysia-cruise-uk.client.prod.eu-west.dreamlake.io/cruise-lines/po-cruises/arcadia/cruises")</f>
        <v>https://odysia-cruise-uk.client.prod.eu-west.dreamlake.io/cruise-lines/po-cruises/arcadia/cruises</v>
      </c>
      <c r="D325" s="180" t="s">
        <v>1002</v>
      </c>
      <c r="E325" s="180" t="str">
        <f>IFERROR(__xludf.DUMMYFUNCTION("REGEXREPLACE(D325, ""https://odysia-cruise-uk.client.prod.eu-west.dreamlake.io"", """")"),"/cruise-lines/po-cruises/arcadia/cruises")</f>
        <v>/cruise-lines/po-cruises/arcadia/cruises</v>
      </c>
    </row>
    <row r="326">
      <c r="A326" s="182" t="s">
        <v>1003</v>
      </c>
      <c r="B326" s="180" t="str">
        <f>IFERROR(__xludf.DUMMYFUNCTION("REGEXREPLACE(A326, ""&lt;loc&gt;"", """")"),"https://odysia-cruise-uk.client.prod.eu-west.dreamlake.io/cruise-lines/oceania-cruises/oceania-vista/cruises&lt;/loc&gt;")</f>
        <v>https://odysia-cruise-uk.client.prod.eu-west.dreamlake.io/cruise-lines/oceania-cruises/oceania-vista/cruises&lt;/loc&gt;</v>
      </c>
      <c r="C326" s="181" t="str">
        <f>IFERROR(__xludf.DUMMYFUNCTION("REGEXREPLACE(B326, ""&lt;/loc&gt;"", """")"),"https://odysia-cruise-uk.client.prod.eu-west.dreamlake.io/cruise-lines/oceania-cruises/oceania-vista/cruises")</f>
        <v>https://odysia-cruise-uk.client.prod.eu-west.dreamlake.io/cruise-lines/oceania-cruises/oceania-vista/cruises</v>
      </c>
      <c r="D326" s="180" t="s">
        <v>1004</v>
      </c>
      <c r="E326" s="180" t="str">
        <f>IFERROR(__xludf.DUMMYFUNCTION("REGEXREPLACE(D326, ""https://odysia-cruise-uk.client.prod.eu-west.dreamlake.io"", """")"),"/cruise-lines/oceania-cruises/oceania-vista/cruises")</f>
        <v>/cruise-lines/oceania-cruises/oceania-vista/cruises</v>
      </c>
    </row>
    <row r="327">
      <c r="A327" s="182" t="s">
        <v>1005</v>
      </c>
      <c r="B327" s="180" t="str">
        <f>IFERROR(__xludf.DUMMYFUNCTION("REGEXREPLACE(A327, ""&lt;loc&gt;"", """")"),"https://odysia-cruise-uk.client.prod.eu-west.dreamlake.io/cruise-lines/seabourn/seabourn-quest/cruises&lt;/loc&gt;")</f>
        <v>https://odysia-cruise-uk.client.prod.eu-west.dreamlake.io/cruise-lines/seabourn/seabourn-quest/cruises&lt;/loc&gt;</v>
      </c>
      <c r="C327" s="181" t="str">
        <f>IFERROR(__xludf.DUMMYFUNCTION("REGEXREPLACE(B327, ""&lt;/loc&gt;"", """")"),"https://odysia-cruise-uk.client.prod.eu-west.dreamlake.io/cruise-lines/seabourn/seabourn-quest/cruises")</f>
        <v>https://odysia-cruise-uk.client.prod.eu-west.dreamlake.io/cruise-lines/seabourn/seabourn-quest/cruises</v>
      </c>
      <c r="D327" s="180" t="s">
        <v>1006</v>
      </c>
      <c r="E327" s="180" t="str">
        <f>IFERROR(__xludf.DUMMYFUNCTION("REGEXREPLACE(D327, ""https://odysia-cruise-uk.client.prod.eu-west.dreamlake.io"", """")"),"/cruise-lines/seabourn/seabourn-quest/cruises")</f>
        <v>/cruise-lines/seabourn/seabourn-quest/cruises</v>
      </c>
    </row>
    <row r="328">
      <c r="A328" s="182" t="s">
        <v>1007</v>
      </c>
      <c r="B328" s="180" t="str">
        <f>IFERROR(__xludf.DUMMYFUNCTION("REGEXREPLACE(A328, ""&lt;loc&gt;"", """")"),"https://odysia-cruise-uk.client.prod.eu-west.dreamlake.io/cruise-calendar/caribbean-cruise-dates&lt;/loc&gt;")</f>
        <v>https://odysia-cruise-uk.client.prod.eu-west.dreamlake.io/cruise-calendar/caribbean-cruise-dates&lt;/loc&gt;</v>
      </c>
      <c r="C328" s="181" t="str">
        <f>IFERROR(__xludf.DUMMYFUNCTION("REGEXREPLACE(B328, ""&lt;/loc&gt;"", """")"),"https://odysia-cruise-uk.client.prod.eu-west.dreamlake.io/cruise-calendar/caribbean-cruise-dates")</f>
        <v>https://odysia-cruise-uk.client.prod.eu-west.dreamlake.io/cruise-calendar/caribbean-cruise-dates</v>
      </c>
    </row>
    <row r="329">
      <c r="A329" s="182" t="s">
        <v>1008</v>
      </c>
      <c r="B329" s="180" t="str">
        <f>IFERROR(__xludf.DUMMYFUNCTION("REGEXREPLACE(A329, ""&lt;loc&gt;"", """")"),"https://odysia-cruise-uk.client.prod.eu-west.dreamlake.io/cruise-lines/msc-cruises/msc-sinfonia&lt;/loc&gt;")</f>
        <v>https://odysia-cruise-uk.client.prod.eu-west.dreamlake.io/cruise-lines/msc-cruises/msc-sinfonia&lt;/loc&gt;</v>
      </c>
      <c r="C329" s="181" t="str">
        <f>IFERROR(__xludf.DUMMYFUNCTION("REGEXREPLACE(B329, ""&lt;/loc&gt;"", """")"),"https://odysia-cruise-uk.client.prod.eu-west.dreamlake.io/cruise-lines/msc-cruises/msc-sinfonia")</f>
        <v>https://odysia-cruise-uk.client.prod.eu-west.dreamlake.io/cruise-lines/msc-cruises/msc-sinfonia</v>
      </c>
      <c r="D329" s="180" t="s">
        <v>1009</v>
      </c>
      <c r="E329" s="180" t="str">
        <f>IFERROR(__xludf.DUMMYFUNCTION("REGEXREPLACE(D329, ""https://odysia-cruise-uk.client.prod.eu-west.dreamlake.io"", """")"),"/cruise-lines/msc-cruises/msc-sinfonia")</f>
        <v>/cruise-lines/msc-cruises/msc-sinfonia</v>
      </c>
    </row>
    <row r="330">
      <c r="A330" s="182" t="s">
        <v>1010</v>
      </c>
      <c r="B330" s="180" t="str">
        <f>IFERROR(__xludf.DUMMYFUNCTION("REGEXREPLACE(A330, ""&lt;loc&gt;"", """")"),"https://odysia-cruise-uk.client.prod.eu-west.dreamlake.io/cruise-lines/seabourn/seabourn-sojourn/cruises&lt;/loc&gt;")</f>
        <v>https://odysia-cruise-uk.client.prod.eu-west.dreamlake.io/cruise-lines/seabourn/seabourn-sojourn/cruises&lt;/loc&gt;</v>
      </c>
      <c r="C330" s="181" t="str">
        <f>IFERROR(__xludf.DUMMYFUNCTION("REGEXREPLACE(B330, ""&lt;/loc&gt;"", """")"),"https://odysia-cruise-uk.client.prod.eu-west.dreamlake.io/cruise-lines/seabourn/seabourn-sojourn/cruises")</f>
        <v>https://odysia-cruise-uk.client.prod.eu-west.dreamlake.io/cruise-lines/seabourn/seabourn-sojourn/cruises</v>
      </c>
      <c r="D330" s="180" t="s">
        <v>1011</v>
      </c>
      <c r="E330" s="180" t="str">
        <f>IFERROR(__xludf.DUMMYFUNCTION("REGEXREPLACE(D330, ""https://odysia-cruise-uk.client.prod.eu-west.dreamlake.io"", """")"),"/cruise-lines/seabourn/seabourn-sojourn/cruises")</f>
        <v>/cruise-lines/seabourn/seabourn-sojourn/cruises</v>
      </c>
    </row>
    <row r="331">
      <c r="A331" s="182" t="s">
        <v>1012</v>
      </c>
      <c r="B331" s="180" t="str">
        <f>IFERROR(__xludf.DUMMYFUNCTION("REGEXREPLACE(A331, ""&lt;loc&gt;"", """")"),"https://odysia-cruise-uk.client.prod.eu-west.dreamlake.io/cruise-lines/norwegian-cruise-line/norwegian-star&lt;/loc&gt;")</f>
        <v>https://odysia-cruise-uk.client.prod.eu-west.dreamlake.io/cruise-lines/norwegian-cruise-line/norwegian-star&lt;/loc&gt;</v>
      </c>
      <c r="C331" s="181" t="str">
        <f>IFERROR(__xludf.DUMMYFUNCTION("REGEXREPLACE(B331, ""&lt;/loc&gt;"", """")"),"https://odysia-cruise-uk.client.prod.eu-west.dreamlake.io/cruise-lines/norwegian-cruise-line/norwegian-star")</f>
        <v>https://odysia-cruise-uk.client.prod.eu-west.dreamlake.io/cruise-lines/norwegian-cruise-line/norwegian-star</v>
      </c>
      <c r="D331" s="180" t="s">
        <v>1013</v>
      </c>
      <c r="E331" s="180" t="str">
        <f>IFERROR(__xludf.DUMMYFUNCTION("REGEXREPLACE(D331, ""https://odysia-cruise-uk.client.prod.eu-west.dreamlake.io"", """")"),"/cruise-lines/norwegian-cruise-line/norwegian-star")</f>
        <v>/cruise-lines/norwegian-cruise-line/norwegian-star</v>
      </c>
    </row>
    <row r="332">
      <c r="A332" s="182" t="s">
        <v>1014</v>
      </c>
      <c r="B332" s="180" t="str">
        <f>IFERROR(__xludf.DUMMYFUNCTION("REGEXREPLACE(A332, ""&lt;loc&gt;"", """")"),"https://odysia-cruise-uk.client.prod.eu-west.dreamlake.io/cruise-lines/royal-caribbean/legend-of-the-seas&lt;/loc&gt;")</f>
        <v>https://odysia-cruise-uk.client.prod.eu-west.dreamlake.io/cruise-lines/royal-caribbean/legend-of-the-seas&lt;/loc&gt;</v>
      </c>
      <c r="C332" s="181" t="str">
        <f>IFERROR(__xludf.DUMMYFUNCTION("REGEXREPLACE(B332, ""&lt;/loc&gt;"", """")"),"https://odysia-cruise-uk.client.prod.eu-west.dreamlake.io/cruise-lines/royal-caribbean/legend-of-the-seas")</f>
        <v>https://odysia-cruise-uk.client.prod.eu-west.dreamlake.io/cruise-lines/royal-caribbean/legend-of-the-seas</v>
      </c>
      <c r="D332" s="180" t="s">
        <v>1015</v>
      </c>
      <c r="E332" s="180" t="str">
        <f>IFERROR(__xludf.DUMMYFUNCTION("REGEXREPLACE(D332, ""https://odysia-cruise-uk.client.prod.eu-west.dreamlake.io"", """")"),"/cruise-lines/royal-caribbean/legend-of-the-seas")</f>
        <v>/cruise-lines/royal-caribbean/legend-of-the-seas</v>
      </c>
    </row>
    <row r="333">
      <c r="A333" s="182" t="s">
        <v>1016</v>
      </c>
      <c r="B333" s="180" t="str">
        <f>IFERROR(__xludf.DUMMYFUNCTION("REGEXREPLACE(A333, ""&lt;loc&gt;"", """")"),"https://odysia-cruise-uk.client.prod.eu-west.dreamlake.io/cruise-lines/msc-cruises/msc-opera&lt;/loc&gt;")</f>
        <v>https://odysia-cruise-uk.client.prod.eu-west.dreamlake.io/cruise-lines/msc-cruises/msc-opera&lt;/loc&gt;</v>
      </c>
      <c r="C333" s="181" t="str">
        <f>IFERROR(__xludf.DUMMYFUNCTION("REGEXREPLACE(B333, ""&lt;/loc&gt;"", """")"),"https://odysia-cruise-uk.client.prod.eu-west.dreamlake.io/cruise-lines/msc-cruises/msc-opera")</f>
        <v>https://odysia-cruise-uk.client.prod.eu-west.dreamlake.io/cruise-lines/msc-cruises/msc-opera</v>
      </c>
      <c r="D333" s="180" t="s">
        <v>1017</v>
      </c>
      <c r="E333" s="180" t="str">
        <f>IFERROR(__xludf.DUMMYFUNCTION("REGEXREPLACE(D333, ""https://odysia-cruise-uk.client.prod.eu-west.dreamlake.io"", """")"),"/cruise-lines/msc-cruises/msc-opera")</f>
        <v>/cruise-lines/msc-cruises/msc-opera</v>
      </c>
    </row>
    <row r="334">
      <c r="A334" s="182" t="s">
        <v>1018</v>
      </c>
      <c r="B334" s="180" t="str">
        <f>IFERROR(__xludf.DUMMYFUNCTION("REGEXREPLACE(A334, ""&lt;loc&gt;"", """")"),"https://odysia-cruise-uk.client.prod.eu-west.dreamlake.io/cruise-lines/ambassador-cruise-line/ambition/cruises&lt;/loc&gt;")</f>
        <v>https://odysia-cruise-uk.client.prod.eu-west.dreamlake.io/cruise-lines/ambassador-cruise-line/ambition/cruises&lt;/loc&gt;</v>
      </c>
      <c r="C334" s="181" t="str">
        <f>IFERROR(__xludf.DUMMYFUNCTION("REGEXREPLACE(B334, ""&lt;/loc&gt;"", """")"),"https://odysia-cruise-uk.client.prod.eu-west.dreamlake.io/cruise-lines/ambassador-cruise-line/ambition/cruises")</f>
        <v>https://odysia-cruise-uk.client.prod.eu-west.dreamlake.io/cruise-lines/ambassador-cruise-line/ambition/cruises</v>
      </c>
      <c r="D334" s="180" t="s">
        <v>1019</v>
      </c>
      <c r="E334" s="180" t="str">
        <f>IFERROR(__xludf.DUMMYFUNCTION("REGEXREPLACE(D334, ""https://odysia-cruise-uk.client.prod.eu-west.dreamlake.io"", """")"),"/cruise-lines/ambassador-cruise-line/ambition/cruises")</f>
        <v>/cruise-lines/ambassador-cruise-line/ambition/cruises</v>
      </c>
    </row>
    <row r="335">
      <c r="A335" s="182" t="s">
        <v>1020</v>
      </c>
      <c r="B335" s="180" t="str">
        <f>IFERROR(__xludf.DUMMYFUNCTION("REGEXREPLACE(A335, ""&lt;loc&gt;"", """")"),"https://odysia-cruise-uk.client.prod.eu-west.dreamlake.io/cruise-lines/princess-cruises/ruby-princess/cruises&lt;/loc&gt;")</f>
        <v>https://odysia-cruise-uk.client.prod.eu-west.dreamlake.io/cruise-lines/princess-cruises/ruby-princess/cruises&lt;/loc&gt;</v>
      </c>
      <c r="C335" s="181" t="str">
        <f>IFERROR(__xludf.DUMMYFUNCTION("REGEXREPLACE(B335, ""&lt;/loc&gt;"", """")"),"https://odysia-cruise-uk.client.prod.eu-west.dreamlake.io/cruise-lines/princess-cruises/ruby-princess/cruises")</f>
        <v>https://odysia-cruise-uk.client.prod.eu-west.dreamlake.io/cruise-lines/princess-cruises/ruby-princess/cruises</v>
      </c>
      <c r="D335" s="180" t="s">
        <v>1021</v>
      </c>
      <c r="E335" s="180" t="str">
        <f>IFERROR(__xludf.DUMMYFUNCTION("REGEXREPLACE(D335, ""https://odysia-cruise-uk.client.prod.eu-west.dreamlake.io"", """")"),"/cruise-lines/princess-cruises/ruby-princess/cruises")</f>
        <v>/cruise-lines/princess-cruises/ruby-princess/cruises</v>
      </c>
    </row>
    <row r="336">
      <c r="A336" s="182" t="s">
        <v>1022</v>
      </c>
      <c r="B336" s="180" t="str">
        <f>IFERROR(__xludf.DUMMYFUNCTION("REGEXREPLACE(A336, ""&lt;loc&gt;"", """")"),"https://odysia-cruise-uk.client.prod.eu-west.dreamlake.io/cruises&lt;/loc&gt;")</f>
        <v>https://odysia-cruise-uk.client.prod.eu-west.dreamlake.io/cruises&lt;/loc&gt;</v>
      </c>
      <c r="C336" s="181" t="str">
        <f>IFERROR(__xludf.DUMMYFUNCTION("REGEXREPLACE(B336, ""&lt;/loc&gt;"", """")"),"https://odysia-cruise-uk.client.prod.eu-west.dreamlake.io/cruises")</f>
        <v>https://odysia-cruise-uk.client.prod.eu-west.dreamlake.io/cruises</v>
      </c>
    </row>
    <row r="337">
      <c r="A337" s="182" t="s">
        <v>1023</v>
      </c>
      <c r="B337" s="180" t="str">
        <f>IFERROR(__xludf.DUMMYFUNCTION("REGEXREPLACE(A337, ""&lt;loc&gt;"", """")"),"https://odysia-cruise-uk.client.prod.eu-west.dreamlake.io/cruise-lines/cunard/queen-mary-2&lt;/loc&gt;")</f>
        <v>https://odysia-cruise-uk.client.prod.eu-west.dreamlake.io/cruise-lines/cunard/queen-mary-2&lt;/loc&gt;</v>
      </c>
      <c r="C337" s="181" t="str">
        <f>IFERROR(__xludf.DUMMYFUNCTION("REGEXREPLACE(B337, ""&lt;/loc&gt;"", """")"),"https://odysia-cruise-uk.client.prod.eu-west.dreamlake.io/cruise-lines/cunard/queen-mary-2")</f>
        <v>https://odysia-cruise-uk.client.prod.eu-west.dreamlake.io/cruise-lines/cunard/queen-mary-2</v>
      </c>
      <c r="D337" s="180" t="s">
        <v>1024</v>
      </c>
      <c r="E337" s="180" t="str">
        <f>IFERROR(__xludf.DUMMYFUNCTION("REGEXREPLACE(D337, ""https://odysia-cruise-uk.client.prod.eu-west.dreamlake.io"", """")"),"/cruise-lines/cunard/queen-mary-2")</f>
        <v>/cruise-lines/cunard/queen-mary-2</v>
      </c>
    </row>
    <row r="338">
      <c r="A338" s="182" t="s">
        <v>1025</v>
      </c>
      <c r="B338" s="180" t="str">
        <f>IFERROR(__xludf.DUMMYFUNCTION("REGEXREPLACE(A338, ""&lt;loc&gt;"", """")"),"https://odysia-cruise-uk.client.prod.eu-west.dreamlake.io/cruise-lines/fred-olsen-cruises/bolette&lt;/loc&gt;")</f>
        <v>https://odysia-cruise-uk.client.prod.eu-west.dreamlake.io/cruise-lines/fred-olsen-cruises/bolette&lt;/loc&gt;</v>
      </c>
      <c r="C338" s="181" t="str">
        <f>IFERROR(__xludf.DUMMYFUNCTION("REGEXREPLACE(B338, ""&lt;/loc&gt;"", """")"),"https://odysia-cruise-uk.client.prod.eu-west.dreamlake.io/cruise-lines/fred-olsen-cruises/bolette")</f>
        <v>https://odysia-cruise-uk.client.prod.eu-west.dreamlake.io/cruise-lines/fred-olsen-cruises/bolette</v>
      </c>
      <c r="D338" s="180" t="s">
        <v>1026</v>
      </c>
      <c r="E338" s="180" t="str">
        <f>IFERROR(__xludf.DUMMYFUNCTION("REGEXREPLACE(D338, ""https://odysia-cruise-uk.client.prod.eu-west.dreamlake.io"", """")"),"/cruise-lines/fred-olsen-cruises/bolette")</f>
        <v>/cruise-lines/fred-olsen-cruises/bolette</v>
      </c>
    </row>
    <row r="339">
      <c r="A339" s="182" t="s">
        <v>1027</v>
      </c>
      <c r="B339" s="180" t="str">
        <f>IFERROR(__xludf.DUMMYFUNCTION("REGEXREPLACE(A339, ""&lt;loc&gt;"", """")"),"https://odysia-cruise-uk.client.prod.eu-west.dreamlake.io/cruise-lines/norwegian-cruise-line/norwegian-spirit/cruises&lt;/loc&gt;")</f>
        <v>https://odysia-cruise-uk.client.prod.eu-west.dreamlake.io/cruise-lines/norwegian-cruise-line/norwegian-spirit/cruises&lt;/loc&gt;</v>
      </c>
      <c r="C339" s="181" t="str">
        <f>IFERROR(__xludf.DUMMYFUNCTION("REGEXREPLACE(B339, ""&lt;/loc&gt;"", """")"),"https://odysia-cruise-uk.client.prod.eu-west.dreamlake.io/cruise-lines/norwegian-cruise-line/norwegian-spirit/cruises")</f>
        <v>https://odysia-cruise-uk.client.prod.eu-west.dreamlake.io/cruise-lines/norwegian-cruise-line/norwegian-spirit/cruises</v>
      </c>
      <c r="D339" s="180" t="s">
        <v>1028</v>
      </c>
      <c r="E339" s="180" t="str">
        <f>IFERROR(__xludf.DUMMYFUNCTION("REGEXREPLACE(D339, ""https://odysia-cruise-uk.client.prod.eu-west.dreamlake.io"", """")"),"/cruise-lines/norwegian-cruise-line/norwegian-spirit/cruises")</f>
        <v>/cruise-lines/norwegian-cruise-line/norwegian-spirit/cruises</v>
      </c>
    </row>
    <row r="340">
      <c r="A340" s="182" t="s">
        <v>1029</v>
      </c>
      <c r="B340" s="180" t="str">
        <f>IFERROR(__xludf.DUMMYFUNCTION("REGEXREPLACE(A340, ""&lt;loc&gt;"", """")"),"https://odysia-cruise-uk.client.prod.eu-west.dreamlake.io/cruise-lines/royal-caribbean/grandeur-of-the-seas&lt;/loc&gt;")</f>
        <v>https://odysia-cruise-uk.client.prod.eu-west.dreamlake.io/cruise-lines/royal-caribbean/grandeur-of-the-seas&lt;/loc&gt;</v>
      </c>
      <c r="C340" s="181" t="str">
        <f>IFERROR(__xludf.DUMMYFUNCTION("REGEXREPLACE(B340, ""&lt;/loc&gt;"", """")"),"https://odysia-cruise-uk.client.prod.eu-west.dreamlake.io/cruise-lines/royal-caribbean/grandeur-of-the-seas")</f>
        <v>https://odysia-cruise-uk.client.prod.eu-west.dreamlake.io/cruise-lines/royal-caribbean/grandeur-of-the-seas</v>
      </c>
      <c r="D340" s="180" t="s">
        <v>1030</v>
      </c>
      <c r="E340" s="180" t="str">
        <f>IFERROR(__xludf.DUMMYFUNCTION("REGEXREPLACE(D340, ""https://odysia-cruise-uk.client.prod.eu-west.dreamlake.io"", """")"),"/cruise-lines/royal-caribbean/grandeur-of-the-seas")</f>
        <v>/cruise-lines/royal-caribbean/grandeur-of-the-seas</v>
      </c>
    </row>
    <row r="341">
      <c r="A341" s="182" t="s">
        <v>1031</v>
      </c>
      <c r="B341" s="180" t="str">
        <f>IFERROR(__xludf.DUMMYFUNCTION("REGEXREPLACE(A341, ""&lt;loc&gt;"", """")"),"https://odysia-cruise-uk.client.prod.eu-west.dreamlake.io/destinations/central-south-america-cruises&lt;/loc&gt;")</f>
        <v>https://odysia-cruise-uk.client.prod.eu-west.dreamlake.io/destinations/central-south-america-cruises&lt;/loc&gt;</v>
      </c>
      <c r="C341" s="181" t="str">
        <f>IFERROR(__xludf.DUMMYFUNCTION("REGEXREPLACE(B341, ""&lt;/loc&gt;"", """")"),"https://odysia-cruise-uk.client.prod.eu-west.dreamlake.io/destinations/central-south-america-cruises")</f>
        <v>https://odysia-cruise-uk.client.prod.eu-west.dreamlake.io/destinations/central-south-america-cruises</v>
      </c>
    </row>
    <row r="342">
      <c r="A342" s="182" t="s">
        <v>1032</v>
      </c>
      <c r="B342" s="180" t="str">
        <f>IFERROR(__xludf.DUMMYFUNCTION("REGEXREPLACE(A342, ""&lt;loc&gt;"", """")"),"https://odysia-cruise-uk.client.prod.eu-west.dreamlake.io/cruise-lines/norwegian-cruise-line/norwegian-jewel/cruises&lt;/loc&gt;")</f>
        <v>https://odysia-cruise-uk.client.prod.eu-west.dreamlake.io/cruise-lines/norwegian-cruise-line/norwegian-jewel/cruises&lt;/loc&gt;</v>
      </c>
      <c r="C342" s="181" t="str">
        <f>IFERROR(__xludf.DUMMYFUNCTION("REGEXREPLACE(B342, ""&lt;/loc&gt;"", """")"),"https://odysia-cruise-uk.client.prod.eu-west.dreamlake.io/cruise-lines/norwegian-cruise-line/norwegian-jewel/cruises")</f>
        <v>https://odysia-cruise-uk.client.prod.eu-west.dreamlake.io/cruise-lines/norwegian-cruise-line/norwegian-jewel/cruises</v>
      </c>
      <c r="D342" s="180" t="s">
        <v>1033</v>
      </c>
      <c r="E342" s="180" t="str">
        <f>IFERROR(__xludf.DUMMYFUNCTION("REGEXREPLACE(D342, ""https://odysia-cruise-uk.client.prod.eu-west.dreamlake.io"", """")"),"/cruise-lines/norwegian-cruise-line/norwegian-jewel/cruises")</f>
        <v>/cruise-lines/norwegian-cruise-line/norwegian-jewel/cruises</v>
      </c>
    </row>
    <row r="343">
      <c r="A343" s="182" t="s">
        <v>1034</v>
      </c>
      <c r="B343" s="180" t="str">
        <f>IFERROR(__xludf.DUMMYFUNCTION("REGEXREPLACE(A343, ""&lt;loc&gt;"", """")"),"https://odysia-cruise-uk.client.prod.eu-west.dreamlake.io/cruise-lines/regent-seven-seas-cruises/seven-seas-voyager&lt;/loc&gt;")</f>
        <v>https://odysia-cruise-uk.client.prod.eu-west.dreamlake.io/cruise-lines/regent-seven-seas-cruises/seven-seas-voyager&lt;/loc&gt;</v>
      </c>
      <c r="C343" s="181" t="str">
        <f>IFERROR(__xludf.DUMMYFUNCTION("REGEXREPLACE(B343, ""&lt;/loc&gt;"", """")"),"https://odysia-cruise-uk.client.prod.eu-west.dreamlake.io/cruise-lines/regent-seven-seas-cruises/seven-seas-voyager")</f>
        <v>https://odysia-cruise-uk.client.prod.eu-west.dreamlake.io/cruise-lines/regent-seven-seas-cruises/seven-seas-voyager</v>
      </c>
      <c r="D343" s="180" t="s">
        <v>1035</v>
      </c>
      <c r="E343" s="180" t="str">
        <f>IFERROR(__xludf.DUMMYFUNCTION("REGEXREPLACE(D343, ""https://odysia-cruise-uk.client.prod.eu-west.dreamlake.io"", """")"),"/cruise-lines/regent-seven-seas-cruises/seven-seas-voyager")</f>
        <v>/cruise-lines/regent-seven-seas-cruises/seven-seas-voyager</v>
      </c>
    </row>
    <row r="344">
      <c r="A344" s="182" t="s">
        <v>1036</v>
      </c>
      <c r="B344" s="180" t="str">
        <f>IFERROR(__xludf.DUMMYFUNCTION("REGEXREPLACE(A344, ""&lt;loc&gt;"", """")"),"https://odysia-cruise-uk.client.prod.eu-west.dreamlake.io/cruise-lines/msc-cruises/msc-meraviglia&lt;/loc&gt;")</f>
        <v>https://odysia-cruise-uk.client.prod.eu-west.dreamlake.io/cruise-lines/msc-cruises/msc-meraviglia&lt;/loc&gt;</v>
      </c>
      <c r="C344" s="181" t="str">
        <f>IFERROR(__xludf.DUMMYFUNCTION("REGEXREPLACE(B344, ""&lt;/loc&gt;"", """")"),"https://odysia-cruise-uk.client.prod.eu-west.dreamlake.io/cruise-lines/msc-cruises/msc-meraviglia")</f>
        <v>https://odysia-cruise-uk.client.prod.eu-west.dreamlake.io/cruise-lines/msc-cruises/msc-meraviglia</v>
      </c>
      <c r="D344" s="180" t="s">
        <v>1037</v>
      </c>
      <c r="E344" s="180" t="str">
        <f>IFERROR(__xludf.DUMMYFUNCTION("REGEXREPLACE(D344, ""https://odysia-cruise-uk.client.prod.eu-west.dreamlake.io"", """")"),"/cruise-lines/msc-cruises/msc-meraviglia")</f>
        <v>/cruise-lines/msc-cruises/msc-meraviglia</v>
      </c>
    </row>
    <row r="345">
      <c r="A345" s="182" t="s">
        <v>1038</v>
      </c>
      <c r="B345" s="180" t="str">
        <f>IFERROR(__xludf.DUMMYFUNCTION("REGEXREPLACE(A345, ""&lt;loc&gt;"", """")"),"https://odysia-cruise-uk.client.prod.eu-west.dreamlake.io/destinations/middle-east-cruises&lt;/loc&gt;")</f>
        <v>https://odysia-cruise-uk.client.prod.eu-west.dreamlake.io/destinations/middle-east-cruises&lt;/loc&gt;</v>
      </c>
      <c r="C345" s="181" t="str">
        <f>IFERROR(__xludf.DUMMYFUNCTION("REGEXREPLACE(B345, ""&lt;/loc&gt;"", """")"),"https://odysia-cruise-uk.client.prod.eu-west.dreamlake.io/destinations/middle-east-cruises")</f>
        <v>https://odysia-cruise-uk.client.prod.eu-west.dreamlake.io/destinations/middle-east-cruises</v>
      </c>
    </row>
    <row r="346">
      <c r="A346" s="182" t="s">
        <v>1039</v>
      </c>
      <c r="B346" s="180" t="str">
        <f>IFERROR(__xludf.DUMMYFUNCTION("REGEXREPLACE(A346, ""&lt;loc&gt;"", """")"),"https://odysia-cruise-uk.client.prod.eu-west.dreamlake.io/cruise-lines/norwegian-cruise-line/norwegian-sky&lt;/loc&gt;")</f>
        <v>https://odysia-cruise-uk.client.prod.eu-west.dreamlake.io/cruise-lines/norwegian-cruise-line/norwegian-sky&lt;/loc&gt;</v>
      </c>
      <c r="C346" s="181" t="str">
        <f>IFERROR(__xludf.DUMMYFUNCTION("REGEXREPLACE(B346, ""&lt;/loc&gt;"", """")"),"https://odysia-cruise-uk.client.prod.eu-west.dreamlake.io/cruise-lines/norwegian-cruise-line/norwegian-sky")</f>
        <v>https://odysia-cruise-uk.client.prod.eu-west.dreamlake.io/cruise-lines/norwegian-cruise-line/norwegian-sky</v>
      </c>
      <c r="D346" s="180" t="s">
        <v>1040</v>
      </c>
      <c r="E346" s="180" t="str">
        <f>IFERROR(__xludf.DUMMYFUNCTION("REGEXREPLACE(D346, ""https://odysia-cruise-uk.client.prod.eu-west.dreamlake.io"", """")"),"/cruise-lines/norwegian-cruise-line/norwegian-sky")</f>
        <v>/cruise-lines/norwegian-cruise-line/norwegian-sky</v>
      </c>
    </row>
    <row r="347">
      <c r="A347" s="182" t="s">
        <v>1041</v>
      </c>
      <c r="B347" s="180" t="str">
        <f>IFERROR(__xludf.DUMMYFUNCTION("REGEXREPLACE(A347, ""&lt;loc&gt;"", """")"),"https://odysia-cruise-uk.client.prod.eu-west.dreamlake.io/cruise-lines/msc-cruises/msc-orchestra/cruises&lt;/loc&gt;")</f>
        <v>https://odysia-cruise-uk.client.prod.eu-west.dreamlake.io/cruise-lines/msc-cruises/msc-orchestra/cruises&lt;/loc&gt;</v>
      </c>
      <c r="C347" s="181" t="str">
        <f>IFERROR(__xludf.DUMMYFUNCTION("REGEXREPLACE(B347, ""&lt;/loc&gt;"", """")"),"https://odysia-cruise-uk.client.prod.eu-west.dreamlake.io/cruise-lines/msc-cruises/msc-orchestra/cruises")</f>
        <v>https://odysia-cruise-uk.client.prod.eu-west.dreamlake.io/cruise-lines/msc-cruises/msc-orchestra/cruises</v>
      </c>
      <c r="D347" s="180" t="s">
        <v>1042</v>
      </c>
      <c r="E347" s="180" t="str">
        <f>IFERROR(__xludf.DUMMYFUNCTION("REGEXREPLACE(D347, ""https://odysia-cruise-uk.client.prod.eu-west.dreamlake.io"", """")"),"/cruise-lines/msc-cruises/msc-orchestra/cruises")</f>
        <v>/cruise-lines/msc-cruises/msc-orchestra/cruises</v>
      </c>
    </row>
    <row r="348">
      <c r="A348" s="182" t="s">
        <v>1043</v>
      </c>
      <c r="B348" s="180" t="str">
        <f>IFERROR(__xludf.DUMMYFUNCTION("REGEXREPLACE(A348, ""&lt;loc&gt;"", """")"),"https://odysia-cruise-uk.client.prod.eu-west.dreamlake.io/calendar/northern-europe-cruises&lt;/loc&gt;")</f>
        <v>https://odysia-cruise-uk.client.prod.eu-west.dreamlake.io/calendar/northern-europe-cruises&lt;/loc&gt;</v>
      </c>
      <c r="C348" s="181" t="str">
        <f>IFERROR(__xludf.DUMMYFUNCTION("REGEXREPLACE(B348, ""&lt;/loc&gt;"", """")"),"https://odysia-cruise-uk.client.prod.eu-west.dreamlake.io/calendar/northern-europe-cruises")</f>
        <v>https://odysia-cruise-uk.client.prod.eu-west.dreamlake.io/calendar/northern-europe-cruises</v>
      </c>
    </row>
    <row r="349">
      <c r="A349" s="182" t="s">
        <v>1044</v>
      </c>
      <c r="B349" s="180" t="str">
        <f>IFERROR(__xludf.DUMMYFUNCTION("REGEXREPLACE(A349, ""&lt;loc&gt;"", """")"),"https://odysia-cruise-uk.client.prod.eu-west.dreamlake.io/destinations/caribbean-cruises&lt;/loc&gt;")</f>
        <v>https://odysia-cruise-uk.client.prod.eu-west.dreamlake.io/destinations/caribbean-cruises&lt;/loc&gt;</v>
      </c>
      <c r="C349" s="181" t="str">
        <f>IFERROR(__xludf.DUMMYFUNCTION("REGEXREPLACE(B349, ""&lt;/loc&gt;"", """")"),"https://odysia-cruise-uk.client.prod.eu-west.dreamlake.io/destinations/caribbean-cruises")</f>
        <v>https://odysia-cruise-uk.client.prod.eu-west.dreamlake.io/destinations/caribbean-cruises</v>
      </c>
    </row>
    <row r="350">
      <c r="A350" s="182" t="s">
        <v>1045</v>
      </c>
      <c r="B350" s="180" t="str">
        <f>IFERROR(__xludf.DUMMYFUNCTION("REGEXREPLACE(A350, ""&lt;loc&gt;"", """")"),"https://odysia-cruise-uk.client.prod.eu-west.dreamlake.io/cruise-deals/last-minute-cruises&lt;/loc&gt;")</f>
        <v>https://odysia-cruise-uk.client.prod.eu-west.dreamlake.io/cruise-deals/last-minute-cruises&lt;/loc&gt;</v>
      </c>
      <c r="C350" s="181" t="str">
        <f>IFERROR(__xludf.DUMMYFUNCTION("REGEXREPLACE(B350, ""&lt;/loc&gt;"", """")"),"https://odysia-cruise-uk.client.prod.eu-west.dreamlake.io/cruise-deals/last-minute-cruises")</f>
        <v>https://odysia-cruise-uk.client.prod.eu-west.dreamlake.io/cruise-deals/last-minute-cruises</v>
      </c>
      <c r="D350" s="180" t="s">
        <v>1046</v>
      </c>
    </row>
    <row r="351">
      <c r="A351" s="182" t="s">
        <v>1047</v>
      </c>
      <c r="B351" s="180" t="str">
        <f>IFERROR(__xludf.DUMMYFUNCTION("REGEXREPLACE(A351, ""&lt;loc&gt;"", """")"),"https://odysia-cruise-uk.client.prod.eu-west.dreamlake.io/cruise-lines/po-cruises/ventura/cruises&lt;/loc&gt;")</f>
        <v>https://odysia-cruise-uk.client.prod.eu-west.dreamlake.io/cruise-lines/po-cruises/ventura/cruises&lt;/loc&gt;</v>
      </c>
      <c r="C351" s="181" t="str">
        <f>IFERROR(__xludf.DUMMYFUNCTION("REGEXREPLACE(B351, ""&lt;/loc&gt;"", """")"),"https://odysia-cruise-uk.client.prod.eu-west.dreamlake.io/cruise-lines/po-cruises/ventura/cruises")</f>
        <v>https://odysia-cruise-uk.client.prod.eu-west.dreamlake.io/cruise-lines/po-cruises/ventura/cruises</v>
      </c>
      <c r="D351" s="180" t="s">
        <v>1048</v>
      </c>
      <c r="E351" s="180" t="str">
        <f>IFERROR(__xludf.DUMMYFUNCTION("REGEXREPLACE(D351, ""https://odysia-cruise-uk.client.prod.eu-west.dreamlake.io"", """")"),"/cruise-lines/po-cruises/ventura/cruises")</f>
        <v>/cruise-lines/po-cruises/ventura/cruises</v>
      </c>
    </row>
    <row r="352">
      <c r="A352" s="182" t="s">
        <v>1049</v>
      </c>
      <c r="B352" s="180" t="str">
        <f>IFERROR(__xludf.DUMMYFUNCTION("REGEXREPLACE(A352, ""&lt;loc&gt;"", """")"),"https://odysia-cruise-uk.client.prod.eu-west.dreamlake.io/cruise-lines/norwegian-cruise-line/pride-of-america/cruises&lt;/loc&gt;")</f>
        <v>https://odysia-cruise-uk.client.prod.eu-west.dreamlake.io/cruise-lines/norwegian-cruise-line/pride-of-america/cruises&lt;/loc&gt;</v>
      </c>
      <c r="C352" s="181" t="str">
        <f>IFERROR(__xludf.DUMMYFUNCTION("REGEXREPLACE(B352, ""&lt;/loc&gt;"", """")"),"https://odysia-cruise-uk.client.prod.eu-west.dreamlake.io/cruise-lines/norwegian-cruise-line/pride-of-america/cruises")</f>
        <v>https://odysia-cruise-uk.client.prod.eu-west.dreamlake.io/cruise-lines/norwegian-cruise-line/pride-of-america/cruises</v>
      </c>
      <c r="D352" s="180" t="s">
        <v>1050</v>
      </c>
      <c r="E352" s="180" t="str">
        <f>IFERROR(__xludf.DUMMYFUNCTION("REGEXREPLACE(D352, ""https://odysia-cruise-uk.client.prod.eu-west.dreamlake.io"", """")"),"/cruise-lines/norwegian-cruise-line/pride-of-america/cruises")</f>
        <v>/cruise-lines/norwegian-cruise-line/pride-of-america/cruises</v>
      </c>
    </row>
    <row r="353">
      <c r="A353" s="182" t="s">
        <v>1051</v>
      </c>
      <c r="B353" s="180" t="str">
        <f>IFERROR(__xludf.DUMMYFUNCTION("REGEXREPLACE(A353, ""&lt;loc&gt;"", """")"),"https://odysia-cruise-uk.client.prod.eu-west.dreamlake.io/cruise-lines/royal-caribbean/serenade-of-the-seas/cruises&lt;/loc&gt;")</f>
        <v>https://odysia-cruise-uk.client.prod.eu-west.dreamlake.io/cruise-lines/royal-caribbean/serenade-of-the-seas/cruises&lt;/loc&gt;</v>
      </c>
      <c r="C353" s="181" t="str">
        <f>IFERROR(__xludf.DUMMYFUNCTION("REGEXREPLACE(B353, ""&lt;/loc&gt;"", """")"),"https://odysia-cruise-uk.client.prod.eu-west.dreamlake.io/cruise-lines/royal-caribbean/serenade-of-the-seas/cruises")</f>
        <v>https://odysia-cruise-uk.client.prod.eu-west.dreamlake.io/cruise-lines/royal-caribbean/serenade-of-the-seas/cruises</v>
      </c>
      <c r="D353" s="180" t="s">
        <v>1052</v>
      </c>
      <c r="E353" s="180" t="str">
        <f>IFERROR(__xludf.DUMMYFUNCTION("REGEXREPLACE(D353, ""https://odysia-cruise-uk.client.prod.eu-west.dreamlake.io"", """")"),"/cruise-lines/royal-caribbean/serenade-of-the-seas/cruises")</f>
        <v>/cruise-lines/royal-caribbean/serenade-of-the-seas/cruises</v>
      </c>
    </row>
    <row r="354">
      <c r="A354" s="182" t="s">
        <v>1053</v>
      </c>
      <c r="B354" s="180" t="str">
        <f>IFERROR(__xludf.DUMMYFUNCTION("REGEXREPLACE(A354, ""&lt;loc&gt;"", """")"),"https://odysia-cruise-uk.client.prod.eu-west.dreamlake.io/cruise-lines/holland-america-line/nieuw-amsterdam&lt;/loc&gt;")</f>
        <v>https://odysia-cruise-uk.client.prod.eu-west.dreamlake.io/cruise-lines/holland-america-line/nieuw-amsterdam&lt;/loc&gt;</v>
      </c>
      <c r="C354" s="181" t="str">
        <f>IFERROR(__xludf.DUMMYFUNCTION("REGEXREPLACE(B354, ""&lt;/loc&gt;"", """")"),"https://odysia-cruise-uk.client.prod.eu-west.dreamlake.io/cruise-lines/holland-america-line/nieuw-amsterdam")</f>
        <v>https://odysia-cruise-uk.client.prod.eu-west.dreamlake.io/cruise-lines/holland-america-line/nieuw-amsterdam</v>
      </c>
      <c r="D354" s="180" t="s">
        <v>1054</v>
      </c>
      <c r="E354" s="180" t="str">
        <f>IFERROR(__xludf.DUMMYFUNCTION("REGEXREPLACE(D354, ""https://odysia-cruise-uk.client.prod.eu-west.dreamlake.io"", """")"),"/cruise-lines/holland-america-line/nieuw-amsterdam")</f>
        <v>/cruise-lines/holland-america-line/nieuw-amsterdam</v>
      </c>
    </row>
    <row r="355">
      <c r="A355" s="182" t="s">
        <v>1055</v>
      </c>
      <c r="B355" s="180" t="str">
        <f>IFERROR(__xludf.DUMMYFUNCTION("REGEXREPLACE(A355, ""&lt;loc&gt;"", """")"),"https://odysia-cruise-uk.client.prod.eu-west.dreamlake.io/cruise-lines/norwegian-cruise-line/norwegian-luna&lt;/loc&gt;")</f>
        <v>https://odysia-cruise-uk.client.prod.eu-west.dreamlake.io/cruise-lines/norwegian-cruise-line/norwegian-luna&lt;/loc&gt;</v>
      </c>
      <c r="C355" s="181" t="str">
        <f>IFERROR(__xludf.DUMMYFUNCTION("REGEXREPLACE(B355, ""&lt;/loc&gt;"", """")"),"https://odysia-cruise-uk.client.prod.eu-west.dreamlake.io/cruise-lines/norwegian-cruise-line/norwegian-luna")</f>
        <v>https://odysia-cruise-uk.client.prod.eu-west.dreamlake.io/cruise-lines/norwegian-cruise-line/norwegian-luna</v>
      </c>
      <c r="D355" s="180" t="s">
        <v>1056</v>
      </c>
      <c r="E355" s="180" t="str">
        <f>IFERROR(__xludf.DUMMYFUNCTION("REGEXREPLACE(D355, ""https://odysia-cruise-uk.client.prod.eu-west.dreamlake.io"", """")"),"/cruise-lines/norwegian-cruise-line/norwegian-luna")</f>
        <v>/cruise-lines/norwegian-cruise-line/norwegian-luna</v>
      </c>
    </row>
    <row r="356">
      <c r="A356" s="182" t="s">
        <v>1057</v>
      </c>
      <c r="B356" s="180" t="str">
        <f>IFERROR(__xludf.DUMMYFUNCTION("REGEXREPLACE(A356, ""&lt;loc&gt;"", """")"),"https://odysia-cruise-uk.client.prod.eu-west.dreamlake.io/cruise-lines/holland-america-line/zaandam/cruises&lt;/loc&gt;")</f>
        <v>https://odysia-cruise-uk.client.prod.eu-west.dreamlake.io/cruise-lines/holland-america-line/zaandam/cruises&lt;/loc&gt;</v>
      </c>
      <c r="C356" s="181" t="str">
        <f>IFERROR(__xludf.DUMMYFUNCTION("REGEXREPLACE(B356, ""&lt;/loc&gt;"", """")"),"https://odysia-cruise-uk.client.prod.eu-west.dreamlake.io/cruise-lines/holland-america-line/zaandam/cruises")</f>
        <v>https://odysia-cruise-uk.client.prod.eu-west.dreamlake.io/cruise-lines/holland-america-line/zaandam/cruises</v>
      </c>
      <c r="D356" s="180" t="s">
        <v>1058</v>
      </c>
      <c r="E356" s="180" t="str">
        <f>IFERROR(__xludf.DUMMYFUNCTION("REGEXREPLACE(D356, ""https://odysia-cruise-uk.client.prod.eu-west.dreamlake.io"", """")"),"/cruise-lines/holland-america-line/zaandam/cruises")</f>
        <v>/cruise-lines/holland-america-line/zaandam/cruises</v>
      </c>
    </row>
    <row r="357">
      <c r="A357" s="182" t="s">
        <v>1059</v>
      </c>
      <c r="B357" s="180" t="str">
        <f>IFERROR(__xludf.DUMMYFUNCTION("REGEXREPLACE(A357, ""&lt;loc&gt;"", """")"),"https://odysia-cruise-uk.client.prod.eu-west.dreamlake.io/cruise-lines/fred-olsen-cruises/cruises&lt;/loc&gt;")</f>
        <v>https://odysia-cruise-uk.client.prod.eu-west.dreamlake.io/cruise-lines/fred-olsen-cruises/cruises&lt;/loc&gt;</v>
      </c>
      <c r="C357" s="181" t="str">
        <f>IFERROR(__xludf.DUMMYFUNCTION("REGEXREPLACE(B357, ""&lt;/loc&gt;"", """")"),"https://odysia-cruise-uk.client.prod.eu-west.dreamlake.io/cruise-lines/fred-olsen-cruises/cruises")</f>
        <v>https://odysia-cruise-uk.client.prod.eu-west.dreamlake.io/cruise-lines/fred-olsen-cruises/cruises</v>
      </c>
      <c r="D357" s="180" t="s">
        <v>1060</v>
      </c>
      <c r="E357" s="180" t="str">
        <f>IFERROR(__xludf.DUMMYFUNCTION("REGEXREPLACE(D357, ""https://odysia-cruise-uk.client.prod.eu-west.dreamlake.io"", """")"),"/cruise-lines/fred-olsen-cruises/cruises")</f>
        <v>/cruise-lines/fred-olsen-cruises/cruises</v>
      </c>
    </row>
    <row r="358">
      <c r="A358" s="182" t="s">
        <v>1061</v>
      </c>
      <c r="B358" s="180" t="str">
        <f>IFERROR(__xludf.DUMMYFUNCTION("REGEXREPLACE(A358, ""&lt;loc&gt;"", """")"),"https://odysia-cruise-uk.client.prod.eu-west.dreamlake.io/cruise-lines/msc-cruises/msc-orchestra&lt;/loc&gt;")</f>
        <v>https://odysia-cruise-uk.client.prod.eu-west.dreamlake.io/cruise-lines/msc-cruises/msc-orchestra&lt;/loc&gt;</v>
      </c>
      <c r="C358" s="181" t="str">
        <f>IFERROR(__xludf.DUMMYFUNCTION("REGEXREPLACE(B358, ""&lt;/loc&gt;"", """")"),"https://odysia-cruise-uk.client.prod.eu-west.dreamlake.io/cruise-lines/msc-cruises/msc-orchestra")</f>
        <v>https://odysia-cruise-uk.client.prod.eu-west.dreamlake.io/cruise-lines/msc-cruises/msc-orchestra</v>
      </c>
      <c r="D358" s="180" t="s">
        <v>1062</v>
      </c>
      <c r="E358" s="180" t="str">
        <f>IFERROR(__xludf.DUMMYFUNCTION("REGEXREPLACE(D358, ""https://odysia-cruise-uk.client.prod.eu-west.dreamlake.io"", """")"),"/cruise-lines/msc-cruises/msc-orchestra")</f>
        <v>/cruise-lines/msc-cruises/msc-orchestra</v>
      </c>
    </row>
    <row r="359">
      <c r="A359" s="182" t="s">
        <v>1063</v>
      </c>
      <c r="B359" s="180" t="str">
        <f>IFERROR(__xludf.DUMMYFUNCTION("REGEXREPLACE(A359, ""&lt;loc&gt;"", """")"),"https://odysia-cruise-uk.client.prod.eu-west.dreamlake.io/cruise-lines/costa-cruises/costa-toscana/cruises&lt;/loc&gt;")</f>
        <v>https://odysia-cruise-uk.client.prod.eu-west.dreamlake.io/cruise-lines/costa-cruises/costa-toscana/cruises&lt;/loc&gt;</v>
      </c>
      <c r="C359" s="181" t="str">
        <f>IFERROR(__xludf.DUMMYFUNCTION("REGEXREPLACE(B359, ""&lt;/loc&gt;"", """")"),"https://odysia-cruise-uk.client.prod.eu-west.dreamlake.io/cruise-lines/costa-cruises/costa-toscana/cruises")</f>
        <v>https://odysia-cruise-uk.client.prod.eu-west.dreamlake.io/cruise-lines/costa-cruises/costa-toscana/cruises</v>
      </c>
      <c r="D359" s="180" t="s">
        <v>1064</v>
      </c>
      <c r="E359" s="180" t="str">
        <f>IFERROR(__xludf.DUMMYFUNCTION("REGEXREPLACE(D359, ""https://odysia-cruise-uk.client.prod.eu-west.dreamlake.io"", """")"),"/cruise-lines/costa-cruises/costa-toscana/cruises")</f>
        <v>/cruise-lines/costa-cruises/costa-toscana/cruises</v>
      </c>
    </row>
    <row r="360">
      <c r="A360" s="182" t="s">
        <v>1065</v>
      </c>
      <c r="B360" s="180" t="str">
        <f>IFERROR(__xludf.DUMMYFUNCTION("REGEXREPLACE(A360, ""&lt;loc&gt;"", """")"),"https://odysia-cruise-uk.client.prod.eu-west.dreamlake.io/cruise-lines/royal-caribbean/liberty-of-the-seas&lt;/loc&gt;")</f>
        <v>https://odysia-cruise-uk.client.prod.eu-west.dreamlake.io/cruise-lines/royal-caribbean/liberty-of-the-seas&lt;/loc&gt;</v>
      </c>
      <c r="C360" s="181" t="str">
        <f>IFERROR(__xludf.DUMMYFUNCTION("REGEXREPLACE(B360, ""&lt;/loc&gt;"", """")"),"https://odysia-cruise-uk.client.prod.eu-west.dreamlake.io/cruise-lines/royal-caribbean/liberty-of-the-seas")</f>
        <v>https://odysia-cruise-uk.client.prod.eu-west.dreamlake.io/cruise-lines/royal-caribbean/liberty-of-the-seas</v>
      </c>
      <c r="D360" s="180" t="s">
        <v>1066</v>
      </c>
      <c r="E360" s="180" t="str">
        <f>IFERROR(__xludf.DUMMYFUNCTION("REGEXREPLACE(D360, ""https://odysia-cruise-uk.client.prod.eu-west.dreamlake.io"", """")"),"/cruise-lines/royal-caribbean/liberty-of-the-seas")</f>
        <v>/cruise-lines/royal-caribbean/liberty-of-the-seas</v>
      </c>
    </row>
    <row r="361">
      <c r="A361" s="182" t="s">
        <v>1067</v>
      </c>
      <c r="B361" s="180" t="str">
        <f>IFERROR(__xludf.DUMMYFUNCTION("REGEXREPLACE(A361, ""&lt;loc&gt;"", """")"),"https://odysia-cruise-uk.client.prod.eu-west.dreamlake.io/cruise-lines/norwegian-cruise-line/norwegian-viva&lt;/loc&gt;")</f>
        <v>https://odysia-cruise-uk.client.prod.eu-west.dreamlake.io/cruise-lines/norwegian-cruise-line/norwegian-viva&lt;/loc&gt;</v>
      </c>
      <c r="C361" s="181" t="str">
        <f>IFERROR(__xludf.DUMMYFUNCTION("REGEXREPLACE(B361, ""&lt;/loc&gt;"", """")"),"https://odysia-cruise-uk.client.prod.eu-west.dreamlake.io/cruise-lines/norwegian-cruise-line/norwegian-viva")</f>
        <v>https://odysia-cruise-uk.client.prod.eu-west.dreamlake.io/cruise-lines/norwegian-cruise-line/norwegian-viva</v>
      </c>
      <c r="D361" s="180" t="s">
        <v>1068</v>
      </c>
      <c r="E361" s="180" t="str">
        <f>IFERROR(__xludf.DUMMYFUNCTION("REGEXREPLACE(D361, ""https://odysia-cruise-uk.client.prod.eu-west.dreamlake.io"", """")"),"/cruise-lines/norwegian-cruise-line/norwegian-viva")</f>
        <v>/cruise-lines/norwegian-cruise-line/norwegian-viva</v>
      </c>
    </row>
    <row r="362">
      <c r="A362" s="182" t="s">
        <v>1069</v>
      </c>
      <c r="B362" s="180" t="str">
        <f>IFERROR(__xludf.DUMMYFUNCTION("REGEXREPLACE(A362, ""&lt;loc&gt;"", """")"),"https://odysia-cruise-uk.client.prod.eu-west.dreamlake.io/cruise-lines/norwegian-cruise-line/cruises&lt;/loc&gt;")</f>
        <v>https://odysia-cruise-uk.client.prod.eu-west.dreamlake.io/cruise-lines/norwegian-cruise-line/cruises&lt;/loc&gt;</v>
      </c>
      <c r="C362" s="181" t="str">
        <f>IFERROR(__xludf.DUMMYFUNCTION("REGEXREPLACE(B362, ""&lt;/loc&gt;"", """")"),"https://odysia-cruise-uk.client.prod.eu-west.dreamlake.io/cruise-lines/norwegian-cruise-line/cruises")</f>
        <v>https://odysia-cruise-uk.client.prod.eu-west.dreamlake.io/cruise-lines/norwegian-cruise-line/cruises</v>
      </c>
      <c r="D362" s="180" t="s">
        <v>1070</v>
      </c>
      <c r="E362" s="180" t="str">
        <f>IFERROR(__xludf.DUMMYFUNCTION("REGEXREPLACE(D362, ""https://odysia-cruise-uk.client.prod.eu-west.dreamlake.io"", """")"),"/cruise-lines/norwegian-cruise-line/cruises")</f>
        <v>/cruise-lines/norwegian-cruise-line/cruises</v>
      </c>
    </row>
    <row r="363">
      <c r="A363" s="182" t="s">
        <v>1071</v>
      </c>
      <c r="B363" s="180" t="str">
        <f>IFERROR(__xludf.DUMMYFUNCTION("REGEXREPLACE(A363, ""&lt;loc&gt;"", """")"),"https://odysia-cruise-uk.client.prod.eu-west.dreamlake.io/cruise-lines/msc-cruises/msc-seaside&lt;/loc&gt;")</f>
        <v>https://odysia-cruise-uk.client.prod.eu-west.dreamlake.io/cruise-lines/msc-cruises/msc-seaside&lt;/loc&gt;</v>
      </c>
      <c r="C363" s="181" t="str">
        <f>IFERROR(__xludf.DUMMYFUNCTION("REGEXREPLACE(B363, ""&lt;/loc&gt;"", """")"),"https://odysia-cruise-uk.client.prod.eu-west.dreamlake.io/cruise-lines/msc-cruises/msc-seaside")</f>
        <v>https://odysia-cruise-uk.client.prod.eu-west.dreamlake.io/cruise-lines/msc-cruises/msc-seaside</v>
      </c>
      <c r="D363" s="180" t="s">
        <v>1072</v>
      </c>
      <c r="E363" s="180" t="str">
        <f>IFERROR(__xludf.DUMMYFUNCTION("REGEXREPLACE(D363, ""https://odysia-cruise-uk.client.prod.eu-west.dreamlake.io"", """")"),"/cruise-lines/msc-cruises/msc-seaside")</f>
        <v>/cruise-lines/msc-cruises/msc-seaside</v>
      </c>
    </row>
    <row r="364">
      <c r="A364" s="182" t="s">
        <v>1073</v>
      </c>
      <c r="B364" s="180" t="str">
        <f>IFERROR(__xludf.DUMMYFUNCTION("REGEXREPLACE(A364, ""&lt;loc&gt;"", """")"),"https://odysia-cruise-uk.client.prod.eu-west.dreamlake.io/cruise-lines/seabourn/cruises&lt;/loc&gt;")</f>
        <v>https://odysia-cruise-uk.client.prod.eu-west.dreamlake.io/cruise-lines/seabourn/cruises&lt;/loc&gt;</v>
      </c>
      <c r="C364" s="181" t="str">
        <f>IFERROR(__xludf.DUMMYFUNCTION("REGEXREPLACE(B364, ""&lt;/loc&gt;"", """")"),"https://odysia-cruise-uk.client.prod.eu-west.dreamlake.io/cruise-lines/seabourn/cruises")</f>
        <v>https://odysia-cruise-uk.client.prod.eu-west.dreamlake.io/cruise-lines/seabourn/cruises</v>
      </c>
      <c r="D364" s="180" t="s">
        <v>1074</v>
      </c>
      <c r="E364" s="180" t="str">
        <f>IFERROR(__xludf.DUMMYFUNCTION("REGEXREPLACE(D364, ""https://odysia-cruise-uk.client.prod.eu-west.dreamlake.io"", """")"),"/cruise-lines/seabourn/cruises")</f>
        <v>/cruise-lines/seabourn/cruises</v>
      </c>
    </row>
    <row r="365">
      <c r="A365" s="182" t="s">
        <v>1075</v>
      </c>
      <c r="B365" s="180" t="str">
        <f>IFERROR(__xludf.DUMMYFUNCTION("REGEXREPLACE(A365, ""&lt;loc&gt;"", """")"),"https://odysia-cruise-uk.client.prod.eu-west.dreamlake.io/cruise-lines/celebrity-cruises/celebrity-summit&lt;/loc&gt;")</f>
        <v>https://odysia-cruise-uk.client.prod.eu-west.dreamlake.io/cruise-lines/celebrity-cruises/celebrity-summit&lt;/loc&gt;</v>
      </c>
      <c r="C365" s="181" t="str">
        <f>IFERROR(__xludf.DUMMYFUNCTION("REGEXREPLACE(B365, ""&lt;/loc&gt;"", """")"),"https://odysia-cruise-uk.client.prod.eu-west.dreamlake.io/cruise-lines/celebrity-cruises/celebrity-summit")</f>
        <v>https://odysia-cruise-uk.client.prod.eu-west.dreamlake.io/cruise-lines/celebrity-cruises/celebrity-summit</v>
      </c>
      <c r="D365" s="180" t="s">
        <v>1076</v>
      </c>
      <c r="E365" s="180" t="str">
        <f>IFERROR(__xludf.DUMMYFUNCTION("REGEXREPLACE(D365, ""https://odysia-cruise-uk.client.prod.eu-west.dreamlake.io"", """")"),"/cruise-lines/celebrity-cruises/celebrity-summit")</f>
        <v>/cruise-lines/celebrity-cruises/celebrity-summit</v>
      </c>
    </row>
    <row r="366">
      <c r="A366" s="182" t="s">
        <v>1077</v>
      </c>
      <c r="B366" s="180" t="str">
        <f>IFERROR(__xludf.DUMMYFUNCTION("REGEXREPLACE(A366, ""&lt;loc&gt;"", """")"),"https://odysia-cruise-uk.client.prod.eu-west.dreamlake.io/cruise-lines/royal-caribbean/radiance-of-the-seas&lt;/loc&gt;")</f>
        <v>https://odysia-cruise-uk.client.prod.eu-west.dreamlake.io/cruise-lines/royal-caribbean/radiance-of-the-seas&lt;/loc&gt;</v>
      </c>
      <c r="C366" s="181" t="str">
        <f>IFERROR(__xludf.DUMMYFUNCTION("REGEXREPLACE(B366, ""&lt;/loc&gt;"", """")"),"https://odysia-cruise-uk.client.prod.eu-west.dreamlake.io/cruise-lines/royal-caribbean/radiance-of-the-seas")</f>
        <v>https://odysia-cruise-uk.client.prod.eu-west.dreamlake.io/cruise-lines/royal-caribbean/radiance-of-the-seas</v>
      </c>
      <c r="D366" s="180" t="s">
        <v>1078</v>
      </c>
      <c r="E366" s="180" t="str">
        <f>IFERROR(__xludf.DUMMYFUNCTION("REGEXREPLACE(D366, ""https://odysia-cruise-uk.client.prod.eu-west.dreamlake.io"", """")"),"/cruise-lines/royal-caribbean/radiance-of-the-seas")</f>
        <v>/cruise-lines/royal-caribbean/radiance-of-the-seas</v>
      </c>
    </row>
    <row r="367">
      <c r="A367" s="182" t="s">
        <v>1079</v>
      </c>
      <c r="B367" s="180" t="str">
        <f>IFERROR(__xludf.DUMMYFUNCTION("REGEXREPLACE(A367, ""&lt;loc&gt;"", """")"),"https://odysia-cruise-uk.client.prod.eu-west.dreamlake.io/cruise-lines/oceania-cruises/oceania-nautica&lt;/loc&gt;")</f>
        <v>https://odysia-cruise-uk.client.prod.eu-west.dreamlake.io/cruise-lines/oceania-cruises/oceania-nautica&lt;/loc&gt;</v>
      </c>
      <c r="C367" s="181" t="str">
        <f>IFERROR(__xludf.DUMMYFUNCTION("REGEXREPLACE(B367, ""&lt;/loc&gt;"", """")"),"https://odysia-cruise-uk.client.prod.eu-west.dreamlake.io/cruise-lines/oceania-cruises/oceania-nautica")</f>
        <v>https://odysia-cruise-uk.client.prod.eu-west.dreamlake.io/cruise-lines/oceania-cruises/oceania-nautica</v>
      </c>
      <c r="D367" s="180" t="s">
        <v>1080</v>
      </c>
      <c r="E367" s="180" t="str">
        <f>IFERROR(__xludf.DUMMYFUNCTION("REGEXREPLACE(D367, ""https://odysia-cruise-uk.client.prod.eu-west.dreamlake.io"", """")"),"/cruise-lines/oceania-cruises/oceania-nautica")</f>
        <v>/cruise-lines/oceania-cruises/oceania-nautica</v>
      </c>
    </row>
    <row r="368">
      <c r="A368" s="182" t="s">
        <v>800</v>
      </c>
      <c r="B368" s="180" t="str">
        <f>IFERROR(__xludf.DUMMYFUNCTION("REGEXREPLACE(A368, ""&lt;loc&gt;"", """")"),"https://odysia-cruise-uk.client.prod.eu-west.dreamlake.io/cruise-lines/azamara/azamara-journey/cruises&lt;/loc&gt;")</f>
        <v>https://odysia-cruise-uk.client.prod.eu-west.dreamlake.io/cruise-lines/azamara/azamara-journey/cruises&lt;/loc&gt;</v>
      </c>
      <c r="C368" s="181" t="str">
        <f>IFERROR(__xludf.DUMMYFUNCTION("REGEXREPLACE(B368, ""&lt;/loc&gt;"", """")"),"https://odysia-cruise-uk.client.prod.eu-west.dreamlake.io/cruise-lines/azamara/azamara-journey/cruises")</f>
        <v>https://odysia-cruise-uk.client.prod.eu-west.dreamlake.io/cruise-lines/azamara/azamara-journey/cruises</v>
      </c>
    </row>
    <row r="369">
      <c r="A369" s="182" t="s">
        <v>1081</v>
      </c>
      <c r="B369" s="180" t="str">
        <f>IFERROR(__xludf.DUMMYFUNCTION("REGEXREPLACE(A369, ""&lt;loc&gt;"", """")"),"https://odysia-cruise-uk.client.prod.eu-west.dreamlake.io/cruise-lines/royal-caribbean/star-of-the-seas&lt;/loc&gt;")</f>
        <v>https://odysia-cruise-uk.client.prod.eu-west.dreamlake.io/cruise-lines/royal-caribbean/star-of-the-seas&lt;/loc&gt;</v>
      </c>
      <c r="C369" s="181" t="str">
        <f>IFERROR(__xludf.DUMMYFUNCTION("REGEXREPLACE(B369, ""&lt;/loc&gt;"", """")"),"https://odysia-cruise-uk.client.prod.eu-west.dreamlake.io/cruise-lines/royal-caribbean/star-of-the-seas")</f>
        <v>https://odysia-cruise-uk.client.prod.eu-west.dreamlake.io/cruise-lines/royal-caribbean/star-of-the-seas</v>
      </c>
      <c r="D369" s="180" t="s">
        <v>1082</v>
      </c>
      <c r="E369" s="180" t="str">
        <f>IFERROR(__xludf.DUMMYFUNCTION("REGEXREPLACE(D369, ""https://odysia-cruise-uk.client.prod.eu-west.dreamlake.io"", """")"),"/cruise-lines/royal-caribbean/star-of-the-seas")</f>
        <v>/cruise-lines/royal-caribbean/star-of-the-seas</v>
      </c>
    </row>
    <row r="370">
      <c r="A370" s="182" t="s">
        <v>1083</v>
      </c>
      <c r="B370" s="180" t="str">
        <f>IFERROR(__xludf.DUMMYFUNCTION("REGEXREPLACE(A370, ""&lt;loc&gt;"", """")"),"https://odysia-cruise-uk.client.prod.eu-west.dreamlake.io/cruise-lines/celebrity-cruises/celebrity-equinox&lt;/loc&gt;")</f>
        <v>https://odysia-cruise-uk.client.prod.eu-west.dreamlake.io/cruise-lines/celebrity-cruises/celebrity-equinox&lt;/loc&gt;</v>
      </c>
      <c r="C370" s="181" t="str">
        <f>IFERROR(__xludf.DUMMYFUNCTION("REGEXREPLACE(B370, ""&lt;/loc&gt;"", """")"),"https://odysia-cruise-uk.client.prod.eu-west.dreamlake.io/cruise-lines/celebrity-cruises/celebrity-equinox")</f>
        <v>https://odysia-cruise-uk.client.prod.eu-west.dreamlake.io/cruise-lines/celebrity-cruises/celebrity-equinox</v>
      </c>
      <c r="D370" s="180" t="s">
        <v>1084</v>
      </c>
      <c r="E370" s="180" t="str">
        <f>IFERROR(__xludf.DUMMYFUNCTION("REGEXREPLACE(D370, ""https://odysia-cruise-uk.client.prod.eu-west.dreamlake.io"", """")"),"/cruise-lines/celebrity-cruises/celebrity-equinox")</f>
        <v>/cruise-lines/celebrity-cruises/celebrity-equinox</v>
      </c>
    </row>
    <row r="371">
      <c r="A371" s="182" t="s">
        <v>1085</v>
      </c>
      <c r="B371" s="180" t="str">
        <f>IFERROR(__xludf.DUMMYFUNCTION("REGEXREPLACE(A371, ""&lt;loc&gt;"", """")"),"https://odysia-cruise-uk.client.prod.eu-west.dreamlake.io/cruise-lines/ambassador-cruise-line/renaissance/cruises&lt;/loc&gt;")</f>
        <v>https://odysia-cruise-uk.client.prod.eu-west.dreamlake.io/cruise-lines/ambassador-cruise-line/renaissance/cruises&lt;/loc&gt;</v>
      </c>
      <c r="C371" s="181" t="str">
        <f>IFERROR(__xludf.DUMMYFUNCTION("REGEXREPLACE(B371, ""&lt;/loc&gt;"", """")"),"https://odysia-cruise-uk.client.prod.eu-west.dreamlake.io/cruise-lines/ambassador-cruise-line/renaissance/cruises")</f>
        <v>https://odysia-cruise-uk.client.prod.eu-west.dreamlake.io/cruise-lines/ambassador-cruise-line/renaissance/cruises</v>
      </c>
      <c r="D371" s="180" t="s">
        <v>1086</v>
      </c>
      <c r="E371" s="180" t="str">
        <f>IFERROR(__xludf.DUMMYFUNCTION("REGEXREPLACE(D371, ""https://odysia-cruise-uk.client.prod.eu-west.dreamlake.io"", """")"),"/cruise-lines/ambassador-cruise-line/renaissance/cruises")</f>
        <v>/cruise-lines/ambassador-cruise-line/renaissance/cruises</v>
      </c>
    </row>
    <row r="372">
      <c r="A372" s="182" t="s">
        <v>1087</v>
      </c>
      <c r="B372" s="180" t="str">
        <f>IFERROR(__xludf.DUMMYFUNCTION("REGEXREPLACE(A372, ""&lt;loc&gt;"", """")"),"https://odysia-cruise-uk.client.prod.eu-west.dreamlake.io/cruise-lines/princess-cruises/sky-princess&lt;/loc&gt;")</f>
        <v>https://odysia-cruise-uk.client.prod.eu-west.dreamlake.io/cruise-lines/princess-cruises/sky-princess&lt;/loc&gt;</v>
      </c>
      <c r="C372" s="181" t="str">
        <f>IFERROR(__xludf.DUMMYFUNCTION("REGEXREPLACE(B372, ""&lt;/loc&gt;"", """")"),"https://odysia-cruise-uk.client.prod.eu-west.dreamlake.io/cruise-lines/princess-cruises/sky-princess")</f>
        <v>https://odysia-cruise-uk.client.prod.eu-west.dreamlake.io/cruise-lines/princess-cruises/sky-princess</v>
      </c>
      <c r="D372" s="180" t="s">
        <v>1088</v>
      </c>
      <c r="E372" s="180" t="str">
        <f>IFERROR(__xludf.DUMMYFUNCTION("REGEXREPLACE(D372, ""https://odysia-cruise-uk.client.prod.eu-west.dreamlake.io"", """")"),"/cruise-lines/princess-cruises/sky-princess")</f>
        <v>/cruise-lines/princess-cruises/sky-princess</v>
      </c>
    </row>
    <row r="373">
      <c r="A373" s="182" t="s">
        <v>1089</v>
      </c>
      <c r="B373" s="180" t="str">
        <f>IFERROR(__xludf.DUMMYFUNCTION("REGEXREPLACE(A373, ""&lt;loc&gt;"", """")"),"https://odysia-cruise-uk.client.prod.eu-west.dreamlake.io/cruise-lines/celebrity-cruises/celebrity-reflection&lt;/loc&gt;")</f>
        <v>https://odysia-cruise-uk.client.prod.eu-west.dreamlake.io/cruise-lines/celebrity-cruises/celebrity-reflection&lt;/loc&gt;</v>
      </c>
      <c r="C373" s="181" t="str">
        <f>IFERROR(__xludf.DUMMYFUNCTION("REGEXREPLACE(B373, ""&lt;/loc&gt;"", """")"),"https://odysia-cruise-uk.client.prod.eu-west.dreamlake.io/cruise-lines/celebrity-cruises/celebrity-reflection")</f>
        <v>https://odysia-cruise-uk.client.prod.eu-west.dreamlake.io/cruise-lines/celebrity-cruises/celebrity-reflection</v>
      </c>
      <c r="D373" s="180" t="s">
        <v>1090</v>
      </c>
      <c r="E373" s="180" t="str">
        <f>IFERROR(__xludf.DUMMYFUNCTION("REGEXREPLACE(D373, ""https://odysia-cruise-uk.client.prod.eu-west.dreamlake.io"", """")"),"/cruise-lines/celebrity-cruises/celebrity-reflection")</f>
        <v>/cruise-lines/celebrity-cruises/celebrity-reflection</v>
      </c>
    </row>
    <row r="374">
      <c r="A374" s="182" t="s">
        <v>1091</v>
      </c>
      <c r="B374" s="180" t="str">
        <f>IFERROR(__xludf.DUMMYFUNCTION("REGEXREPLACE(A374, ""&lt;loc&gt;"", """")"),"https://odysia-cruise-uk.client.prod.eu-west.dreamlake.io/cruise-lines/celebrity-cruises/celebrity-edge/cruises&lt;/loc&gt;")</f>
        <v>https://odysia-cruise-uk.client.prod.eu-west.dreamlake.io/cruise-lines/celebrity-cruises/celebrity-edge/cruises&lt;/loc&gt;</v>
      </c>
      <c r="C374" s="181" t="str">
        <f>IFERROR(__xludf.DUMMYFUNCTION("REGEXREPLACE(B374, ""&lt;/loc&gt;"", """")"),"https://odysia-cruise-uk.client.prod.eu-west.dreamlake.io/cruise-lines/celebrity-cruises/celebrity-edge/cruises")</f>
        <v>https://odysia-cruise-uk.client.prod.eu-west.dreamlake.io/cruise-lines/celebrity-cruises/celebrity-edge/cruises</v>
      </c>
      <c r="D374" s="180" t="s">
        <v>1092</v>
      </c>
      <c r="E374" s="180" t="str">
        <f>IFERROR(__xludf.DUMMYFUNCTION("REGEXREPLACE(D374, ""https://odysia-cruise-uk.client.prod.eu-west.dreamlake.io"", """")"),"/cruise-lines/celebrity-cruises/celebrity-edge/cruises")</f>
        <v>/cruise-lines/celebrity-cruises/celebrity-edge/cruises</v>
      </c>
    </row>
    <row r="375">
      <c r="A375" s="182" t="s">
        <v>1093</v>
      </c>
      <c r="B375" s="180" t="str">
        <f>IFERROR(__xludf.DUMMYFUNCTION("REGEXREPLACE(A375, ""&lt;loc&gt;"", """")"),"https://odysia-cruise-uk.client.prod.eu-west.dreamlake.io/cruise-lines/norwegian-cruise-line/norwegian-star/cruises&lt;/loc&gt;")</f>
        <v>https://odysia-cruise-uk.client.prod.eu-west.dreamlake.io/cruise-lines/norwegian-cruise-line/norwegian-star/cruises&lt;/loc&gt;</v>
      </c>
      <c r="C375" s="181" t="str">
        <f>IFERROR(__xludf.DUMMYFUNCTION("REGEXREPLACE(B375, ""&lt;/loc&gt;"", """")"),"https://odysia-cruise-uk.client.prod.eu-west.dreamlake.io/cruise-lines/norwegian-cruise-line/norwegian-star/cruises")</f>
        <v>https://odysia-cruise-uk.client.prod.eu-west.dreamlake.io/cruise-lines/norwegian-cruise-line/norwegian-star/cruises</v>
      </c>
      <c r="D375" s="180" t="s">
        <v>1094</v>
      </c>
      <c r="E375" s="180" t="str">
        <f>IFERROR(__xludf.DUMMYFUNCTION("REGEXREPLACE(D375, ""https://odysia-cruise-uk.client.prod.eu-west.dreamlake.io"", """")"),"/cruise-lines/norwegian-cruise-line/norwegian-star/cruises")</f>
        <v>/cruise-lines/norwegian-cruise-line/norwegian-star/cruises</v>
      </c>
    </row>
    <row r="376">
      <c r="A376" s="182" t="s">
        <v>1095</v>
      </c>
      <c r="B376" s="180" t="str">
        <f>IFERROR(__xludf.DUMMYFUNCTION("REGEXREPLACE(A376, ""&lt;loc&gt;"", """")"),"https://odysia-cruise-uk.client.prod.eu-west.dreamlake.io/cruise-lines/royal-caribbean/mariner-of-the-seas/cruises&lt;/loc&gt;")</f>
        <v>https://odysia-cruise-uk.client.prod.eu-west.dreamlake.io/cruise-lines/royal-caribbean/mariner-of-the-seas/cruises&lt;/loc&gt;</v>
      </c>
      <c r="C376" s="181" t="str">
        <f>IFERROR(__xludf.DUMMYFUNCTION("REGEXREPLACE(B376, ""&lt;/loc&gt;"", """")"),"https://odysia-cruise-uk.client.prod.eu-west.dreamlake.io/cruise-lines/royal-caribbean/mariner-of-the-seas/cruises")</f>
        <v>https://odysia-cruise-uk.client.prod.eu-west.dreamlake.io/cruise-lines/royal-caribbean/mariner-of-the-seas/cruises</v>
      </c>
      <c r="D376" s="180" t="s">
        <v>1096</v>
      </c>
      <c r="E376" s="180" t="str">
        <f>IFERROR(__xludf.DUMMYFUNCTION("REGEXREPLACE(D376, ""https://odysia-cruise-uk.client.prod.eu-west.dreamlake.io"", """")"),"/cruise-lines/royal-caribbean/mariner-of-the-seas/cruises")</f>
        <v>/cruise-lines/royal-caribbean/mariner-of-the-seas/cruises</v>
      </c>
    </row>
    <row r="377">
      <c r="A377" s="182" t="s">
        <v>1097</v>
      </c>
      <c r="B377" s="180" t="str">
        <f>IFERROR(__xludf.DUMMYFUNCTION("REGEXREPLACE(A377, ""&lt;loc&gt;"", """")"),"https://odysia-cruise-uk.client.prod.eu-west.dreamlake.io/cruise-lines/royal-caribbean/allure-of-the-seas/cruises&lt;/loc&gt;")</f>
        <v>https://odysia-cruise-uk.client.prod.eu-west.dreamlake.io/cruise-lines/royal-caribbean/allure-of-the-seas/cruises&lt;/loc&gt;</v>
      </c>
      <c r="C377" s="181" t="str">
        <f>IFERROR(__xludf.DUMMYFUNCTION("REGEXREPLACE(B377, ""&lt;/loc&gt;"", """")"),"https://odysia-cruise-uk.client.prod.eu-west.dreamlake.io/cruise-lines/royal-caribbean/allure-of-the-seas/cruises")</f>
        <v>https://odysia-cruise-uk.client.prod.eu-west.dreamlake.io/cruise-lines/royal-caribbean/allure-of-the-seas/cruises</v>
      </c>
      <c r="D377" s="180" t="s">
        <v>1098</v>
      </c>
      <c r="E377" s="180" t="str">
        <f>IFERROR(__xludf.DUMMYFUNCTION("REGEXREPLACE(D377, ""https://odysia-cruise-uk.client.prod.eu-west.dreamlake.io"", """")"),"/cruise-lines/royal-caribbean/allure-of-the-seas/cruises")</f>
        <v>/cruise-lines/royal-caribbean/allure-of-the-seas/cruises</v>
      </c>
    </row>
    <row r="378">
      <c r="A378" s="182" t="s">
        <v>1099</v>
      </c>
      <c r="B378" s="180" t="str">
        <f>IFERROR(__xludf.DUMMYFUNCTION("REGEXREPLACE(A378, ""&lt;loc&gt;"", """")"),"https://odysia-cruise-uk.client.prod.eu-west.dreamlake.io/cruise-lines/po-cruises/cruises&lt;/loc&gt;")</f>
        <v>https://odysia-cruise-uk.client.prod.eu-west.dreamlake.io/cruise-lines/po-cruises/cruises&lt;/loc&gt;</v>
      </c>
      <c r="C378" s="181" t="str">
        <f>IFERROR(__xludf.DUMMYFUNCTION("REGEXREPLACE(B378, ""&lt;/loc&gt;"", """")"),"https://odysia-cruise-uk.client.prod.eu-west.dreamlake.io/cruise-lines/po-cruises/cruises")</f>
        <v>https://odysia-cruise-uk.client.prod.eu-west.dreamlake.io/cruise-lines/po-cruises/cruises</v>
      </c>
      <c r="D378" s="180" t="s">
        <v>1100</v>
      </c>
      <c r="E378" s="180" t="str">
        <f>IFERROR(__xludf.DUMMYFUNCTION("REGEXREPLACE(D378, ""https://odysia-cruise-uk.client.prod.eu-west.dreamlake.io"", """")"),"/cruise-lines/po-cruises/cruises")</f>
        <v>/cruise-lines/po-cruises/cruises</v>
      </c>
    </row>
    <row r="379">
      <c r="A379" s="182" t="s">
        <v>1101</v>
      </c>
      <c r="B379" s="180" t="str">
        <f>IFERROR(__xludf.DUMMYFUNCTION("REGEXREPLACE(A379, ""&lt;loc&gt;"", """")"),"https://odysia-cruise-uk.client.prod.eu-west.dreamlake.io/cruise-lines/msc-cruises/msc-seaview/cruises&lt;/loc&gt;")</f>
        <v>https://odysia-cruise-uk.client.prod.eu-west.dreamlake.io/cruise-lines/msc-cruises/msc-seaview/cruises&lt;/loc&gt;</v>
      </c>
      <c r="C379" s="181" t="str">
        <f>IFERROR(__xludf.DUMMYFUNCTION("REGEXREPLACE(B379, ""&lt;/loc&gt;"", """")"),"https://odysia-cruise-uk.client.prod.eu-west.dreamlake.io/cruise-lines/msc-cruises/msc-seaview/cruises")</f>
        <v>https://odysia-cruise-uk.client.prod.eu-west.dreamlake.io/cruise-lines/msc-cruises/msc-seaview/cruises</v>
      </c>
      <c r="D379" s="180" t="s">
        <v>1102</v>
      </c>
      <c r="E379" s="180" t="str">
        <f>IFERROR(__xludf.DUMMYFUNCTION("REGEXREPLACE(D379, ""https://odysia-cruise-uk.client.prod.eu-west.dreamlake.io"", """")"),"/cruise-lines/msc-cruises/msc-seaview/cruises")</f>
        <v>/cruise-lines/msc-cruises/msc-seaview/cruises</v>
      </c>
    </row>
    <row r="380">
      <c r="A380" s="182" t="s">
        <v>1103</v>
      </c>
      <c r="B380" s="180" t="str">
        <f>IFERROR(__xludf.DUMMYFUNCTION("REGEXREPLACE(A380, ""&lt;loc&gt;"", """")"),"https://odysia-cruise-uk.client.prod.eu-west.dreamlake.io/cruise-lines/norwegian-cruise-line/norwegian-sky/cruises&lt;/loc&gt;")</f>
        <v>https://odysia-cruise-uk.client.prod.eu-west.dreamlake.io/cruise-lines/norwegian-cruise-line/norwegian-sky/cruises&lt;/loc&gt;</v>
      </c>
      <c r="C380" s="181" t="str">
        <f>IFERROR(__xludf.DUMMYFUNCTION("REGEXREPLACE(B380, ""&lt;/loc&gt;"", """")"),"https://odysia-cruise-uk.client.prod.eu-west.dreamlake.io/cruise-lines/norwegian-cruise-line/norwegian-sky/cruises")</f>
        <v>https://odysia-cruise-uk.client.prod.eu-west.dreamlake.io/cruise-lines/norwegian-cruise-line/norwegian-sky/cruises</v>
      </c>
      <c r="D380" s="180" t="s">
        <v>1104</v>
      </c>
      <c r="E380" s="180" t="str">
        <f>IFERROR(__xludf.DUMMYFUNCTION("REGEXREPLACE(D380, ""https://odysia-cruise-uk.client.prod.eu-west.dreamlake.io"", """")"),"/cruise-lines/norwegian-cruise-line/norwegian-sky/cruises")</f>
        <v>/cruise-lines/norwegian-cruise-line/norwegian-sky/cruises</v>
      </c>
    </row>
    <row r="381">
      <c r="A381" s="182" t="s">
        <v>1105</v>
      </c>
      <c r="B381" s="180" t="str">
        <f>IFERROR(__xludf.DUMMYFUNCTION("REGEXREPLACE(A381, ""&lt;loc&gt;"", """")"),"https://odysia-cruise-uk.client.prod.eu-west.dreamlake.io/cruise-lines/royal-caribbean/quantum-of-the-seas/cruises&lt;/loc&gt;")</f>
        <v>https://odysia-cruise-uk.client.prod.eu-west.dreamlake.io/cruise-lines/royal-caribbean/quantum-of-the-seas/cruises&lt;/loc&gt;</v>
      </c>
      <c r="C381" s="181" t="str">
        <f>IFERROR(__xludf.DUMMYFUNCTION("REGEXREPLACE(B381, ""&lt;/loc&gt;"", """")"),"https://odysia-cruise-uk.client.prod.eu-west.dreamlake.io/cruise-lines/royal-caribbean/quantum-of-the-seas/cruises")</f>
        <v>https://odysia-cruise-uk.client.prod.eu-west.dreamlake.io/cruise-lines/royal-caribbean/quantum-of-the-seas/cruises</v>
      </c>
      <c r="D381" s="180" t="s">
        <v>1106</v>
      </c>
      <c r="E381" s="180" t="str">
        <f>IFERROR(__xludf.DUMMYFUNCTION("REGEXREPLACE(D381, ""https://odysia-cruise-uk.client.prod.eu-west.dreamlake.io"", """")"),"/cruise-lines/royal-caribbean/quantum-of-the-seas/cruises")</f>
        <v>/cruise-lines/royal-caribbean/quantum-of-the-seas/cruises</v>
      </c>
    </row>
    <row r="382">
      <c r="A382" s="182" t="s">
        <v>1107</v>
      </c>
      <c r="B382" s="180" t="str">
        <f>IFERROR(__xludf.DUMMYFUNCTION("REGEXREPLACE(A382, ""&lt;loc&gt;"", """")"),"https://odysia-cruise-uk.client.prod.eu-west.dreamlake.io/cruise-calendar/south-america-cruise-dates&lt;/loc&gt;")</f>
        <v>https://odysia-cruise-uk.client.prod.eu-west.dreamlake.io/cruise-calendar/south-america-cruise-dates&lt;/loc&gt;</v>
      </c>
      <c r="C382" s="181" t="str">
        <f>IFERROR(__xludf.DUMMYFUNCTION("REGEXREPLACE(B382, ""&lt;/loc&gt;"", """")"),"https://odysia-cruise-uk.client.prod.eu-west.dreamlake.io/cruise-calendar/south-america-cruise-dates")</f>
        <v>https://odysia-cruise-uk.client.prod.eu-west.dreamlake.io/cruise-calendar/south-america-cruise-dates</v>
      </c>
    </row>
    <row r="383">
      <c r="A383" s="182" t="s">
        <v>1108</v>
      </c>
      <c r="B383" s="180" t="str">
        <f>IFERROR(__xludf.DUMMYFUNCTION("REGEXREPLACE(A383, ""&lt;loc&gt;"", """")"),"https://odysia-cruise-uk.client.prod.eu-west.dreamlake.io/cruise-lines/royal-caribbean/independence-of-the-seas/cruises&lt;/loc&gt;")</f>
        <v>https://odysia-cruise-uk.client.prod.eu-west.dreamlake.io/cruise-lines/royal-caribbean/independence-of-the-seas/cruises&lt;/loc&gt;</v>
      </c>
      <c r="C383" s="181" t="str">
        <f>IFERROR(__xludf.DUMMYFUNCTION("REGEXREPLACE(B383, ""&lt;/loc&gt;"", """")"),"https://odysia-cruise-uk.client.prod.eu-west.dreamlake.io/cruise-lines/royal-caribbean/independence-of-the-seas/cruises")</f>
        <v>https://odysia-cruise-uk.client.prod.eu-west.dreamlake.io/cruise-lines/royal-caribbean/independence-of-the-seas/cruises</v>
      </c>
      <c r="D383" s="180" t="s">
        <v>1109</v>
      </c>
      <c r="E383" s="180" t="str">
        <f>IFERROR(__xludf.DUMMYFUNCTION("REGEXREPLACE(D383, ""https://odysia-cruise-uk.client.prod.eu-west.dreamlake.io"", """")"),"/cruise-lines/royal-caribbean/independence-of-the-seas/cruises")</f>
        <v>/cruise-lines/royal-caribbean/independence-of-the-seas/cruises</v>
      </c>
    </row>
    <row r="384">
      <c r="A384" s="182" t="s">
        <v>1110</v>
      </c>
      <c r="B384" s="180" t="str">
        <f>IFERROR(__xludf.DUMMYFUNCTION("REGEXREPLACE(A384, ""&lt;loc&gt;"", """")"),"https://odysia-cruise-uk.client.prod.eu-west.dreamlake.io/cruise-lines/msc-cruises/msc-magnifica/cruises&lt;/loc&gt;")</f>
        <v>https://odysia-cruise-uk.client.prod.eu-west.dreamlake.io/cruise-lines/msc-cruises/msc-magnifica/cruises&lt;/loc&gt;</v>
      </c>
      <c r="C384" s="181" t="str">
        <f>IFERROR(__xludf.DUMMYFUNCTION("REGEXREPLACE(B384, ""&lt;/loc&gt;"", """")"),"https://odysia-cruise-uk.client.prod.eu-west.dreamlake.io/cruise-lines/msc-cruises/msc-magnifica/cruises")</f>
        <v>https://odysia-cruise-uk.client.prod.eu-west.dreamlake.io/cruise-lines/msc-cruises/msc-magnifica/cruises</v>
      </c>
      <c r="D384" s="180" t="s">
        <v>1111</v>
      </c>
      <c r="E384" s="180" t="str">
        <f>IFERROR(__xludf.DUMMYFUNCTION("REGEXREPLACE(D384, ""https://odysia-cruise-uk.client.prod.eu-west.dreamlake.io"", """")"),"/cruise-lines/msc-cruises/msc-magnifica/cruises")</f>
        <v>/cruise-lines/msc-cruises/msc-magnifica/cruises</v>
      </c>
    </row>
    <row r="385">
      <c r="A385" s="182" t="s">
        <v>1112</v>
      </c>
      <c r="B385" s="180" t="str">
        <f>IFERROR(__xludf.DUMMYFUNCTION("REGEXREPLACE(A385, ""&lt;loc&gt;"", """")"),"https://odysia-cruise-uk.client.prod.eu-west.dreamlake.io/cruise-lines/regent-seven-seas-cruises/seven-seas-splendor&lt;/loc&gt;")</f>
        <v>https://odysia-cruise-uk.client.prod.eu-west.dreamlake.io/cruise-lines/regent-seven-seas-cruises/seven-seas-splendor&lt;/loc&gt;</v>
      </c>
      <c r="C385" s="181" t="str">
        <f>IFERROR(__xludf.DUMMYFUNCTION("REGEXREPLACE(B385, ""&lt;/loc&gt;"", """")"),"https://odysia-cruise-uk.client.prod.eu-west.dreamlake.io/cruise-lines/regent-seven-seas-cruises/seven-seas-splendor")</f>
        <v>https://odysia-cruise-uk.client.prod.eu-west.dreamlake.io/cruise-lines/regent-seven-seas-cruises/seven-seas-splendor</v>
      </c>
      <c r="D385" s="180" t="s">
        <v>1113</v>
      </c>
      <c r="E385" s="180" t="str">
        <f>IFERROR(__xludf.DUMMYFUNCTION("REGEXREPLACE(D385, ""https://odysia-cruise-uk.client.prod.eu-west.dreamlake.io"", """")"),"/cruise-lines/regent-seven-seas-cruises/seven-seas-splendor")</f>
        <v>/cruise-lines/regent-seven-seas-cruises/seven-seas-splendor</v>
      </c>
    </row>
    <row r="386">
      <c r="A386" s="182" t="s">
        <v>1114</v>
      </c>
      <c r="B386" s="180" t="str">
        <f>IFERROR(__xludf.DUMMYFUNCTION("REGEXREPLACE(A386, ""&lt;loc&gt;"", """")"),"https://odysia-cruise-uk.client.prod.eu-west.dreamlake.io/cruise-lines/celebrity-cruises/celebrity-millennium&lt;/loc&gt;")</f>
        <v>https://odysia-cruise-uk.client.prod.eu-west.dreamlake.io/cruise-lines/celebrity-cruises/celebrity-millennium&lt;/loc&gt;</v>
      </c>
      <c r="C386" s="181" t="str">
        <f>IFERROR(__xludf.DUMMYFUNCTION("REGEXREPLACE(B386, ""&lt;/loc&gt;"", """")"),"https://odysia-cruise-uk.client.prod.eu-west.dreamlake.io/cruise-lines/celebrity-cruises/celebrity-millennium")</f>
        <v>https://odysia-cruise-uk.client.prod.eu-west.dreamlake.io/cruise-lines/celebrity-cruises/celebrity-millennium</v>
      </c>
      <c r="D386" s="180" t="s">
        <v>1115</v>
      </c>
      <c r="E386" s="180" t="str">
        <f>IFERROR(__xludf.DUMMYFUNCTION("REGEXREPLACE(D386, ""https://odysia-cruise-uk.client.prod.eu-west.dreamlake.io"", """")"),"/cruise-lines/celebrity-cruises/celebrity-millennium")</f>
        <v>/cruise-lines/celebrity-cruises/celebrity-millennium</v>
      </c>
    </row>
    <row r="387">
      <c r="A387" s="182" t="s">
        <v>1116</v>
      </c>
      <c r="B387" s="180" t="str">
        <f>IFERROR(__xludf.DUMMYFUNCTION("REGEXREPLACE(A387, ""&lt;loc&gt;"", """")"),"https://odysia-cruise-uk.client.prod.eu-west.dreamlake.io/cruise-lines/oceania-cruises/oceania-riviera&lt;/loc&gt;")</f>
        <v>https://odysia-cruise-uk.client.prod.eu-west.dreamlake.io/cruise-lines/oceania-cruises/oceania-riviera&lt;/loc&gt;</v>
      </c>
      <c r="C387" s="181" t="str">
        <f>IFERROR(__xludf.DUMMYFUNCTION("REGEXREPLACE(B387, ""&lt;/loc&gt;"", """")"),"https://odysia-cruise-uk.client.prod.eu-west.dreamlake.io/cruise-lines/oceania-cruises/oceania-riviera")</f>
        <v>https://odysia-cruise-uk.client.prod.eu-west.dreamlake.io/cruise-lines/oceania-cruises/oceania-riviera</v>
      </c>
      <c r="D387" s="180" t="s">
        <v>1117</v>
      </c>
      <c r="E387" s="180" t="str">
        <f>IFERROR(__xludf.DUMMYFUNCTION("REGEXREPLACE(D387, ""https://odysia-cruise-uk.client.prod.eu-west.dreamlake.io"", """")"),"/cruise-lines/oceania-cruises/oceania-riviera")</f>
        <v>/cruise-lines/oceania-cruises/oceania-riviera</v>
      </c>
    </row>
    <row r="388">
      <c r="A388" s="182" t="s">
        <v>1118</v>
      </c>
      <c r="B388" s="180" t="str">
        <f>IFERROR(__xludf.DUMMYFUNCTION("REGEXREPLACE(A388, ""&lt;loc&gt;"", """")"),"https://odysia-cruise-uk.client.prod.eu-west.dreamlake.io/cruise-lines/holland-america-line/zuiderdam&lt;/loc&gt;")</f>
        <v>https://odysia-cruise-uk.client.prod.eu-west.dreamlake.io/cruise-lines/holland-america-line/zuiderdam&lt;/loc&gt;</v>
      </c>
      <c r="C388" s="181" t="str">
        <f>IFERROR(__xludf.DUMMYFUNCTION("REGEXREPLACE(B388, ""&lt;/loc&gt;"", """")"),"https://odysia-cruise-uk.client.prod.eu-west.dreamlake.io/cruise-lines/holland-america-line/zuiderdam")</f>
        <v>https://odysia-cruise-uk.client.prod.eu-west.dreamlake.io/cruise-lines/holland-america-line/zuiderdam</v>
      </c>
      <c r="D388" s="180" t="s">
        <v>1119</v>
      </c>
      <c r="E388" s="180" t="str">
        <f>IFERROR(__xludf.DUMMYFUNCTION("REGEXREPLACE(D388, ""https://odysia-cruise-uk.client.prod.eu-west.dreamlake.io"", """")"),"/cruise-lines/holland-america-line/zuiderdam")</f>
        <v>/cruise-lines/holland-america-line/zuiderdam</v>
      </c>
    </row>
    <row r="389">
      <c r="A389" s="182" t="s">
        <v>1120</v>
      </c>
      <c r="B389" s="180" t="str">
        <f>IFERROR(__xludf.DUMMYFUNCTION("REGEXREPLACE(A389, ""&lt;loc&gt;"", """")"),"https://odysia-cruise-uk.client.prod.eu-west.dreamlake.io/cruise-lines/royal-caribbean/brilliance-of-the-seas&lt;/loc&gt;")</f>
        <v>https://odysia-cruise-uk.client.prod.eu-west.dreamlake.io/cruise-lines/royal-caribbean/brilliance-of-the-seas&lt;/loc&gt;</v>
      </c>
      <c r="C389" s="181" t="str">
        <f>IFERROR(__xludf.DUMMYFUNCTION("REGEXREPLACE(B389, ""&lt;/loc&gt;"", """")"),"https://odysia-cruise-uk.client.prod.eu-west.dreamlake.io/cruise-lines/royal-caribbean/brilliance-of-the-seas")</f>
        <v>https://odysia-cruise-uk.client.prod.eu-west.dreamlake.io/cruise-lines/royal-caribbean/brilliance-of-the-seas</v>
      </c>
      <c r="D389" s="180" t="s">
        <v>1121</v>
      </c>
      <c r="E389" s="180" t="str">
        <f>IFERROR(__xludf.DUMMYFUNCTION("REGEXREPLACE(D389, ""https://odysia-cruise-uk.client.prod.eu-west.dreamlake.io"", """")"),"/cruise-lines/royal-caribbean/brilliance-of-the-seas")</f>
        <v>/cruise-lines/royal-caribbean/brilliance-of-the-seas</v>
      </c>
    </row>
    <row r="390">
      <c r="A390" s="182" t="s">
        <v>1122</v>
      </c>
      <c r="B390" s="180" t="str">
        <f>IFERROR(__xludf.DUMMYFUNCTION("REGEXREPLACE(A390, ""&lt;loc&gt;"", """")"),"https://odysia-cruise-uk.client.prod.eu-west.dreamlake.io/cruise-lines/cunard/queen-anne&lt;/loc&gt;")</f>
        <v>https://odysia-cruise-uk.client.prod.eu-west.dreamlake.io/cruise-lines/cunard/queen-anne&lt;/loc&gt;</v>
      </c>
      <c r="C390" s="181" t="str">
        <f>IFERROR(__xludf.DUMMYFUNCTION("REGEXREPLACE(B390, ""&lt;/loc&gt;"", """")"),"https://odysia-cruise-uk.client.prod.eu-west.dreamlake.io/cruise-lines/cunard/queen-anne")</f>
        <v>https://odysia-cruise-uk.client.prod.eu-west.dreamlake.io/cruise-lines/cunard/queen-anne</v>
      </c>
      <c r="D390" s="180" t="s">
        <v>1123</v>
      </c>
      <c r="E390" s="180" t="str">
        <f>IFERROR(__xludf.DUMMYFUNCTION("REGEXREPLACE(D390, ""https://odysia-cruise-uk.client.prod.eu-west.dreamlake.io"", """")"),"/cruise-lines/cunard/queen-anne")</f>
        <v>/cruise-lines/cunard/queen-anne</v>
      </c>
    </row>
    <row r="391">
      <c r="A391" s="182" t="s">
        <v>1124</v>
      </c>
      <c r="B391" s="180" t="str">
        <f>IFERROR(__xludf.DUMMYFUNCTION("REGEXREPLACE(A391, ""&lt;loc&gt;"", """")"),"https://odysia-cruise-uk.client.prod.eu-west.dreamlake.io/destinations/scandinavia-baltic-cruises&lt;/loc&gt;")</f>
        <v>https://odysia-cruise-uk.client.prod.eu-west.dreamlake.io/destinations/scandinavia-baltic-cruises&lt;/loc&gt;</v>
      </c>
      <c r="C391" s="181" t="str">
        <f>IFERROR(__xludf.DUMMYFUNCTION("REGEXREPLACE(B391, ""&lt;/loc&gt;"", """")"),"https://odysia-cruise-uk.client.prod.eu-west.dreamlake.io/destinations/scandinavia-baltic-cruises")</f>
        <v>https://odysia-cruise-uk.client.prod.eu-west.dreamlake.io/destinations/scandinavia-baltic-cruises</v>
      </c>
    </row>
    <row r="392">
      <c r="A392" s="182" t="s">
        <v>1125</v>
      </c>
      <c r="B392" s="180" t="str">
        <f>IFERROR(__xludf.DUMMYFUNCTION("REGEXREPLACE(A392, ""&lt;loc&gt;"", """")"),"https://odysia-cruise-uk.client.prod.eu-west.dreamlake.io/cruise-lines/princess-cruises/majestic-princess/cruises&lt;/loc&gt;")</f>
        <v>https://odysia-cruise-uk.client.prod.eu-west.dreamlake.io/cruise-lines/princess-cruises/majestic-princess/cruises&lt;/loc&gt;</v>
      </c>
      <c r="C392" s="181" t="str">
        <f>IFERROR(__xludf.DUMMYFUNCTION("REGEXREPLACE(B392, ""&lt;/loc&gt;"", """")"),"https://odysia-cruise-uk.client.prod.eu-west.dreamlake.io/cruise-lines/princess-cruises/majestic-princess/cruises")</f>
        <v>https://odysia-cruise-uk.client.prod.eu-west.dreamlake.io/cruise-lines/princess-cruises/majestic-princess/cruises</v>
      </c>
      <c r="D392" s="180" t="s">
        <v>1126</v>
      </c>
      <c r="E392" s="180" t="str">
        <f>IFERROR(__xludf.DUMMYFUNCTION("REGEXREPLACE(D392, ""https://odysia-cruise-uk.client.prod.eu-west.dreamlake.io"", """")"),"/cruise-lines/princess-cruises/majestic-princess/cruises")</f>
        <v>/cruise-lines/princess-cruises/majestic-princess/cruises</v>
      </c>
    </row>
    <row r="393">
      <c r="A393" s="182" t="s">
        <v>1127</v>
      </c>
      <c r="B393" s="180" t="str">
        <f>IFERROR(__xludf.DUMMYFUNCTION("REGEXREPLACE(A393, ""&lt;loc&gt;"", """")"),"https://odysia-cruise-uk.client.prod.eu-west.dreamlake.io/cruise-lines/msc-cruises/msc-seashore/cruises&lt;/loc&gt;")</f>
        <v>https://odysia-cruise-uk.client.prod.eu-west.dreamlake.io/cruise-lines/msc-cruises/msc-seashore/cruises&lt;/loc&gt;</v>
      </c>
      <c r="C393" s="181" t="str">
        <f>IFERROR(__xludf.DUMMYFUNCTION("REGEXREPLACE(B393, ""&lt;/loc&gt;"", """")"),"https://odysia-cruise-uk.client.prod.eu-west.dreamlake.io/cruise-lines/msc-cruises/msc-seashore/cruises")</f>
        <v>https://odysia-cruise-uk.client.prod.eu-west.dreamlake.io/cruise-lines/msc-cruises/msc-seashore/cruises</v>
      </c>
      <c r="D393" s="180" t="s">
        <v>1128</v>
      </c>
      <c r="E393" s="180" t="str">
        <f>IFERROR(__xludf.DUMMYFUNCTION("REGEXREPLACE(D393, ""https://odysia-cruise-uk.client.prod.eu-west.dreamlake.io"", """")"),"/cruise-lines/msc-cruises/msc-seashore/cruises")</f>
        <v>/cruise-lines/msc-cruises/msc-seashore/cruises</v>
      </c>
    </row>
    <row r="394">
      <c r="A394" s="182" t="s">
        <v>1129</v>
      </c>
      <c r="B394" s="180" t="str">
        <f>IFERROR(__xludf.DUMMYFUNCTION("REGEXREPLACE(A394, ""&lt;loc&gt;"", """")"),"https://odysia-cruise-uk.client.prod.eu-west.dreamlake.io/cruise-lines/princess-cruises/ruby-princess&lt;/loc&gt;")</f>
        <v>https://odysia-cruise-uk.client.prod.eu-west.dreamlake.io/cruise-lines/princess-cruises/ruby-princess&lt;/loc&gt;</v>
      </c>
      <c r="C394" s="181" t="str">
        <f>IFERROR(__xludf.DUMMYFUNCTION("REGEXREPLACE(B394, ""&lt;/loc&gt;"", """")"),"https://odysia-cruise-uk.client.prod.eu-west.dreamlake.io/cruise-lines/princess-cruises/ruby-princess")</f>
        <v>https://odysia-cruise-uk.client.prod.eu-west.dreamlake.io/cruise-lines/princess-cruises/ruby-princess</v>
      </c>
      <c r="D394" s="180" t="s">
        <v>1130</v>
      </c>
      <c r="E394" s="180" t="str">
        <f>IFERROR(__xludf.DUMMYFUNCTION("REGEXREPLACE(D394, ""https://odysia-cruise-uk.client.prod.eu-west.dreamlake.io"", """")"),"/cruise-lines/princess-cruises/ruby-princess")</f>
        <v>/cruise-lines/princess-cruises/ruby-princess</v>
      </c>
    </row>
    <row r="395">
      <c r="A395" s="182" t="s">
        <v>1131</v>
      </c>
      <c r="B395" s="180" t="str">
        <f>IFERROR(__xludf.DUMMYFUNCTION("REGEXREPLACE(A395, ""&lt;loc&gt;"", """")"),"https://odysia-cruise-uk.client.prod.eu-west.dreamlake.io/cruise-lines/holland-america-line/westerdam/cruises&lt;/loc&gt;")</f>
        <v>https://odysia-cruise-uk.client.prod.eu-west.dreamlake.io/cruise-lines/holland-america-line/westerdam/cruises&lt;/loc&gt;</v>
      </c>
      <c r="C395" s="181" t="str">
        <f>IFERROR(__xludf.DUMMYFUNCTION("REGEXREPLACE(B395, ""&lt;/loc&gt;"", """")"),"https://odysia-cruise-uk.client.prod.eu-west.dreamlake.io/cruise-lines/holland-america-line/westerdam/cruises")</f>
        <v>https://odysia-cruise-uk.client.prod.eu-west.dreamlake.io/cruise-lines/holland-america-line/westerdam/cruises</v>
      </c>
      <c r="D395" s="180" t="s">
        <v>1132</v>
      </c>
      <c r="E395" s="180" t="str">
        <f>IFERROR(__xludf.DUMMYFUNCTION("REGEXREPLACE(D395, ""https://odysia-cruise-uk.client.prod.eu-west.dreamlake.io"", """")"),"/cruise-lines/holland-america-line/westerdam/cruises")</f>
        <v>/cruise-lines/holland-america-line/westerdam/cruises</v>
      </c>
    </row>
    <row r="396">
      <c r="A396" s="182" t="s">
        <v>1133</v>
      </c>
      <c r="B396" s="180" t="str">
        <f>IFERROR(__xludf.DUMMYFUNCTION("REGEXREPLACE(A396, ""&lt;loc&gt;"", """")"),"https://odysia-cruise-uk.client.prod.eu-west.dreamlake.io/cruise-lines/royal-caribbean/jewel-of-the-seas&lt;/loc&gt;")</f>
        <v>https://odysia-cruise-uk.client.prod.eu-west.dreamlake.io/cruise-lines/royal-caribbean/jewel-of-the-seas&lt;/loc&gt;</v>
      </c>
      <c r="C396" s="181" t="str">
        <f>IFERROR(__xludf.DUMMYFUNCTION("REGEXREPLACE(B396, ""&lt;/loc&gt;"", """")"),"https://odysia-cruise-uk.client.prod.eu-west.dreamlake.io/cruise-lines/royal-caribbean/jewel-of-the-seas")</f>
        <v>https://odysia-cruise-uk.client.prod.eu-west.dreamlake.io/cruise-lines/royal-caribbean/jewel-of-the-seas</v>
      </c>
      <c r="D396" s="180" t="s">
        <v>1134</v>
      </c>
      <c r="E396" s="180" t="str">
        <f>IFERROR(__xludf.DUMMYFUNCTION("REGEXREPLACE(D396, ""https://odysia-cruise-uk.client.prod.eu-west.dreamlake.io"", """")"),"/cruise-lines/royal-caribbean/jewel-of-the-seas")</f>
        <v>/cruise-lines/royal-caribbean/jewel-of-the-seas</v>
      </c>
    </row>
    <row r="397">
      <c r="A397" s="182" t="s">
        <v>1135</v>
      </c>
      <c r="B397" s="180" t="str">
        <f>IFERROR(__xludf.DUMMYFUNCTION("REGEXREPLACE(A397, ""&lt;loc&gt;"", """")"),"https://odysia-cruise-uk.client.prod.eu-west.dreamlake.io/cruise-lines/azamara/azamara-journey&lt;/loc&gt;")</f>
        <v>https://odysia-cruise-uk.client.prod.eu-west.dreamlake.io/cruise-lines/azamara/azamara-journey&lt;/loc&gt;</v>
      </c>
      <c r="C397" s="181" t="str">
        <f>IFERROR(__xludf.DUMMYFUNCTION("REGEXREPLACE(B397, ""&lt;/loc&gt;"", """")"),"https://odysia-cruise-uk.client.prod.eu-west.dreamlake.io/cruise-lines/azamara/azamara-journey")</f>
        <v>https://odysia-cruise-uk.client.prod.eu-west.dreamlake.io/cruise-lines/azamara/azamara-journey</v>
      </c>
    </row>
    <row r="398">
      <c r="A398" s="182" t="s">
        <v>1136</v>
      </c>
      <c r="B398" s="180" t="str">
        <f>IFERROR(__xludf.DUMMYFUNCTION("REGEXREPLACE(A398, ""&lt;loc&gt;"", """")"),"https://odysia-cruise-uk.client.prod.eu-west.dreamlake.io/cruise-lines/oceania-cruises/oceania-marina/cruises&lt;/loc&gt;")</f>
        <v>https://odysia-cruise-uk.client.prod.eu-west.dreamlake.io/cruise-lines/oceania-cruises/oceania-marina/cruises&lt;/loc&gt;</v>
      </c>
      <c r="C398" s="181" t="str">
        <f>IFERROR(__xludf.DUMMYFUNCTION("REGEXREPLACE(B398, ""&lt;/loc&gt;"", """")"),"https://odysia-cruise-uk.client.prod.eu-west.dreamlake.io/cruise-lines/oceania-cruises/oceania-marina/cruises")</f>
        <v>https://odysia-cruise-uk.client.prod.eu-west.dreamlake.io/cruise-lines/oceania-cruises/oceania-marina/cruises</v>
      </c>
      <c r="D398" s="180" t="s">
        <v>1137</v>
      </c>
      <c r="E398" s="180" t="str">
        <f>IFERROR(__xludf.DUMMYFUNCTION("REGEXREPLACE(D398, ""https://odysia-cruise-uk.client.prod.eu-west.dreamlake.io"", """")"),"/cruise-lines/oceania-cruises/oceania-marina/cruises")</f>
        <v>/cruise-lines/oceania-cruises/oceania-marina/cruises</v>
      </c>
    </row>
    <row r="399">
      <c r="A399" s="182" t="s">
        <v>1138</v>
      </c>
      <c r="B399" s="180" t="str">
        <f>IFERROR(__xludf.DUMMYFUNCTION("REGEXREPLACE(A399, ""&lt;loc&gt;"", """")"),"https://odysia-cruise-uk.client.prod.eu-west.dreamlake.io/cruise-lines/norwegian-cruise-line/norwegian-joy&lt;/loc&gt;")</f>
        <v>https://odysia-cruise-uk.client.prod.eu-west.dreamlake.io/cruise-lines/norwegian-cruise-line/norwegian-joy&lt;/loc&gt;</v>
      </c>
      <c r="C399" s="181" t="str">
        <f>IFERROR(__xludf.DUMMYFUNCTION("REGEXREPLACE(B399, ""&lt;/loc&gt;"", """")"),"https://odysia-cruise-uk.client.prod.eu-west.dreamlake.io/cruise-lines/norwegian-cruise-line/norwegian-joy")</f>
        <v>https://odysia-cruise-uk.client.prod.eu-west.dreamlake.io/cruise-lines/norwegian-cruise-line/norwegian-joy</v>
      </c>
      <c r="D399" s="180" t="s">
        <v>1139</v>
      </c>
      <c r="E399" s="180" t="str">
        <f>IFERROR(__xludf.DUMMYFUNCTION("REGEXREPLACE(D399, ""https://odysia-cruise-uk.client.prod.eu-west.dreamlake.io"", """")"),"/cruise-lines/norwegian-cruise-line/norwegian-joy")</f>
        <v>/cruise-lines/norwegian-cruise-line/norwegian-joy</v>
      </c>
    </row>
    <row r="400">
      <c r="A400" s="182" t="s">
        <v>1140</v>
      </c>
      <c r="B400" s="180" t="str">
        <f>IFERROR(__xludf.DUMMYFUNCTION("REGEXREPLACE(A400, ""&lt;loc&gt;"", """")"),"https://odysia-cruise-uk.client.prod.eu-west.dreamlake.io/cruise-lines/costa-cruises/costa-serena&lt;/loc&gt;")</f>
        <v>https://odysia-cruise-uk.client.prod.eu-west.dreamlake.io/cruise-lines/costa-cruises/costa-serena&lt;/loc&gt;</v>
      </c>
      <c r="C400" s="181" t="str">
        <f>IFERROR(__xludf.DUMMYFUNCTION("REGEXREPLACE(B400, ""&lt;/loc&gt;"", """")"),"https://odysia-cruise-uk.client.prod.eu-west.dreamlake.io/cruise-lines/costa-cruises/costa-serena")</f>
        <v>https://odysia-cruise-uk.client.prod.eu-west.dreamlake.io/cruise-lines/costa-cruises/costa-serena</v>
      </c>
      <c r="D400" s="180" t="s">
        <v>1141</v>
      </c>
      <c r="E400" s="180" t="str">
        <f>IFERROR(__xludf.DUMMYFUNCTION("REGEXREPLACE(D400, ""https://odysia-cruise-uk.client.prod.eu-west.dreamlake.io"", """")"),"/cruise-lines/costa-cruises/costa-serena")</f>
        <v>/cruise-lines/costa-cruises/costa-serena</v>
      </c>
    </row>
    <row r="401">
      <c r="A401" s="182" t="s">
        <v>1142</v>
      </c>
      <c r="B401" s="180" t="str">
        <f>IFERROR(__xludf.DUMMYFUNCTION("REGEXREPLACE(A401, ""&lt;loc&gt;"", """")"),"https://odysia-cruise-uk.client.prod.eu-west.dreamlake.io/cruise-lines/royal-caribbean/cruises&lt;/loc&gt;")</f>
        <v>https://odysia-cruise-uk.client.prod.eu-west.dreamlake.io/cruise-lines/royal-caribbean/cruises&lt;/loc&gt;</v>
      </c>
      <c r="C401" s="181" t="str">
        <f>IFERROR(__xludf.DUMMYFUNCTION("REGEXREPLACE(B401, ""&lt;/loc&gt;"", """")"),"https://odysia-cruise-uk.client.prod.eu-west.dreamlake.io/cruise-lines/royal-caribbean/cruises")</f>
        <v>https://odysia-cruise-uk.client.prod.eu-west.dreamlake.io/cruise-lines/royal-caribbean/cruises</v>
      </c>
      <c r="D401" s="180" t="s">
        <v>1143</v>
      </c>
      <c r="E401" s="180" t="str">
        <f>IFERROR(__xludf.DUMMYFUNCTION("REGEXREPLACE(D401, ""https://odysia-cruise-uk.client.prod.eu-west.dreamlake.io"", """")"),"/cruise-lines/royal-caribbean/cruises")</f>
        <v>/cruise-lines/royal-caribbean/cruises</v>
      </c>
    </row>
    <row r="402">
      <c r="A402" s="182" t="s">
        <v>1144</v>
      </c>
      <c r="B402" s="180" t="str">
        <f>IFERROR(__xludf.DUMMYFUNCTION("REGEXREPLACE(A402, ""&lt;loc&gt;"", """")"),"https://odysia-cruise-uk.client.prod.eu-west.dreamlake.io/cruise-lines/celebrity-cruises/celebrity-equinox/cruises&lt;/loc&gt;")</f>
        <v>https://odysia-cruise-uk.client.prod.eu-west.dreamlake.io/cruise-lines/celebrity-cruises/celebrity-equinox/cruises&lt;/loc&gt;</v>
      </c>
      <c r="C402" s="181" t="str">
        <f>IFERROR(__xludf.DUMMYFUNCTION("REGEXREPLACE(B402, ""&lt;/loc&gt;"", """")"),"https://odysia-cruise-uk.client.prod.eu-west.dreamlake.io/cruise-lines/celebrity-cruises/celebrity-equinox/cruises")</f>
        <v>https://odysia-cruise-uk.client.prod.eu-west.dreamlake.io/cruise-lines/celebrity-cruises/celebrity-equinox/cruises</v>
      </c>
      <c r="D402" s="180" t="s">
        <v>1145</v>
      </c>
      <c r="E402" s="180" t="str">
        <f>IFERROR(__xludf.DUMMYFUNCTION("REGEXREPLACE(D402, ""https://odysia-cruise-uk.client.prod.eu-west.dreamlake.io"", """")"),"/cruise-lines/celebrity-cruises/celebrity-equinox/cruises")</f>
        <v>/cruise-lines/celebrity-cruises/celebrity-equinox/cruises</v>
      </c>
    </row>
    <row r="403">
      <c r="A403" s="182" t="s">
        <v>1146</v>
      </c>
      <c r="B403" s="180" t="str">
        <f>IFERROR(__xludf.DUMMYFUNCTION("REGEXREPLACE(A403, ""&lt;loc&gt;"", """")"),"https://odysia-cruise-uk.client.prod.eu-west.dreamlake.io/cruise-lines/msc-cruises/msc-world-america&lt;/loc&gt;")</f>
        <v>https://odysia-cruise-uk.client.prod.eu-west.dreamlake.io/cruise-lines/msc-cruises/msc-world-america&lt;/loc&gt;</v>
      </c>
      <c r="C403" s="181" t="str">
        <f>IFERROR(__xludf.DUMMYFUNCTION("REGEXREPLACE(B403, ""&lt;/loc&gt;"", """")"),"https://odysia-cruise-uk.client.prod.eu-west.dreamlake.io/cruise-lines/msc-cruises/msc-world-america")</f>
        <v>https://odysia-cruise-uk.client.prod.eu-west.dreamlake.io/cruise-lines/msc-cruises/msc-world-america</v>
      </c>
      <c r="D403" s="180" t="s">
        <v>1147</v>
      </c>
      <c r="E403" s="180" t="str">
        <f>IFERROR(__xludf.DUMMYFUNCTION("REGEXREPLACE(D403, ""https://odysia-cruise-uk.client.prod.eu-west.dreamlake.io"", """")"),"/cruise-lines/msc-cruises/msc-world-america")</f>
        <v>/cruise-lines/msc-cruises/msc-world-america</v>
      </c>
    </row>
    <row r="404">
      <c r="A404" s="182" t="s">
        <v>1148</v>
      </c>
      <c r="B404" s="180" t="str">
        <f>IFERROR(__xludf.DUMMYFUNCTION("REGEXREPLACE(A404, ""&lt;loc&gt;"", """")"),"https://odysia-cruise-uk.client.prod.eu-west.dreamlake.io/cruise-lines/msc-cruises/msc-grandiosa&lt;/loc&gt;")</f>
        <v>https://odysia-cruise-uk.client.prod.eu-west.dreamlake.io/cruise-lines/msc-cruises/msc-grandiosa&lt;/loc&gt;</v>
      </c>
      <c r="C404" s="181" t="str">
        <f>IFERROR(__xludf.DUMMYFUNCTION("REGEXREPLACE(B404, ""&lt;/loc&gt;"", """")"),"https://odysia-cruise-uk.client.prod.eu-west.dreamlake.io/cruise-lines/msc-cruises/msc-grandiosa")</f>
        <v>https://odysia-cruise-uk.client.prod.eu-west.dreamlake.io/cruise-lines/msc-cruises/msc-grandiosa</v>
      </c>
      <c r="D404" s="180" t="s">
        <v>1149</v>
      </c>
      <c r="E404" s="180" t="str">
        <f>IFERROR(__xludf.DUMMYFUNCTION("REGEXREPLACE(D404, ""https://odysia-cruise-uk.client.prod.eu-west.dreamlake.io"", """")"),"/cruise-lines/msc-cruises/msc-grandiosa")</f>
        <v>/cruise-lines/msc-cruises/msc-grandiosa</v>
      </c>
    </row>
    <row r="405">
      <c r="A405" s="182" t="s">
        <v>1150</v>
      </c>
      <c r="B405" s="180" t="str">
        <f>IFERROR(__xludf.DUMMYFUNCTION("REGEXREPLACE(A405, ""&lt;loc&gt;"", """")"),"https://odysia-cruise-uk.client.prod.eu-west.dreamlake.io/cruise-lines/celebrity-cruises/celebrity-summit/cruises&lt;/loc&gt;")</f>
        <v>https://odysia-cruise-uk.client.prod.eu-west.dreamlake.io/cruise-lines/celebrity-cruises/celebrity-summit/cruises&lt;/loc&gt;</v>
      </c>
      <c r="C405" s="181" t="str">
        <f>IFERROR(__xludf.DUMMYFUNCTION("REGEXREPLACE(B405, ""&lt;/loc&gt;"", """")"),"https://odysia-cruise-uk.client.prod.eu-west.dreamlake.io/cruise-lines/celebrity-cruises/celebrity-summit/cruises")</f>
        <v>https://odysia-cruise-uk.client.prod.eu-west.dreamlake.io/cruise-lines/celebrity-cruises/celebrity-summit/cruises</v>
      </c>
      <c r="D405" s="180" t="s">
        <v>1151</v>
      </c>
      <c r="E405" s="180" t="str">
        <f>IFERROR(__xludf.DUMMYFUNCTION("REGEXREPLACE(D405, ""https://odysia-cruise-uk.client.prod.eu-west.dreamlake.io"", """")"),"/cruise-lines/celebrity-cruises/celebrity-summit/cruises")</f>
        <v>/cruise-lines/celebrity-cruises/celebrity-summit/cruises</v>
      </c>
    </row>
    <row r="406">
      <c r="A406" s="182" t="s">
        <v>1152</v>
      </c>
      <c r="B406" s="180" t="str">
        <f>IFERROR(__xludf.DUMMYFUNCTION("REGEXREPLACE(A406, ""&lt;loc&gt;"", """")"),"https://odysia-cruise-uk.client.prod.eu-west.dreamlake.io/cruise-lines/norwegian-cruise-line/norwegian-pearl/cruises&lt;/loc&gt;")</f>
        <v>https://odysia-cruise-uk.client.prod.eu-west.dreamlake.io/cruise-lines/norwegian-cruise-line/norwegian-pearl/cruises&lt;/loc&gt;</v>
      </c>
      <c r="C406" s="181" t="str">
        <f>IFERROR(__xludf.DUMMYFUNCTION("REGEXREPLACE(B406, ""&lt;/loc&gt;"", """")"),"https://odysia-cruise-uk.client.prod.eu-west.dreamlake.io/cruise-lines/norwegian-cruise-line/norwegian-pearl/cruises")</f>
        <v>https://odysia-cruise-uk.client.prod.eu-west.dreamlake.io/cruise-lines/norwegian-cruise-line/norwegian-pearl/cruises</v>
      </c>
      <c r="D406" s="180" t="s">
        <v>1153</v>
      </c>
      <c r="E406" s="180" t="str">
        <f>IFERROR(__xludf.DUMMYFUNCTION("REGEXREPLACE(D406, ""https://odysia-cruise-uk.client.prod.eu-west.dreamlake.io"", """")"),"/cruise-lines/norwegian-cruise-line/norwegian-pearl/cruises")</f>
        <v>/cruise-lines/norwegian-cruise-line/norwegian-pearl/cruises</v>
      </c>
    </row>
    <row r="407">
      <c r="A407" s="182" t="s">
        <v>1022</v>
      </c>
      <c r="B407" s="180" t="str">
        <f>IFERROR(__xludf.DUMMYFUNCTION("REGEXREPLACE(A407, ""&lt;loc&gt;"", """")"),"https://odysia-cruise-uk.client.prod.eu-west.dreamlake.io/cruises&lt;/loc&gt;")</f>
        <v>https://odysia-cruise-uk.client.prod.eu-west.dreamlake.io/cruises&lt;/loc&gt;</v>
      </c>
      <c r="C407" s="181" t="str">
        <f>IFERROR(__xludf.DUMMYFUNCTION("REGEXREPLACE(B407, ""&lt;/loc&gt;"", """")"),"https://odysia-cruise-uk.client.prod.eu-west.dreamlake.io/cruises")</f>
        <v>https://odysia-cruise-uk.client.prod.eu-west.dreamlake.io/cruises</v>
      </c>
    </row>
    <row r="408">
      <c r="A408" s="182" t="s">
        <v>1154</v>
      </c>
      <c r="B408" s="180" t="str">
        <f>IFERROR(__xludf.DUMMYFUNCTION("REGEXREPLACE(A408, ""&lt;loc&gt;"", """")"),"https://odysia-cruise-uk.client.prod.eu-west.dreamlake.io/cruise-lines/princess-cruises/royal-princess&lt;/loc&gt;")</f>
        <v>https://odysia-cruise-uk.client.prod.eu-west.dreamlake.io/cruise-lines/princess-cruises/royal-princess&lt;/loc&gt;</v>
      </c>
      <c r="C408" s="181" t="str">
        <f>IFERROR(__xludf.DUMMYFUNCTION("REGEXREPLACE(B408, ""&lt;/loc&gt;"", """")"),"https://odysia-cruise-uk.client.prod.eu-west.dreamlake.io/cruise-lines/princess-cruises/royal-princess")</f>
        <v>https://odysia-cruise-uk.client.prod.eu-west.dreamlake.io/cruise-lines/princess-cruises/royal-princess</v>
      </c>
      <c r="D408" s="180" t="s">
        <v>1155</v>
      </c>
      <c r="E408" s="180" t="str">
        <f>IFERROR(__xludf.DUMMYFUNCTION("REGEXREPLACE(D408, ""https://odysia-cruise-uk.client.prod.eu-west.dreamlake.io"", """")"),"/cruise-lines/princess-cruises/royal-princess")</f>
        <v>/cruise-lines/princess-cruises/royal-princess</v>
      </c>
    </row>
    <row r="409">
      <c r="A409" s="182" t="s">
        <v>1156</v>
      </c>
      <c r="B409" s="180" t="str">
        <f>IFERROR(__xludf.DUMMYFUNCTION("REGEXREPLACE(A409, ""&lt;loc&gt;"", """")"),"https://odysia-cruise-uk.client.prod.eu-west.dreamlake.io/cruise-lines/virgin-voyages/brilliant-lady&lt;/loc&gt;")</f>
        <v>https://odysia-cruise-uk.client.prod.eu-west.dreamlake.io/cruise-lines/virgin-voyages/brilliant-lady&lt;/loc&gt;</v>
      </c>
      <c r="C409" s="181" t="str">
        <f>IFERROR(__xludf.DUMMYFUNCTION("REGEXREPLACE(B409, ""&lt;/loc&gt;"", """")"),"https://odysia-cruise-uk.client.prod.eu-west.dreamlake.io/cruise-lines/virgin-voyages/brilliant-lady")</f>
        <v>https://odysia-cruise-uk.client.prod.eu-west.dreamlake.io/cruise-lines/virgin-voyages/brilliant-lady</v>
      </c>
      <c r="D409" s="180" t="s">
        <v>1157</v>
      </c>
      <c r="E409" s="180" t="str">
        <f>IFERROR(__xludf.DUMMYFUNCTION("REGEXREPLACE(D409, ""https://odysia-cruise-uk.client.prod.eu-west.dreamlake.io"", """")"),"/cruise-lines/virgin-voyages/brilliant-lady")</f>
        <v>/cruise-lines/virgin-voyages/brilliant-lady</v>
      </c>
    </row>
    <row r="410">
      <c r="A410" s="182" t="s">
        <v>1158</v>
      </c>
      <c r="B410" s="180" t="str">
        <f>IFERROR(__xludf.DUMMYFUNCTION("REGEXREPLACE(A410, ""&lt;loc&gt;"", """")"),"https://odysia-cruise-uk.client.prod.eu-west.dreamlake.io/cruise-lines/royal-caribbean/wonder-of-the-seas&lt;/loc&gt;")</f>
        <v>https://odysia-cruise-uk.client.prod.eu-west.dreamlake.io/cruise-lines/royal-caribbean/wonder-of-the-seas&lt;/loc&gt;</v>
      </c>
      <c r="C410" s="181" t="str">
        <f>IFERROR(__xludf.DUMMYFUNCTION("REGEXREPLACE(B410, ""&lt;/loc&gt;"", """")"),"https://odysia-cruise-uk.client.prod.eu-west.dreamlake.io/cruise-lines/royal-caribbean/wonder-of-the-seas")</f>
        <v>https://odysia-cruise-uk.client.prod.eu-west.dreamlake.io/cruise-lines/royal-caribbean/wonder-of-the-seas</v>
      </c>
      <c r="D410" s="180" t="s">
        <v>1159</v>
      </c>
      <c r="E410" s="180" t="str">
        <f>IFERROR(__xludf.DUMMYFUNCTION("REGEXREPLACE(D410, ""https://odysia-cruise-uk.client.prod.eu-west.dreamlake.io"", """")"),"/cruise-lines/royal-caribbean/wonder-of-the-seas")</f>
        <v>/cruise-lines/royal-caribbean/wonder-of-the-seas</v>
      </c>
    </row>
    <row r="411">
      <c r="A411" s="182" t="s">
        <v>1160</v>
      </c>
      <c r="B411" s="180" t="str">
        <f>IFERROR(__xludf.DUMMYFUNCTION("REGEXREPLACE(A411, ""&lt;loc&gt;"", """")"),"https://odysia-cruise-uk.client.prod.eu-west.dreamlake.io/cruise-lines/azamara/azamara-pursuit&lt;/loc&gt;")</f>
        <v>https://odysia-cruise-uk.client.prod.eu-west.dreamlake.io/cruise-lines/azamara/azamara-pursuit&lt;/loc&gt;</v>
      </c>
      <c r="C411" s="181" t="str">
        <f>IFERROR(__xludf.DUMMYFUNCTION("REGEXREPLACE(B411, ""&lt;/loc&gt;"", """")"),"https://odysia-cruise-uk.client.prod.eu-west.dreamlake.io/cruise-lines/azamara/azamara-pursuit")</f>
        <v>https://odysia-cruise-uk.client.prod.eu-west.dreamlake.io/cruise-lines/azamara/azamara-pursuit</v>
      </c>
    </row>
    <row r="412">
      <c r="A412" s="182" t="s">
        <v>1161</v>
      </c>
      <c r="B412" s="180" t="str">
        <f>IFERROR(__xludf.DUMMYFUNCTION("REGEXREPLACE(A412, ""&lt;loc&gt;"", """")"),"https://odysia-cruise-uk.client.prod.eu-west.dreamlake.io/cruise-lines/po-cruises&lt;/loc&gt;")</f>
        <v>https://odysia-cruise-uk.client.prod.eu-west.dreamlake.io/cruise-lines/po-cruises&lt;/loc&gt;</v>
      </c>
      <c r="C412" s="181" t="str">
        <f>IFERROR(__xludf.DUMMYFUNCTION("REGEXREPLACE(B412, ""&lt;/loc&gt;"", """")"),"https://odysia-cruise-uk.client.prod.eu-west.dreamlake.io/cruise-lines/po-cruises")</f>
        <v>https://odysia-cruise-uk.client.prod.eu-west.dreamlake.io/cruise-lines/po-cruises</v>
      </c>
      <c r="D412" s="180" t="s">
        <v>1162</v>
      </c>
      <c r="E412" s="180" t="str">
        <f>IFERROR(__xludf.DUMMYFUNCTION("REGEXREPLACE(D412, ""https://odysia-cruise-uk.client.prod.eu-west.dreamlake.io"", """")"),"/cruise-lines/po-cruises")</f>
        <v>/cruise-lines/po-cruises</v>
      </c>
    </row>
    <row r="413">
      <c r="A413" s="182" t="s">
        <v>1163</v>
      </c>
      <c r="B413" s="180" t="str">
        <f>IFERROR(__xludf.DUMMYFUNCTION("REGEXREPLACE(A413, ""&lt;loc&gt;"", """")"),"https://odysia-cruise-uk.client.prod.eu-west.dreamlake.io/cruise-lines/seabourn/seabourn-encore/cruises&lt;/loc&gt;")</f>
        <v>https://odysia-cruise-uk.client.prod.eu-west.dreamlake.io/cruise-lines/seabourn/seabourn-encore/cruises&lt;/loc&gt;</v>
      </c>
      <c r="C413" s="181" t="str">
        <f>IFERROR(__xludf.DUMMYFUNCTION("REGEXREPLACE(B413, ""&lt;/loc&gt;"", """")"),"https://odysia-cruise-uk.client.prod.eu-west.dreamlake.io/cruise-lines/seabourn/seabourn-encore/cruises")</f>
        <v>https://odysia-cruise-uk.client.prod.eu-west.dreamlake.io/cruise-lines/seabourn/seabourn-encore/cruises</v>
      </c>
      <c r="D413" s="180" t="s">
        <v>1164</v>
      </c>
      <c r="E413" s="180" t="str">
        <f>IFERROR(__xludf.DUMMYFUNCTION("REGEXREPLACE(D413, ""https://odysia-cruise-uk.client.prod.eu-west.dreamlake.io"", """")"),"/cruise-lines/seabourn/seabourn-encore/cruises")</f>
        <v>/cruise-lines/seabourn/seabourn-encore/cruises</v>
      </c>
    </row>
    <row r="414">
      <c r="A414" s="182" t="s">
        <v>1165</v>
      </c>
      <c r="B414" s="180" t="str">
        <f>IFERROR(__xludf.DUMMYFUNCTION("REGEXREPLACE(A414, ""&lt;loc&gt;"", """")"),"https://odysia-cruise-uk.client.prod.eu-west.dreamlake.io/cruise-lines/regent-seven-seas-cruises/seven-seas-navigator&lt;/loc&gt;")</f>
        <v>https://odysia-cruise-uk.client.prod.eu-west.dreamlake.io/cruise-lines/regent-seven-seas-cruises/seven-seas-navigator&lt;/loc&gt;</v>
      </c>
      <c r="C414" s="181" t="str">
        <f>IFERROR(__xludf.DUMMYFUNCTION("REGEXREPLACE(B414, ""&lt;/loc&gt;"", """")"),"https://odysia-cruise-uk.client.prod.eu-west.dreamlake.io/cruise-lines/regent-seven-seas-cruises/seven-seas-navigator")</f>
        <v>https://odysia-cruise-uk.client.prod.eu-west.dreamlake.io/cruise-lines/regent-seven-seas-cruises/seven-seas-navigator</v>
      </c>
      <c r="D414" s="180" t="s">
        <v>1166</v>
      </c>
      <c r="E414" s="180" t="str">
        <f>IFERROR(__xludf.DUMMYFUNCTION("REGEXREPLACE(D414, ""https://odysia-cruise-uk.client.prod.eu-west.dreamlake.io"", """")"),"/cruise-lines/regent-seven-seas-cruises/seven-seas-navigator")</f>
        <v>/cruise-lines/regent-seven-seas-cruises/seven-seas-navigator</v>
      </c>
    </row>
    <row r="415">
      <c r="A415" s="182" t="s">
        <v>1167</v>
      </c>
      <c r="B415" s="180" t="str">
        <f>IFERROR(__xludf.DUMMYFUNCTION("REGEXREPLACE(A415, ""&lt;loc&gt;"", """")"),"https://odysia-cruise-uk.client.prod.eu-west.dreamlake.io/cruise-deals&lt;/loc&gt;")</f>
        <v>https://odysia-cruise-uk.client.prod.eu-west.dreamlake.io/cruise-deals&lt;/loc&gt;</v>
      </c>
      <c r="C415" s="181" t="str">
        <f>IFERROR(__xludf.DUMMYFUNCTION("REGEXREPLACE(B415, ""&lt;/loc&gt;"", """")"),"https://odysia-cruise-uk.client.prod.eu-west.dreamlake.io/cruise-deals")</f>
        <v>https://odysia-cruise-uk.client.prod.eu-west.dreamlake.io/cruise-deals</v>
      </c>
      <c r="D415" s="180" t="s">
        <v>1168</v>
      </c>
    </row>
    <row r="416">
      <c r="A416" s="182" t="s">
        <v>1169</v>
      </c>
      <c r="B416" s="180" t="str">
        <f>IFERROR(__xludf.DUMMYFUNCTION("REGEXREPLACE(A416, ""&lt;loc&gt;"", """")"),"https://odysia-cruise-uk.client.prod.eu-west.dreamlake.io/cruise-lines/princess-cruises/enchanted-princess/cruises&lt;/loc&gt;")</f>
        <v>https://odysia-cruise-uk.client.prod.eu-west.dreamlake.io/cruise-lines/princess-cruises/enchanted-princess/cruises&lt;/loc&gt;</v>
      </c>
      <c r="C416" s="181" t="str">
        <f>IFERROR(__xludf.DUMMYFUNCTION("REGEXREPLACE(B416, ""&lt;/loc&gt;"", """")"),"https://odysia-cruise-uk.client.prod.eu-west.dreamlake.io/cruise-lines/princess-cruises/enchanted-princess/cruises")</f>
        <v>https://odysia-cruise-uk.client.prod.eu-west.dreamlake.io/cruise-lines/princess-cruises/enchanted-princess/cruises</v>
      </c>
      <c r="D416" s="180" t="s">
        <v>1170</v>
      </c>
      <c r="E416" s="180" t="str">
        <f>IFERROR(__xludf.DUMMYFUNCTION("REGEXREPLACE(D416, ""https://odysia-cruise-uk.client.prod.eu-west.dreamlake.io"", """")"),"/cruise-lines/princess-cruises/enchanted-princess/cruises")</f>
        <v>/cruise-lines/princess-cruises/enchanted-princess/cruises</v>
      </c>
    </row>
    <row r="417">
      <c r="A417" s="182" t="s">
        <v>1171</v>
      </c>
      <c r="B417" s="180" t="str">
        <f>IFERROR(__xludf.DUMMYFUNCTION("REGEXREPLACE(A417, ""&lt;loc&gt;"", """")"),"https://odysia-cruise-uk.client.prod.eu-west.dreamlake.io/cruise-lines/royal-caribbean/harmony-of-the-seas&lt;/loc&gt;")</f>
        <v>https://odysia-cruise-uk.client.prod.eu-west.dreamlake.io/cruise-lines/royal-caribbean/harmony-of-the-seas&lt;/loc&gt;</v>
      </c>
      <c r="C417" s="181" t="str">
        <f>IFERROR(__xludf.DUMMYFUNCTION("REGEXREPLACE(B417, ""&lt;/loc&gt;"", """")"),"https://odysia-cruise-uk.client.prod.eu-west.dreamlake.io/cruise-lines/royal-caribbean/harmony-of-the-seas")</f>
        <v>https://odysia-cruise-uk.client.prod.eu-west.dreamlake.io/cruise-lines/royal-caribbean/harmony-of-the-seas</v>
      </c>
      <c r="D417" s="180" t="s">
        <v>1172</v>
      </c>
      <c r="E417" s="180" t="str">
        <f>IFERROR(__xludf.DUMMYFUNCTION("REGEXREPLACE(D417, ""https://odysia-cruise-uk.client.prod.eu-west.dreamlake.io"", """")"),"/cruise-lines/royal-caribbean/harmony-of-the-seas")</f>
        <v>/cruise-lines/royal-caribbean/harmony-of-the-seas</v>
      </c>
    </row>
    <row r="418">
      <c r="A418" s="182" t="s">
        <v>1173</v>
      </c>
      <c r="B418" s="180" t="str">
        <f>IFERROR(__xludf.DUMMYFUNCTION("REGEXREPLACE(A418, ""&lt;loc&gt;"", """")"),"https://odysia-cruise-uk.client.prod.eu-west.dreamlake.io/destinations/world-cruise&lt;/loc&gt;")</f>
        <v>https://odysia-cruise-uk.client.prod.eu-west.dreamlake.io/destinations/world-cruise&lt;/loc&gt;</v>
      </c>
      <c r="C418" s="181" t="str">
        <f>IFERROR(__xludf.DUMMYFUNCTION("REGEXREPLACE(B418, ""&lt;/loc&gt;"", """")"),"https://odysia-cruise-uk.client.prod.eu-west.dreamlake.io/destinations/world-cruise")</f>
        <v>https://odysia-cruise-uk.client.prod.eu-west.dreamlake.io/destinations/world-cruise</v>
      </c>
    </row>
    <row r="419">
      <c r="A419" s="182" t="s">
        <v>1174</v>
      </c>
      <c r="B419" s="180" t="str">
        <f>IFERROR(__xludf.DUMMYFUNCTION("REGEXREPLACE(A419, ""&lt;loc&gt;"", """")"),"https://odysia-cruise-uk.client.prod.eu-west.dreamlake.io/cruise-lines/princess-cruises/cruises&lt;/loc&gt;")</f>
        <v>https://odysia-cruise-uk.client.prod.eu-west.dreamlake.io/cruise-lines/princess-cruises/cruises&lt;/loc&gt;</v>
      </c>
      <c r="C419" s="181" t="str">
        <f>IFERROR(__xludf.DUMMYFUNCTION("REGEXREPLACE(B419, ""&lt;/loc&gt;"", """")"),"https://odysia-cruise-uk.client.prod.eu-west.dreamlake.io/cruise-lines/princess-cruises/cruises")</f>
        <v>https://odysia-cruise-uk.client.prod.eu-west.dreamlake.io/cruise-lines/princess-cruises/cruises</v>
      </c>
      <c r="D419" s="180" t="s">
        <v>1175</v>
      </c>
      <c r="E419" s="180" t="str">
        <f>IFERROR(__xludf.DUMMYFUNCTION("REGEXREPLACE(D419, ""https://odysia-cruise-uk.client.prod.eu-west.dreamlake.io"", """")"),"/cruise-lines/princess-cruises/cruises")</f>
        <v>/cruise-lines/princess-cruises/cruises</v>
      </c>
    </row>
    <row r="420">
      <c r="A420" s="182" t="s">
        <v>1176</v>
      </c>
      <c r="B420" s="180" t="str">
        <f>IFERROR(__xludf.DUMMYFUNCTION("REGEXREPLACE(A420, ""&lt;loc&gt;"", """")"),"https://odysia-cruise-uk.client.prod.eu-west.dreamlake.io/cruise-lines/msc-cruises/msc-lirica/cruises&lt;/loc&gt;")</f>
        <v>https://odysia-cruise-uk.client.prod.eu-west.dreamlake.io/cruise-lines/msc-cruises/msc-lirica/cruises&lt;/loc&gt;</v>
      </c>
      <c r="C420" s="181" t="str">
        <f>IFERROR(__xludf.DUMMYFUNCTION("REGEXREPLACE(B420, ""&lt;/loc&gt;"", """")"),"https://odysia-cruise-uk.client.prod.eu-west.dreamlake.io/cruise-lines/msc-cruises/msc-lirica/cruises")</f>
        <v>https://odysia-cruise-uk.client.prod.eu-west.dreamlake.io/cruise-lines/msc-cruises/msc-lirica/cruises</v>
      </c>
      <c r="D420" s="180" t="s">
        <v>1177</v>
      </c>
      <c r="E420" s="180" t="str">
        <f>IFERROR(__xludf.DUMMYFUNCTION("REGEXREPLACE(D420, ""https://odysia-cruise-uk.client.prod.eu-west.dreamlake.io"", """")"),"/cruise-lines/msc-cruises/msc-lirica/cruises")</f>
        <v>/cruise-lines/msc-cruises/msc-lirica/cruises</v>
      </c>
    </row>
    <row r="421">
      <c r="A421" s="182" t="s">
        <v>1178</v>
      </c>
      <c r="B421" s="180" t="str">
        <f>IFERROR(__xludf.DUMMYFUNCTION("REGEXREPLACE(A421, ""&lt;loc&gt;"", """")"),"https://odysia-cruise-uk.client.prod.eu-west.dreamlake.io/cruise-lines/msc-cruises/msc-world-america/cruises&lt;/loc&gt;")</f>
        <v>https://odysia-cruise-uk.client.prod.eu-west.dreamlake.io/cruise-lines/msc-cruises/msc-world-america/cruises&lt;/loc&gt;</v>
      </c>
      <c r="C421" s="181" t="str">
        <f>IFERROR(__xludf.DUMMYFUNCTION("REGEXREPLACE(B421, ""&lt;/loc&gt;"", """")"),"https://odysia-cruise-uk.client.prod.eu-west.dreamlake.io/cruise-lines/msc-cruises/msc-world-america/cruises")</f>
        <v>https://odysia-cruise-uk.client.prod.eu-west.dreamlake.io/cruise-lines/msc-cruises/msc-world-america/cruises</v>
      </c>
      <c r="D421" s="180" t="s">
        <v>1179</v>
      </c>
      <c r="E421" s="180" t="str">
        <f>IFERROR(__xludf.DUMMYFUNCTION("REGEXREPLACE(D421, ""https://odysia-cruise-uk.client.prod.eu-west.dreamlake.io"", """")"),"/cruise-lines/msc-cruises/msc-world-america/cruises")</f>
        <v>/cruise-lines/msc-cruises/msc-world-america/cruises</v>
      </c>
    </row>
    <row r="422">
      <c r="A422" s="182" t="s">
        <v>1180</v>
      </c>
      <c r="B422" s="180" t="str">
        <f>IFERROR(__xludf.DUMMYFUNCTION("REGEXREPLACE(A422, ""&lt;loc&gt;"", """")"),"https://odysia-cruise-uk.client.prod.eu-west.dreamlake.io/cruise-lines/holland-america-line/westerdam&lt;/loc&gt;")</f>
        <v>https://odysia-cruise-uk.client.prod.eu-west.dreamlake.io/cruise-lines/holland-america-line/westerdam&lt;/loc&gt;</v>
      </c>
      <c r="C422" s="181" t="str">
        <f>IFERROR(__xludf.DUMMYFUNCTION("REGEXREPLACE(B422, ""&lt;/loc&gt;"", """")"),"https://odysia-cruise-uk.client.prod.eu-west.dreamlake.io/cruise-lines/holland-america-line/westerdam")</f>
        <v>https://odysia-cruise-uk.client.prod.eu-west.dreamlake.io/cruise-lines/holland-america-line/westerdam</v>
      </c>
      <c r="D422" s="180" t="s">
        <v>1181</v>
      </c>
      <c r="E422" s="180" t="str">
        <f>IFERROR(__xludf.DUMMYFUNCTION("REGEXREPLACE(D422, ""https://odysia-cruise-uk.client.prod.eu-west.dreamlake.io"", """")"),"/cruise-lines/holland-america-line/westerdam")</f>
        <v>/cruise-lines/holland-america-line/westerdam</v>
      </c>
    </row>
    <row r="423">
      <c r="A423" s="182" t="s">
        <v>1182</v>
      </c>
      <c r="B423" s="180" t="str">
        <f>IFERROR(__xludf.DUMMYFUNCTION("REGEXREPLACE(A423, ""&lt;loc&gt;"", """")"),"https://odysia-cruise-uk.client.prod.eu-west.dreamlake.io/cruise-lines/seabourn/seabourn-pursuit&lt;/loc&gt;")</f>
        <v>https://odysia-cruise-uk.client.prod.eu-west.dreamlake.io/cruise-lines/seabourn/seabourn-pursuit&lt;/loc&gt;</v>
      </c>
      <c r="C423" s="181" t="str">
        <f>IFERROR(__xludf.DUMMYFUNCTION("REGEXREPLACE(B423, ""&lt;/loc&gt;"", """")"),"https://odysia-cruise-uk.client.prod.eu-west.dreamlake.io/cruise-lines/seabourn/seabourn-pursuit")</f>
        <v>https://odysia-cruise-uk.client.prod.eu-west.dreamlake.io/cruise-lines/seabourn/seabourn-pursuit</v>
      </c>
      <c r="D423" s="180" t="s">
        <v>1183</v>
      </c>
      <c r="E423" s="180" t="str">
        <f>IFERROR(__xludf.DUMMYFUNCTION("REGEXREPLACE(D423, ""https://odysia-cruise-uk.client.prod.eu-west.dreamlake.io"", """")"),"/cruise-lines/seabourn/seabourn-pursuit")</f>
        <v>/cruise-lines/seabourn/seabourn-pursuit</v>
      </c>
    </row>
    <row r="424">
      <c r="A424" s="182" t="s">
        <v>1184</v>
      </c>
      <c r="B424" s="180" t="str">
        <f>IFERROR(__xludf.DUMMYFUNCTION("REGEXREPLACE(A424, ""&lt;loc&gt;"", """")"),"https://odysia-cruise-uk.client.prod.eu-west.dreamlake.io/cruise-lines/explora-journeys/explora-ii/cruises&lt;/loc&gt;")</f>
        <v>https://odysia-cruise-uk.client.prod.eu-west.dreamlake.io/cruise-lines/explora-journeys/explora-ii/cruises&lt;/loc&gt;</v>
      </c>
      <c r="C424" s="181" t="str">
        <f>IFERROR(__xludf.DUMMYFUNCTION("REGEXREPLACE(B424, ""&lt;/loc&gt;"", """")"),"https://odysia-cruise-uk.client.prod.eu-west.dreamlake.io/cruise-lines/explora-journeys/explora-ii/cruises")</f>
        <v>https://odysia-cruise-uk.client.prod.eu-west.dreamlake.io/cruise-lines/explora-journeys/explora-ii/cruises</v>
      </c>
      <c r="D424" s="180" t="s">
        <v>1185</v>
      </c>
      <c r="E424" s="180" t="str">
        <f>IFERROR(__xludf.DUMMYFUNCTION("REGEXREPLACE(D424, ""https://odysia-cruise-uk.client.prod.eu-west.dreamlake.io"", """")"),"/cruise-lines/explora-journeys/explora-ii/cruises")</f>
        <v>/cruise-lines/explora-journeys/explora-ii/cruises</v>
      </c>
    </row>
    <row r="425">
      <c r="A425" s="182" t="s">
        <v>1186</v>
      </c>
      <c r="B425" s="180" t="str">
        <f>IFERROR(__xludf.DUMMYFUNCTION("REGEXREPLACE(A425, ""&lt;loc&gt;"", """")"),"https://odysia-cruise-uk.client.prod.eu-west.dreamlake.io/cruise-lines/holland-america-line/oosterdam&lt;/loc&gt;")</f>
        <v>https://odysia-cruise-uk.client.prod.eu-west.dreamlake.io/cruise-lines/holland-america-line/oosterdam&lt;/loc&gt;</v>
      </c>
      <c r="C425" s="181" t="str">
        <f>IFERROR(__xludf.DUMMYFUNCTION("REGEXREPLACE(B425, ""&lt;/loc&gt;"", """")"),"https://odysia-cruise-uk.client.prod.eu-west.dreamlake.io/cruise-lines/holland-america-line/oosterdam")</f>
        <v>https://odysia-cruise-uk.client.prod.eu-west.dreamlake.io/cruise-lines/holland-america-line/oosterdam</v>
      </c>
      <c r="D425" s="180" t="s">
        <v>1187</v>
      </c>
      <c r="E425" s="180" t="str">
        <f>IFERROR(__xludf.DUMMYFUNCTION("REGEXREPLACE(D425, ""https://odysia-cruise-uk.client.prod.eu-west.dreamlake.io"", """")"),"/cruise-lines/holland-america-line/oosterdam")</f>
        <v>/cruise-lines/holland-america-line/oosterdam</v>
      </c>
    </row>
    <row r="426">
      <c r="A426" s="182" t="s">
        <v>1188</v>
      </c>
      <c r="B426" s="180" t="str">
        <f>IFERROR(__xludf.DUMMYFUNCTION("REGEXREPLACE(A426, ""&lt;loc&gt;"", """")"),"https://odysia-cruise-uk.client.prod.eu-west.dreamlake.io/destinations/far-east-cruises&lt;/loc&gt;")</f>
        <v>https://odysia-cruise-uk.client.prod.eu-west.dreamlake.io/destinations/far-east-cruises&lt;/loc&gt;</v>
      </c>
      <c r="C426" s="181" t="str">
        <f>IFERROR(__xludf.DUMMYFUNCTION("REGEXREPLACE(B426, ""&lt;/loc&gt;"", """")"),"https://odysia-cruise-uk.client.prod.eu-west.dreamlake.io/destinations/far-east-cruises")</f>
        <v>https://odysia-cruise-uk.client.prod.eu-west.dreamlake.io/destinations/far-east-cruises</v>
      </c>
    </row>
    <row r="427">
      <c r="A427" s="182" t="s">
        <v>1189</v>
      </c>
      <c r="B427" s="180" t="str">
        <f>IFERROR(__xludf.DUMMYFUNCTION("REGEXREPLACE(A427, ""&lt;loc&gt;"", """")"),"https://odysia-cruise-uk.client.prod.eu-west.dreamlake.io/cruise-lines/costa-cruises/costa-fortuna&lt;/loc&gt;")</f>
        <v>https://odysia-cruise-uk.client.prod.eu-west.dreamlake.io/cruise-lines/costa-cruises/costa-fortuna&lt;/loc&gt;</v>
      </c>
      <c r="C427" s="181" t="str">
        <f>IFERROR(__xludf.DUMMYFUNCTION("REGEXREPLACE(B427, ""&lt;/loc&gt;"", """")"),"https://odysia-cruise-uk.client.prod.eu-west.dreamlake.io/cruise-lines/costa-cruises/costa-fortuna")</f>
        <v>https://odysia-cruise-uk.client.prod.eu-west.dreamlake.io/cruise-lines/costa-cruises/costa-fortuna</v>
      </c>
      <c r="D427" s="180" t="s">
        <v>1190</v>
      </c>
      <c r="E427" s="180" t="str">
        <f>IFERROR(__xludf.DUMMYFUNCTION("REGEXREPLACE(D427, ""https://odysia-cruise-uk.client.prod.eu-west.dreamlake.io"", """")"),"/cruise-lines/costa-cruises/costa-fortuna")</f>
        <v>/cruise-lines/costa-cruises/costa-fortuna</v>
      </c>
    </row>
  </sheetData>
  <autoFilter ref="$A$1:$C$427"/>
  <hyperlinks>
    <hyperlink r:id="rId1" ref="D8"/>
  </hyperlin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3.5"/>
  </cols>
  <sheetData>
    <row r="1">
      <c r="A1" s="184" t="s">
        <v>383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</row>
    <row r="2">
      <c r="A2" s="186" t="s">
        <v>1191</v>
      </c>
    </row>
    <row r="3">
      <c r="A3" s="186" t="s">
        <v>1192</v>
      </c>
    </row>
    <row r="4">
      <c r="A4" s="186" t="s">
        <v>1193</v>
      </c>
    </row>
    <row r="5">
      <c r="A5" s="186" t="s">
        <v>1194</v>
      </c>
    </row>
    <row r="6">
      <c r="A6" s="186" t="s">
        <v>1195</v>
      </c>
    </row>
    <row r="7">
      <c r="A7" s="186" t="s">
        <v>1196</v>
      </c>
    </row>
    <row r="8">
      <c r="A8" s="186" t="s">
        <v>1197</v>
      </c>
    </row>
    <row r="9">
      <c r="A9" s="186" t="s">
        <v>1198</v>
      </c>
    </row>
    <row r="10">
      <c r="A10" s="187" t="s">
        <v>1199</v>
      </c>
    </row>
    <row r="11">
      <c r="A11" s="187" t="s">
        <v>1200</v>
      </c>
    </row>
    <row r="12">
      <c r="A12" s="187" t="s">
        <v>1201</v>
      </c>
    </row>
    <row r="13">
      <c r="A13" s="187" t="s">
        <v>1202</v>
      </c>
    </row>
    <row r="14">
      <c r="A14" s="187" t="s">
        <v>1203</v>
      </c>
    </row>
    <row r="15">
      <c r="A15" s="187" t="s">
        <v>1204</v>
      </c>
    </row>
    <row r="16">
      <c r="A16" s="187" t="s">
        <v>1205</v>
      </c>
    </row>
    <row r="17">
      <c r="A17" s="187" t="s">
        <v>1206</v>
      </c>
    </row>
    <row r="18">
      <c r="A18" s="186" t="s">
        <v>1207</v>
      </c>
    </row>
    <row r="19">
      <c r="A19" s="186" t="s">
        <v>1208</v>
      </c>
    </row>
    <row r="20">
      <c r="A20" s="186" t="s">
        <v>1209</v>
      </c>
    </row>
    <row r="21">
      <c r="A21" s="186" t="s">
        <v>1210</v>
      </c>
    </row>
    <row r="22">
      <c r="A22" s="186" t="s">
        <v>1211</v>
      </c>
    </row>
    <row r="23">
      <c r="A23" s="186" t="s">
        <v>1212</v>
      </c>
    </row>
    <row r="24">
      <c r="A24" s="186" t="s">
        <v>1213</v>
      </c>
    </row>
    <row r="25">
      <c r="A25" s="186" t="s">
        <v>1214</v>
      </c>
    </row>
    <row r="26">
      <c r="A26" s="186" t="s">
        <v>1215</v>
      </c>
    </row>
    <row r="27">
      <c r="A27" s="186" t="s">
        <v>1216</v>
      </c>
    </row>
    <row r="28">
      <c r="A28" s="186" t="s">
        <v>1217</v>
      </c>
    </row>
    <row r="29">
      <c r="A29" s="186" t="s">
        <v>1218</v>
      </c>
    </row>
    <row r="30">
      <c r="A30" s="186" t="s">
        <v>1219</v>
      </c>
    </row>
    <row r="31">
      <c r="A31" s="186" t="s">
        <v>1220</v>
      </c>
    </row>
    <row r="32">
      <c r="A32" s="186" t="s">
        <v>1221</v>
      </c>
    </row>
    <row r="33">
      <c r="A33" s="186" t="s">
        <v>1222</v>
      </c>
    </row>
    <row r="34">
      <c r="A34" s="186" t="s">
        <v>1223</v>
      </c>
    </row>
    <row r="35">
      <c r="A35" s="186" t="s">
        <v>1224</v>
      </c>
    </row>
    <row r="36">
      <c r="A36" s="186" t="s">
        <v>1225</v>
      </c>
    </row>
    <row r="37">
      <c r="A37" s="186" t="s">
        <v>1226</v>
      </c>
    </row>
    <row r="38">
      <c r="A38" s="186" t="s">
        <v>1227</v>
      </c>
    </row>
    <row r="39">
      <c r="A39" s="186" t="s">
        <v>1228</v>
      </c>
    </row>
    <row r="40">
      <c r="A40" s="186" t="s">
        <v>1229</v>
      </c>
    </row>
    <row r="41">
      <c r="A41" s="186" t="s">
        <v>1230</v>
      </c>
    </row>
    <row r="42">
      <c r="A42" s="186" t="s">
        <v>1231</v>
      </c>
    </row>
    <row r="43">
      <c r="A43" s="186" t="s">
        <v>1232</v>
      </c>
    </row>
    <row r="44">
      <c r="A44" s="186" t="s">
        <v>1233</v>
      </c>
    </row>
    <row r="45">
      <c r="A45" s="186" t="s">
        <v>1234</v>
      </c>
    </row>
    <row r="46">
      <c r="A46" s="186" t="s">
        <v>1235</v>
      </c>
    </row>
    <row r="47">
      <c r="A47" s="186" t="s">
        <v>1236</v>
      </c>
    </row>
    <row r="48">
      <c r="A48" s="186" t="s">
        <v>1237</v>
      </c>
    </row>
    <row r="49">
      <c r="A49" s="186" t="s">
        <v>1238</v>
      </c>
    </row>
    <row r="50">
      <c r="A50" s="186" t="s">
        <v>1239</v>
      </c>
    </row>
    <row r="51">
      <c r="A51" s="186" t="s">
        <v>1240</v>
      </c>
    </row>
    <row r="52">
      <c r="A52" s="186" t="s">
        <v>1241</v>
      </c>
    </row>
    <row r="53">
      <c r="A53" s="186" t="s">
        <v>1242</v>
      </c>
    </row>
    <row r="54">
      <c r="A54" s="186" t="s">
        <v>1243</v>
      </c>
    </row>
    <row r="55">
      <c r="A55" s="186" t="s">
        <v>1244</v>
      </c>
    </row>
    <row r="56">
      <c r="A56" s="186" t="s">
        <v>1245</v>
      </c>
    </row>
    <row r="57">
      <c r="A57" s="186" t="s">
        <v>1246</v>
      </c>
    </row>
    <row r="58">
      <c r="A58" s="186" t="s">
        <v>1247</v>
      </c>
    </row>
    <row r="59">
      <c r="A59" s="186" t="s">
        <v>1248</v>
      </c>
    </row>
    <row r="60">
      <c r="A60" s="186" t="s">
        <v>1249</v>
      </c>
    </row>
    <row r="61">
      <c r="A61" s="186" t="s">
        <v>1250</v>
      </c>
    </row>
    <row r="62">
      <c r="A62" s="186" t="s">
        <v>1251</v>
      </c>
    </row>
    <row r="63">
      <c r="A63" s="186" t="s">
        <v>1252</v>
      </c>
    </row>
    <row r="64">
      <c r="A64" s="186" t="s">
        <v>1253</v>
      </c>
    </row>
    <row r="65">
      <c r="A65" s="186" t="s">
        <v>1254</v>
      </c>
    </row>
    <row r="66">
      <c r="A66" s="186" t="s">
        <v>1255</v>
      </c>
    </row>
    <row r="67">
      <c r="A67" s="186" t="s">
        <v>1256</v>
      </c>
    </row>
    <row r="68">
      <c r="A68" s="186" t="s">
        <v>1257</v>
      </c>
    </row>
    <row r="69">
      <c r="A69" s="186" t="s">
        <v>1258</v>
      </c>
    </row>
    <row r="70">
      <c r="A70" s="186" t="s">
        <v>1259</v>
      </c>
    </row>
    <row r="71">
      <c r="A71" s="186" t="s">
        <v>1260</v>
      </c>
    </row>
    <row r="72">
      <c r="A72" s="186" t="s">
        <v>1261</v>
      </c>
    </row>
    <row r="73">
      <c r="A73" s="186" t="s">
        <v>1262</v>
      </c>
    </row>
    <row r="74">
      <c r="A74" s="186" t="s">
        <v>1263</v>
      </c>
    </row>
    <row r="75">
      <c r="A75" s="186" t="s">
        <v>1264</v>
      </c>
    </row>
    <row r="76">
      <c r="A76" s="186" t="s">
        <v>1265</v>
      </c>
    </row>
    <row r="77">
      <c r="A77" s="186" t="s">
        <v>1266</v>
      </c>
    </row>
    <row r="78">
      <c r="A78" s="186" t="s">
        <v>1267</v>
      </c>
    </row>
    <row r="79">
      <c r="A79" s="186" t="s">
        <v>1268</v>
      </c>
    </row>
    <row r="80">
      <c r="A80" s="186" t="s">
        <v>1269</v>
      </c>
    </row>
    <row r="81">
      <c r="A81" s="186" t="s">
        <v>1270</v>
      </c>
    </row>
    <row r="82">
      <c r="A82" s="186" t="s">
        <v>1271</v>
      </c>
    </row>
    <row r="83">
      <c r="A83" s="186" t="s">
        <v>1272</v>
      </c>
    </row>
    <row r="84">
      <c r="A84" s="186" t="s">
        <v>1273</v>
      </c>
    </row>
    <row r="85">
      <c r="A85" s="186" t="s">
        <v>1274</v>
      </c>
    </row>
    <row r="86">
      <c r="A86" s="186" t="s">
        <v>1275</v>
      </c>
    </row>
    <row r="87">
      <c r="A87" s="186" t="s">
        <v>1276</v>
      </c>
    </row>
    <row r="88">
      <c r="A88" s="186" t="s">
        <v>1277</v>
      </c>
    </row>
    <row r="89">
      <c r="A89" s="186" t="s">
        <v>1278</v>
      </c>
    </row>
    <row r="90">
      <c r="A90" s="186" t="s">
        <v>1279</v>
      </c>
    </row>
    <row r="91">
      <c r="A91" s="186" t="s">
        <v>1280</v>
      </c>
    </row>
    <row r="92">
      <c r="A92" s="186" t="s">
        <v>1281</v>
      </c>
    </row>
    <row r="93">
      <c r="A93" s="186" t="s">
        <v>1282</v>
      </c>
    </row>
    <row r="94">
      <c r="A94" s="186" t="s">
        <v>1283</v>
      </c>
    </row>
    <row r="95">
      <c r="A95" s="186" t="s">
        <v>1284</v>
      </c>
    </row>
    <row r="96">
      <c r="A96" s="186" t="s">
        <v>1285</v>
      </c>
    </row>
    <row r="97">
      <c r="A97" s="186" t="s">
        <v>1286</v>
      </c>
    </row>
    <row r="98">
      <c r="A98" s="186" t="s">
        <v>1287</v>
      </c>
    </row>
    <row r="99">
      <c r="A99" s="186" t="s">
        <v>1288</v>
      </c>
    </row>
    <row r="100">
      <c r="A100" s="186" t="s">
        <v>1289</v>
      </c>
    </row>
    <row r="101">
      <c r="A101" s="186" t="s">
        <v>1290</v>
      </c>
    </row>
    <row r="102">
      <c r="A102" s="186" t="s">
        <v>1291</v>
      </c>
    </row>
    <row r="103">
      <c r="A103" s="186" t="s">
        <v>1292</v>
      </c>
    </row>
    <row r="104">
      <c r="A104" s="186" t="s">
        <v>1293</v>
      </c>
    </row>
    <row r="105">
      <c r="A105" s="186" t="s">
        <v>1294</v>
      </c>
    </row>
    <row r="106">
      <c r="A106" s="186" t="s">
        <v>1295</v>
      </c>
    </row>
    <row r="107">
      <c r="A107" s="186" t="s">
        <v>1296</v>
      </c>
    </row>
    <row r="108">
      <c r="A108" s="186" t="s">
        <v>1297</v>
      </c>
    </row>
    <row r="109">
      <c r="A109" s="186" t="s">
        <v>1298</v>
      </c>
    </row>
    <row r="110">
      <c r="A110" s="186" t="s">
        <v>1299</v>
      </c>
    </row>
    <row r="111">
      <c r="A111" s="186" t="s">
        <v>1300</v>
      </c>
    </row>
    <row r="112">
      <c r="A112" s="186" t="s">
        <v>1301</v>
      </c>
    </row>
    <row r="113">
      <c r="A113" s="186" t="s">
        <v>1302</v>
      </c>
    </row>
    <row r="114">
      <c r="A114" s="186" t="s">
        <v>1303</v>
      </c>
    </row>
    <row r="115">
      <c r="A115" s="186" t="s">
        <v>1304</v>
      </c>
    </row>
    <row r="116">
      <c r="A116" s="186" t="s">
        <v>1305</v>
      </c>
    </row>
    <row r="117">
      <c r="A117" s="186" t="s">
        <v>1306</v>
      </c>
    </row>
    <row r="118">
      <c r="A118" s="186" t="s">
        <v>1307</v>
      </c>
    </row>
    <row r="119">
      <c r="A119" s="186" t="s">
        <v>1308</v>
      </c>
    </row>
    <row r="120">
      <c r="A120" s="186" t="s">
        <v>1309</v>
      </c>
    </row>
    <row r="121">
      <c r="A121" s="186" t="s">
        <v>1310</v>
      </c>
    </row>
    <row r="122">
      <c r="A122" s="186" t="s">
        <v>1311</v>
      </c>
    </row>
    <row r="123">
      <c r="A123" s="186" t="s">
        <v>1312</v>
      </c>
    </row>
    <row r="124">
      <c r="A124" s="186" t="s">
        <v>1313</v>
      </c>
    </row>
    <row r="125">
      <c r="A125" s="186" t="s">
        <v>1314</v>
      </c>
    </row>
    <row r="126">
      <c r="A126" s="186" t="s">
        <v>1315</v>
      </c>
    </row>
    <row r="127">
      <c r="A127" s="186" t="s">
        <v>1316</v>
      </c>
    </row>
    <row r="128">
      <c r="A128" s="186" t="s">
        <v>1317</v>
      </c>
    </row>
    <row r="129">
      <c r="A129" s="186" t="s">
        <v>1318</v>
      </c>
    </row>
    <row r="130">
      <c r="A130" s="186" t="s">
        <v>1319</v>
      </c>
    </row>
    <row r="131">
      <c r="A131" s="186" t="s">
        <v>1320</v>
      </c>
    </row>
    <row r="132">
      <c r="A132" s="186" t="s">
        <v>1321</v>
      </c>
    </row>
    <row r="133">
      <c r="A133" s="186" t="s">
        <v>1322</v>
      </c>
    </row>
    <row r="134">
      <c r="A134" s="186" t="s">
        <v>1323</v>
      </c>
    </row>
    <row r="135">
      <c r="A135" s="186" t="s">
        <v>1324</v>
      </c>
    </row>
    <row r="136">
      <c r="A136" s="186" t="s">
        <v>1325</v>
      </c>
    </row>
    <row r="137">
      <c r="A137" s="186" t="s">
        <v>1326</v>
      </c>
    </row>
    <row r="138">
      <c r="A138" s="186" t="s">
        <v>1327</v>
      </c>
    </row>
    <row r="139">
      <c r="A139" s="186" t="s">
        <v>1328</v>
      </c>
    </row>
    <row r="140">
      <c r="A140" s="186" t="s">
        <v>1329</v>
      </c>
    </row>
    <row r="141">
      <c r="A141" s="186" t="s">
        <v>1330</v>
      </c>
    </row>
    <row r="142">
      <c r="A142" s="186" t="s">
        <v>1331</v>
      </c>
    </row>
    <row r="143">
      <c r="A143" s="186" t="s">
        <v>1332</v>
      </c>
    </row>
    <row r="144">
      <c r="A144" s="186" t="s">
        <v>1333</v>
      </c>
    </row>
    <row r="145">
      <c r="A145" s="186" t="s">
        <v>1334</v>
      </c>
    </row>
    <row r="146">
      <c r="A146" s="186" t="s">
        <v>1335</v>
      </c>
    </row>
    <row r="147">
      <c r="A147" s="186" t="s">
        <v>1336</v>
      </c>
    </row>
    <row r="148">
      <c r="A148" s="186" t="s">
        <v>1337</v>
      </c>
    </row>
    <row r="149">
      <c r="A149" s="186" t="s">
        <v>1338</v>
      </c>
    </row>
    <row r="150">
      <c r="A150" s="186" t="s">
        <v>1339</v>
      </c>
    </row>
    <row r="151">
      <c r="A151" s="186" t="s">
        <v>1340</v>
      </c>
    </row>
    <row r="152">
      <c r="A152" s="186" t="s">
        <v>1341</v>
      </c>
    </row>
    <row r="153">
      <c r="A153" s="186" t="s">
        <v>1342</v>
      </c>
    </row>
    <row r="154">
      <c r="A154" s="186" t="s">
        <v>1343</v>
      </c>
    </row>
    <row r="155">
      <c r="A155" s="186" t="s">
        <v>1344</v>
      </c>
    </row>
    <row r="156">
      <c r="A156" s="186" t="s">
        <v>1345</v>
      </c>
    </row>
    <row r="157">
      <c r="A157" s="186" t="s">
        <v>1346</v>
      </c>
    </row>
    <row r="158">
      <c r="A158" s="186" t="s">
        <v>1347</v>
      </c>
    </row>
    <row r="159">
      <c r="A159" s="186" t="s">
        <v>1348</v>
      </c>
    </row>
    <row r="160">
      <c r="A160" s="186" t="s">
        <v>1349</v>
      </c>
    </row>
    <row r="161">
      <c r="A161" s="186" t="s">
        <v>1350</v>
      </c>
    </row>
    <row r="162">
      <c r="A162" s="186" t="s">
        <v>1351</v>
      </c>
    </row>
    <row r="163">
      <c r="A163" s="186" t="s">
        <v>1352</v>
      </c>
    </row>
    <row r="164">
      <c r="A164" s="186" t="s">
        <v>1353</v>
      </c>
    </row>
    <row r="165">
      <c r="A165" s="186" t="s">
        <v>1354</v>
      </c>
    </row>
    <row r="166">
      <c r="A166" s="186" t="s">
        <v>1355</v>
      </c>
    </row>
    <row r="167">
      <c r="A167" s="186" t="s">
        <v>1356</v>
      </c>
    </row>
    <row r="168">
      <c r="A168" s="186" t="s">
        <v>1357</v>
      </c>
    </row>
    <row r="169">
      <c r="A169" s="186" t="s">
        <v>1358</v>
      </c>
    </row>
    <row r="170">
      <c r="A170" s="186" t="s">
        <v>1359</v>
      </c>
    </row>
    <row r="171">
      <c r="A171" s="186" t="s">
        <v>1360</v>
      </c>
    </row>
    <row r="172">
      <c r="A172" s="186" t="s">
        <v>1361</v>
      </c>
    </row>
    <row r="173">
      <c r="A173" s="186" t="s">
        <v>1362</v>
      </c>
    </row>
    <row r="174">
      <c r="A174" s="186" t="s">
        <v>1363</v>
      </c>
    </row>
    <row r="175">
      <c r="A175" s="186" t="s">
        <v>1364</v>
      </c>
    </row>
    <row r="176">
      <c r="A176" s="186" t="s">
        <v>1365</v>
      </c>
    </row>
    <row r="177">
      <c r="A177" s="186" t="s">
        <v>1366</v>
      </c>
    </row>
    <row r="178">
      <c r="A178" s="186" t="s">
        <v>1367</v>
      </c>
    </row>
    <row r="179">
      <c r="A179" s="186" t="s">
        <v>1368</v>
      </c>
    </row>
    <row r="180">
      <c r="A180" s="186" t="s">
        <v>1369</v>
      </c>
    </row>
    <row r="181">
      <c r="A181" s="186" t="s">
        <v>1370</v>
      </c>
    </row>
    <row r="182">
      <c r="A182" s="186" t="s">
        <v>1371</v>
      </c>
    </row>
    <row r="183">
      <c r="A183" s="186" t="s">
        <v>1372</v>
      </c>
    </row>
    <row r="184">
      <c r="A184" s="186" t="s">
        <v>1373</v>
      </c>
    </row>
    <row r="185">
      <c r="A185" s="186" t="s">
        <v>1374</v>
      </c>
    </row>
    <row r="186">
      <c r="A186" s="186" t="s">
        <v>1375</v>
      </c>
    </row>
    <row r="187">
      <c r="A187" s="186" t="s">
        <v>1376</v>
      </c>
    </row>
    <row r="188">
      <c r="A188" s="186" t="s">
        <v>1377</v>
      </c>
    </row>
    <row r="189">
      <c r="A189" s="186" t="s">
        <v>1378</v>
      </c>
    </row>
    <row r="190">
      <c r="A190" s="186" t="s">
        <v>1379</v>
      </c>
    </row>
    <row r="191">
      <c r="A191" s="186" t="s">
        <v>1380</v>
      </c>
    </row>
    <row r="192">
      <c r="A192" s="186" t="s">
        <v>1381</v>
      </c>
    </row>
    <row r="193">
      <c r="A193" s="186" t="s">
        <v>1382</v>
      </c>
    </row>
    <row r="194">
      <c r="A194" s="186" t="s">
        <v>1383</v>
      </c>
    </row>
    <row r="195">
      <c r="A195" s="186" t="s">
        <v>1384</v>
      </c>
    </row>
    <row r="196">
      <c r="A196" s="186" t="s">
        <v>1385</v>
      </c>
    </row>
    <row r="197">
      <c r="A197" s="186" t="s">
        <v>1386</v>
      </c>
    </row>
    <row r="198">
      <c r="A198" s="186" t="s">
        <v>1387</v>
      </c>
    </row>
    <row r="199">
      <c r="A199" s="186" t="s">
        <v>1388</v>
      </c>
    </row>
    <row r="200">
      <c r="A200" s="186" t="s">
        <v>1389</v>
      </c>
    </row>
    <row r="201">
      <c r="A201" s="186" t="s">
        <v>1390</v>
      </c>
    </row>
    <row r="202">
      <c r="A202" s="186" t="s">
        <v>1391</v>
      </c>
    </row>
    <row r="203">
      <c r="A203" s="186" t="s">
        <v>1392</v>
      </c>
    </row>
    <row r="204">
      <c r="A204" s="186" t="s">
        <v>1393</v>
      </c>
    </row>
    <row r="205">
      <c r="A205" s="186" t="s">
        <v>1394</v>
      </c>
    </row>
    <row r="206">
      <c r="A206" s="186" t="s">
        <v>1395</v>
      </c>
    </row>
    <row r="207">
      <c r="A207" s="186" t="s">
        <v>1396</v>
      </c>
    </row>
    <row r="208">
      <c r="A208" s="186" t="s">
        <v>1397</v>
      </c>
    </row>
    <row r="209">
      <c r="A209" s="186" t="s">
        <v>1398</v>
      </c>
    </row>
    <row r="210">
      <c r="A210" s="186" t="s">
        <v>1399</v>
      </c>
    </row>
    <row r="211">
      <c r="A211" s="186" t="s">
        <v>1400</v>
      </c>
    </row>
    <row r="212">
      <c r="A212" s="186" t="s">
        <v>1401</v>
      </c>
    </row>
    <row r="213">
      <c r="A213" s="186" t="s">
        <v>1402</v>
      </c>
    </row>
    <row r="214">
      <c r="A214" s="186" t="s">
        <v>1403</v>
      </c>
    </row>
    <row r="215">
      <c r="A215" s="186" t="s">
        <v>1404</v>
      </c>
    </row>
    <row r="216">
      <c r="A216" s="186" t="s">
        <v>1405</v>
      </c>
    </row>
    <row r="217">
      <c r="A217" s="186" t="s">
        <v>1406</v>
      </c>
    </row>
    <row r="218">
      <c r="A218" s="186" t="s">
        <v>1407</v>
      </c>
    </row>
    <row r="219">
      <c r="A219" s="186" t="s">
        <v>1408</v>
      </c>
    </row>
    <row r="220">
      <c r="A220" s="186" t="s">
        <v>1409</v>
      </c>
    </row>
    <row r="221">
      <c r="A221" s="186" t="s">
        <v>1410</v>
      </c>
    </row>
    <row r="222">
      <c r="A222" s="186" t="s">
        <v>1411</v>
      </c>
    </row>
    <row r="223">
      <c r="A223" s="186" t="s">
        <v>1412</v>
      </c>
    </row>
    <row r="224">
      <c r="A224" s="186" t="s">
        <v>1413</v>
      </c>
    </row>
    <row r="225">
      <c r="A225" s="186" t="s">
        <v>1414</v>
      </c>
    </row>
    <row r="226">
      <c r="A226" s="186" t="s">
        <v>1415</v>
      </c>
    </row>
    <row r="227">
      <c r="A227" s="186" t="s">
        <v>1416</v>
      </c>
    </row>
    <row r="228">
      <c r="A228" s="186" t="s">
        <v>1417</v>
      </c>
    </row>
    <row r="229">
      <c r="A229" s="186" t="s">
        <v>1418</v>
      </c>
    </row>
    <row r="230">
      <c r="A230" s="186" t="s">
        <v>1419</v>
      </c>
    </row>
    <row r="231">
      <c r="A231" s="186" t="s">
        <v>1420</v>
      </c>
    </row>
    <row r="232">
      <c r="A232" s="186" t="s">
        <v>1421</v>
      </c>
    </row>
    <row r="233">
      <c r="A233" s="186" t="s">
        <v>1422</v>
      </c>
    </row>
    <row r="234">
      <c r="A234" s="186" t="s">
        <v>1423</v>
      </c>
    </row>
    <row r="235">
      <c r="A235" s="186" t="s">
        <v>1424</v>
      </c>
    </row>
    <row r="236">
      <c r="A236" s="186" t="s">
        <v>1425</v>
      </c>
    </row>
    <row r="237">
      <c r="A237" s="186" t="s">
        <v>1426</v>
      </c>
    </row>
    <row r="238">
      <c r="A238" s="186" t="s">
        <v>1427</v>
      </c>
    </row>
    <row r="239">
      <c r="A239" s="186" t="s">
        <v>1428</v>
      </c>
    </row>
    <row r="240">
      <c r="A240" s="186" t="s">
        <v>1429</v>
      </c>
    </row>
    <row r="241">
      <c r="A241" s="186" t="s">
        <v>1430</v>
      </c>
    </row>
    <row r="242">
      <c r="A242" s="186" t="s">
        <v>1431</v>
      </c>
    </row>
    <row r="243">
      <c r="A243" s="186" t="s">
        <v>1432</v>
      </c>
    </row>
    <row r="244">
      <c r="A244" s="186" t="s">
        <v>1433</v>
      </c>
    </row>
    <row r="245">
      <c r="A245" s="186" t="s">
        <v>1434</v>
      </c>
    </row>
    <row r="246">
      <c r="A246" s="186" t="s">
        <v>1435</v>
      </c>
    </row>
    <row r="247">
      <c r="A247" s="186" t="s">
        <v>1436</v>
      </c>
    </row>
    <row r="248">
      <c r="A248" s="186" t="s">
        <v>1437</v>
      </c>
    </row>
    <row r="249">
      <c r="A249" s="186" t="s">
        <v>1438</v>
      </c>
    </row>
    <row r="250">
      <c r="A250" s="186" t="s">
        <v>1439</v>
      </c>
    </row>
    <row r="251">
      <c r="A251" s="186" t="s">
        <v>1440</v>
      </c>
    </row>
    <row r="252">
      <c r="A252" s="186" t="s">
        <v>1441</v>
      </c>
    </row>
    <row r="253">
      <c r="A253" s="186" t="s">
        <v>1442</v>
      </c>
    </row>
    <row r="254">
      <c r="A254" s="186" t="s">
        <v>1443</v>
      </c>
    </row>
    <row r="255">
      <c r="A255" s="186" t="s">
        <v>1444</v>
      </c>
    </row>
    <row r="256">
      <c r="A256" s="186" t="s">
        <v>1445</v>
      </c>
    </row>
    <row r="257">
      <c r="A257" s="186" t="s">
        <v>1446</v>
      </c>
    </row>
    <row r="258">
      <c r="A258" s="186" t="s">
        <v>1447</v>
      </c>
    </row>
    <row r="259">
      <c r="A259" s="186" t="s">
        <v>1448</v>
      </c>
    </row>
    <row r="260">
      <c r="A260" s="186" t="s">
        <v>1449</v>
      </c>
    </row>
    <row r="261">
      <c r="A261" s="186" t="s">
        <v>1450</v>
      </c>
    </row>
    <row r="262">
      <c r="A262" s="186" t="s">
        <v>1451</v>
      </c>
    </row>
    <row r="263">
      <c r="A263" s="186" t="s">
        <v>1452</v>
      </c>
    </row>
    <row r="264">
      <c r="A264" s="186" t="s">
        <v>1453</v>
      </c>
    </row>
    <row r="265">
      <c r="A265" s="186" t="s">
        <v>1454</v>
      </c>
    </row>
    <row r="266">
      <c r="A266" s="186" t="s">
        <v>1455</v>
      </c>
    </row>
    <row r="267">
      <c r="A267" s="186" t="s">
        <v>1456</v>
      </c>
    </row>
    <row r="268">
      <c r="A268" s="186" t="s">
        <v>1457</v>
      </c>
    </row>
    <row r="269">
      <c r="A269" s="186" t="s">
        <v>1458</v>
      </c>
    </row>
    <row r="270">
      <c r="A270" s="186" t="s">
        <v>1459</v>
      </c>
    </row>
    <row r="271">
      <c r="A271" s="186" t="s">
        <v>1460</v>
      </c>
    </row>
    <row r="272">
      <c r="A272" s="186" t="s">
        <v>1461</v>
      </c>
    </row>
    <row r="273">
      <c r="A273" s="186" t="s">
        <v>1462</v>
      </c>
    </row>
    <row r="274">
      <c r="A274" s="186" t="s">
        <v>1463</v>
      </c>
    </row>
    <row r="275">
      <c r="A275" s="186" t="s">
        <v>1464</v>
      </c>
    </row>
    <row r="276">
      <c r="A276" s="186" t="s">
        <v>1465</v>
      </c>
    </row>
    <row r="277">
      <c r="A277" s="186" t="s">
        <v>1466</v>
      </c>
    </row>
    <row r="278">
      <c r="A278" s="186" t="s">
        <v>1467</v>
      </c>
    </row>
    <row r="279">
      <c r="A279" s="186" t="s">
        <v>1468</v>
      </c>
    </row>
    <row r="280">
      <c r="A280" s="186" t="s">
        <v>1469</v>
      </c>
    </row>
    <row r="281">
      <c r="A281" s="186" t="s">
        <v>1470</v>
      </c>
    </row>
    <row r="282">
      <c r="A282" s="186" t="s">
        <v>1471</v>
      </c>
    </row>
    <row r="283">
      <c r="A283" s="186" t="s">
        <v>1472</v>
      </c>
    </row>
    <row r="284">
      <c r="A284" s="186" t="s">
        <v>1473</v>
      </c>
    </row>
    <row r="285">
      <c r="A285" s="186" t="s">
        <v>1474</v>
      </c>
    </row>
    <row r="286">
      <c r="A286" s="186" t="s">
        <v>1475</v>
      </c>
    </row>
    <row r="287">
      <c r="A287" s="186" t="s">
        <v>1476</v>
      </c>
    </row>
    <row r="288">
      <c r="A288" s="186" t="s">
        <v>1477</v>
      </c>
    </row>
    <row r="289">
      <c r="A289" s="186" t="s">
        <v>1478</v>
      </c>
    </row>
    <row r="290">
      <c r="A290" s="186" t="s">
        <v>1479</v>
      </c>
    </row>
    <row r="291">
      <c r="A291" s="186" t="s">
        <v>1480</v>
      </c>
    </row>
    <row r="292">
      <c r="A292" s="186" t="s">
        <v>1481</v>
      </c>
    </row>
    <row r="293">
      <c r="A293" s="186" t="s">
        <v>1482</v>
      </c>
    </row>
    <row r="294">
      <c r="A294" s="186" t="s">
        <v>1483</v>
      </c>
    </row>
    <row r="295">
      <c r="A295" s="186" t="s">
        <v>1484</v>
      </c>
    </row>
    <row r="296">
      <c r="A296" s="186" t="s">
        <v>1485</v>
      </c>
    </row>
    <row r="297">
      <c r="A297" s="186" t="s">
        <v>1486</v>
      </c>
    </row>
    <row r="298">
      <c r="A298" s="186" t="s">
        <v>1487</v>
      </c>
    </row>
    <row r="299">
      <c r="A299" s="186" t="s">
        <v>1488</v>
      </c>
    </row>
    <row r="300">
      <c r="A300" s="186" t="s">
        <v>1489</v>
      </c>
    </row>
    <row r="301">
      <c r="A301" s="186" t="s">
        <v>1490</v>
      </c>
    </row>
    <row r="302">
      <c r="A302" s="186" t="s">
        <v>1491</v>
      </c>
    </row>
    <row r="303">
      <c r="A303" s="186" t="s">
        <v>1492</v>
      </c>
    </row>
    <row r="304">
      <c r="A304" s="186" t="s">
        <v>1493</v>
      </c>
    </row>
    <row r="305">
      <c r="A305" s="186" t="s">
        <v>1494</v>
      </c>
    </row>
    <row r="306">
      <c r="A306" s="186" t="s">
        <v>1495</v>
      </c>
    </row>
    <row r="307">
      <c r="A307" s="186" t="s">
        <v>1496</v>
      </c>
    </row>
    <row r="308">
      <c r="A308" s="186" t="s">
        <v>1497</v>
      </c>
    </row>
    <row r="309">
      <c r="A309" s="186" t="s">
        <v>1498</v>
      </c>
    </row>
    <row r="310">
      <c r="A310" s="186" t="s">
        <v>1499</v>
      </c>
    </row>
    <row r="311">
      <c r="A311" s="186" t="s">
        <v>1500</v>
      </c>
    </row>
    <row r="312">
      <c r="A312" s="186" t="s">
        <v>1501</v>
      </c>
    </row>
    <row r="313">
      <c r="A313" s="186" t="s">
        <v>1502</v>
      </c>
    </row>
    <row r="314">
      <c r="A314" s="186" t="s">
        <v>1503</v>
      </c>
    </row>
    <row r="315">
      <c r="A315" s="186" t="s">
        <v>1504</v>
      </c>
    </row>
    <row r="316">
      <c r="A316" s="186" t="s">
        <v>1505</v>
      </c>
    </row>
    <row r="317">
      <c r="A317" s="186" t="s">
        <v>1506</v>
      </c>
    </row>
    <row r="318">
      <c r="A318" s="186" t="s">
        <v>1507</v>
      </c>
    </row>
    <row r="319">
      <c r="A319" s="186" t="s">
        <v>1508</v>
      </c>
    </row>
    <row r="320">
      <c r="A320" s="186" t="s">
        <v>1509</v>
      </c>
    </row>
    <row r="321">
      <c r="A321" s="186" t="s">
        <v>1510</v>
      </c>
    </row>
    <row r="322">
      <c r="A322" s="186" t="s">
        <v>1511</v>
      </c>
    </row>
    <row r="323">
      <c r="A323" s="186" t="s">
        <v>1512</v>
      </c>
    </row>
    <row r="324">
      <c r="A324" s="186" t="s">
        <v>1513</v>
      </c>
    </row>
    <row r="325">
      <c r="A325" s="186" t="s">
        <v>1514</v>
      </c>
    </row>
    <row r="326">
      <c r="A326" s="186" t="s">
        <v>1515</v>
      </c>
    </row>
    <row r="327">
      <c r="A327" s="186" t="s">
        <v>1516</v>
      </c>
    </row>
    <row r="328">
      <c r="A328" s="186" t="s">
        <v>1517</v>
      </c>
    </row>
    <row r="329">
      <c r="A329" s="186" t="s">
        <v>1518</v>
      </c>
    </row>
    <row r="330">
      <c r="A330" s="186" t="s">
        <v>1519</v>
      </c>
    </row>
    <row r="331">
      <c r="A331" s="186" t="s">
        <v>1520</v>
      </c>
    </row>
    <row r="332">
      <c r="A332" s="186" t="s">
        <v>1521</v>
      </c>
    </row>
    <row r="333">
      <c r="A333" s="186" t="s">
        <v>1522</v>
      </c>
    </row>
    <row r="334">
      <c r="A334" s="186" t="s">
        <v>1523</v>
      </c>
    </row>
    <row r="335">
      <c r="A335" s="186" t="s">
        <v>1524</v>
      </c>
    </row>
    <row r="336">
      <c r="A336" s="186" t="s">
        <v>1525</v>
      </c>
    </row>
    <row r="337">
      <c r="A337" s="186" t="s">
        <v>1526</v>
      </c>
    </row>
    <row r="338">
      <c r="A338" s="186" t="s">
        <v>1527</v>
      </c>
    </row>
    <row r="339">
      <c r="A339" s="186" t="s">
        <v>1528</v>
      </c>
    </row>
    <row r="340">
      <c r="A340" s="186" t="s">
        <v>1529</v>
      </c>
    </row>
    <row r="341">
      <c r="A341" s="186" t="s">
        <v>1530</v>
      </c>
    </row>
    <row r="342">
      <c r="A342" s="186" t="s">
        <v>1531</v>
      </c>
    </row>
    <row r="343">
      <c r="A343" s="186" t="s">
        <v>1532</v>
      </c>
    </row>
    <row r="344">
      <c r="A344" s="186" t="s">
        <v>1533</v>
      </c>
    </row>
    <row r="345">
      <c r="A345" s="186" t="s">
        <v>1534</v>
      </c>
    </row>
    <row r="346">
      <c r="A346" s="186" t="s">
        <v>1535</v>
      </c>
    </row>
    <row r="347">
      <c r="A347" s="186" t="s">
        <v>1536</v>
      </c>
    </row>
    <row r="348">
      <c r="A348" s="186" t="s">
        <v>1537</v>
      </c>
    </row>
    <row r="349">
      <c r="A349" s="186" t="s">
        <v>1538</v>
      </c>
    </row>
    <row r="350">
      <c r="A350" s="186" t="s">
        <v>1539</v>
      </c>
    </row>
    <row r="351">
      <c r="A351" s="186" t="s">
        <v>1540</v>
      </c>
    </row>
    <row r="352">
      <c r="A352" s="186" t="s">
        <v>1541</v>
      </c>
    </row>
    <row r="353">
      <c r="A353" s="186" t="s">
        <v>1542</v>
      </c>
    </row>
    <row r="354">
      <c r="A354" s="186" t="s">
        <v>1543</v>
      </c>
    </row>
    <row r="355">
      <c r="A355" s="186" t="s">
        <v>1544</v>
      </c>
    </row>
    <row r="356">
      <c r="A356" s="186" t="s">
        <v>1545</v>
      </c>
    </row>
    <row r="357">
      <c r="A357" s="186" t="s">
        <v>1546</v>
      </c>
    </row>
    <row r="358">
      <c r="A358" s="186" t="s">
        <v>1547</v>
      </c>
    </row>
    <row r="359">
      <c r="A359" s="186" t="s">
        <v>1548</v>
      </c>
    </row>
    <row r="360">
      <c r="A360" s="186" t="s">
        <v>1549</v>
      </c>
    </row>
    <row r="361">
      <c r="A361" s="186" t="s">
        <v>1550</v>
      </c>
    </row>
    <row r="362">
      <c r="A362" s="186" t="s">
        <v>1551</v>
      </c>
    </row>
    <row r="363">
      <c r="A363" s="186" t="s">
        <v>1552</v>
      </c>
    </row>
    <row r="364">
      <c r="A364" s="186" t="s">
        <v>1553</v>
      </c>
    </row>
    <row r="365">
      <c r="A365" s="186" t="s">
        <v>1554</v>
      </c>
    </row>
    <row r="366">
      <c r="A366" s="186" t="s">
        <v>1555</v>
      </c>
    </row>
    <row r="367">
      <c r="A367" s="186" t="s">
        <v>1556</v>
      </c>
    </row>
    <row r="368">
      <c r="A368" s="186" t="s">
        <v>1557</v>
      </c>
    </row>
    <row r="369">
      <c r="A369" s="186" t="s">
        <v>1558</v>
      </c>
    </row>
    <row r="370">
      <c r="A370" s="186" t="s">
        <v>1559</v>
      </c>
    </row>
    <row r="371">
      <c r="A371" s="186" t="s">
        <v>1560</v>
      </c>
    </row>
    <row r="372">
      <c r="A372" s="186" t="s">
        <v>1561</v>
      </c>
    </row>
    <row r="373">
      <c r="A373" s="186" t="s">
        <v>1562</v>
      </c>
    </row>
    <row r="374">
      <c r="A374" s="186" t="s">
        <v>1563</v>
      </c>
    </row>
    <row r="375">
      <c r="A375" s="186" t="s">
        <v>1564</v>
      </c>
    </row>
    <row r="376">
      <c r="A376" s="186" t="s">
        <v>1565</v>
      </c>
    </row>
    <row r="377">
      <c r="A377" s="186" t="s">
        <v>1566</v>
      </c>
    </row>
    <row r="378">
      <c r="A378" s="186" t="s">
        <v>1567</v>
      </c>
    </row>
    <row r="379">
      <c r="A379" s="186" t="s">
        <v>1568</v>
      </c>
    </row>
    <row r="380">
      <c r="A380" s="186" t="s">
        <v>1569</v>
      </c>
    </row>
    <row r="381">
      <c r="A381" s="186" t="s">
        <v>1570</v>
      </c>
    </row>
    <row r="382">
      <c r="A382" s="186" t="s">
        <v>1571</v>
      </c>
    </row>
    <row r="383">
      <c r="A383" s="186" t="s">
        <v>1572</v>
      </c>
    </row>
    <row r="384">
      <c r="A384" s="186" t="s">
        <v>1573</v>
      </c>
    </row>
    <row r="385">
      <c r="A385" s="186" t="s">
        <v>1574</v>
      </c>
    </row>
    <row r="386">
      <c r="A386" s="186" t="s">
        <v>1575</v>
      </c>
    </row>
    <row r="387">
      <c r="A387" s="186" t="s">
        <v>1576</v>
      </c>
    </row>
    <row r="388">
      <c r="A388" s="186" t="s">
        <v>1577</v>
      </c>
    </row>
    <row r="389">
      <c r="A389" s="186" t="s">
        <v>1578</v>
      </c>
    </row>
    <row r="390">
      <c r="A390" s="186" t="s">
        <v>1579</v>
      </c>
    </row>
    <row r="391">
      <c r="A391" s="186" t="s">
        <v>1580</v>
      </c>
    </row>
    <row r="392">
      <c r="A392" s="186" t="s">
        <v>1581</v>
      </c>
    </row>
    <row r="393">
      <c r="A393" s="186" t="s">
        <v>1582</v>
      </c>
    </row>
    <row r="394">
      <c r="A394" s="186" t="s">
        <v>1583</v>
      </c>
    </row>
    <row r="395">
      <c r="A395" s="186" t="s">
        <v>1584</v>
      </c>
    </row>
    <row r="396">
      <c r="A396" s="186" t="s">
        <v>1585</v>
      </c>
    </row>
    <row r="397">
      <c r="A397" s="186" t="s">
        <v>1586</v>
      </c>
    </row>
    <row r="398">
      <c r="A398" s="186" t="s">
        <v>1587</v>
      </c>
    </row>
    <row r="399">
      <c r="A399" s="186" t="s">
        <v>1588</v>
      </c>
    </row>
    <row r="400">
      <c r="A400" s="186" t="s">
        <v>1589</v>
      </c>
    </row>
    <row r="401">
      <c r="A401" s="186" t="s">
        <v>1590</v>
      </c>
    </row>
    <row r="402">
      <c r="A402" s="186" t="s">
        <v>1591</v>
      </c>
    </row>
    <row r="403">
      <c r="A403" s="186" t="s">
        <v>1592</v>
      </c>
    </row>
    <row r="404">
      <c r="A404" s="186" t="s">
        <v>1593</v>
      </c>
    </row>
    <row r="405">
      <c r="A405" s="186" t="s">
        <v>1594</v>
      </c>
    </row>
    <row r="406">
      <c r="A406" s="186" t="s">
        <v>1595</v>
      </c>
    </row>
    <row r="407">
      <c r="A407" s="186" t="s">
        <v>1596</v>
      </c>
    </row>
    <row r="408">
      <c r="A408" s="186" t="s">
        <v>1597</v>
      </c>
    </row>
    <row r="409">
      <c r="A409" s="186" t="s">
        <v>1598</v>
      </c>
    </row>
    <row r="410">
      <c r="A410" s="186" t="s">
        <v>1599</v>
      </c>
    </row>
    <row r="411">
      <c r="A411" s="186" t="s">
        <v>1600</v>
      </c>
    </row>
    <row r="412">
      <c r="A412" s="186" t="s">
        <v>1601</v>
      </c>
    </row>
    <row r="413">
      <c r="A413" s="186" t="s">
        <v>1602</v>
      </c>
    </row>
    <row r="414">
      <c r="A414" s="186" t="s">
        <v>1603</v>
      </c>
    </row>
    <row r="415">
      <c r="A415" s="186" t="s">
        <v>1604</v>
      </c>
    </row>
    <row r="416">
      <c r="A416" s="186" t="s">
        <v>1605</v>
      </c>
    </row>
    <row r="417">
      <c r="A417" s="186" t="s">
        <v>1606</v>
      </c>
    </row>
    <row r="418">
      <c r="A418" s="186" t="s">
        <v>1607</v>
      </c>
    </row>
    <row r="419">
      <c r="A419" s="186" t="s">
        <v>1608</v>
      </c>
    </row>
    <row r="420">
      <c r="A420" s="186" t="s">
        <v>1609</v>
      </c>
    </row>
    <row r="421">
      <c r="A421" s="186" t="s">
        <v>1610</v>
      </c>
    </row>
    <row r="422">
      <c r="A422" s="186" t="s">
        <v>1611</v>
      </c>
    </row>
    <row r="423">
      <c r="A423" s="186" t="s">
        <v>1612</v>
      </c>
    </row>
    <row r="424">
      <c r="A424" s="186" t="s">
        <v>1613</v>
      </c>
    </row>
    <row r="425">
      <c r="A425" s="186" t="s">
        <v>1614</v>
      </c>
    </row>
    <row r="426">
      <c r="A426" s="186" t="s">
        <v>1615</v>
      </c>
    </row>
    <row r="427">
      <c r="A427" s="186" t="s">
        <v>1616</v>
      </c>
    </row>
    <row r="428">
      <c r="A428" s="186" t="s">
        <v>1617</v>
      </c>
    </row>
    <row r="429">
      <c r="A429" s="186" t="s">
        <v>1618</v>
      </c>
    </row>
    <row r="430">
      <c r="A430" s="186" t="s">
        <v>1619</v>
      </c>
    </row>
    <row r="431">
      <c r="A431" s="186" t="s">
        <v>1620</v>
      </c>
    </row>
    <row r="432">
      <c r="A432" s="186" t="s">
        <v>1621</v>
      </c>
    </row>
    <row r="433">
      <c r="A433" s="186" t="s">
        <v>1622</v>
      </c>
    </row>
    <row r="434">
      <c r="A434" s="186" t="s">
        <v>1623</v>
      </c>
    </row>
    <row r="435">
      <c r="A435" s="186" t="s">
        <v>1624</v>
      </c>
    </row>
  </sheetData>
  <autoFilter ref="$A$1:$A$435">
    <sortState ref="A1:A435">
      <sortCondition ref="A1:A435"/>
    </sortState>
  </autoFilter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6"/>
    <hyperlink r:id="rId246" ref="A247"/>
    <hyperlink r:id="rId247" ref="A248"/>
    <hyperlink r:id="rId248" ref="A249"/>
    <hyperlink r:id="rId249" ref="A250"/>
    <hyperlink r:id="rId250" ref="A251"/>
    <hyperlink r:id="rId251" ref="A252"/>
    <hyperlink r:id="rId252" ref="A253"/>
    <hyperlink r:id="rId253" ref="A254"/>
    <hyperlink r:id="rId254" ref="A255"/>
    <hyperlink r:id="rId255" ref="A256"/>
    <hyperlink r:id="rId256" ref="A257"/>
    <hyperlink r:id="rId257" ref="A258"/>
    <hyperlink r:id="rId258" ref="A259"/>
    <hyperlink r:id="rId259" ref="A260"/>
    <hyperlink r:id="rId260" ref="A261"/>
    <hyperlink r:id="rId261" ref="A262"/>
    <hyperlink r:id="rId262" ref="A263"/>
    <hyperlink r:id="rId263" ref="A264"/>
    <hyperlink r:id="rId264" ref="A265"/>
    <hyperlink r:id="rId265" ref="A266"/>
    <hyperlink r:id="rId266" ref="A267"/>
    <hyperlink r:id="rId267" ref="A268"/>
    <hyperlink r:id="rId268" ref="A269"/>
    <hyperlink r:id="rId269" ref="A270"/>
    <hyperlink r:id="rId270" ref="A271"/>
    <hyperlink r:id="rId271" ref="A272"/>
    <hyperlink r:id="rId272" ref="A273"/>
    <hyperlink r:id="rId273" ref="A274"/>
    <hyperlink r:id="rId274" ref="A275"/>
    <hyperlink r:id="rId275" ref="A276"/>
    <hyperlink r:id="rId276" ref="A277"/>
    <hyperlink r:id="rId277" ref="A278"/>
    <hyperlink r:id="rId278" ref="A279"/>
    <hyperlink r:id="rId279" ref="A280"/>
    <hyperlink r:id="rId280" ref="A281"/>
    <hyperlink r:id="rId281" ref="A282"/>
    <hyperlink r:id="rId282" ref="A283"/>
    <hyperlink r:id="rId283" ref="A284"/>
    <hyperlink r:id="rId284" ref="A285"/>
    <hyperlink r:id="rId285" ref="A286"/>
    <hyperlink r:id="rId286" ref="A287"/>
    <hyperlink r:id="rId287" ref="A288"/>
    <hyperlink r:id="rId288" ref="A289"/>
    <hyperlink r:id="rId289" ref="A290"/>
    <hyperlink r:id="rId290" ref="A291"/>
    <hyperlink r:id="rId291" ref="A292"/>
    <hyperlink r:id="rId292" ref="A293"/>
    <hyperlink r:id="rId293" ref="A294"/>
    <hyperlink r:id="rId294" ref="A295"/>
    <hyperlink r:id="rId295" ref="A296"/>
    <hyperlink r:id="rId296" ref="A297"/>
    <hyperlink r:id="rId297" ref="A298"/>
    <hyperlink r:id="rId298" ref="A299"/>
    <hyperlink r:id="rId299" ref="A300"/>
    <hyperlink r:id="rId300" ref="A301"/>
    <hyperlink r:id="rId301" ref="A302"/>
    <hyperlink r:id="rId302" ref="A303"/>
    <hyperlink r:id="rId303" ref="A304"/>
    <hyperlink r:id="rId304" ref="A305"/>
    <hyperlink r:id="rId305" ref="A306"/>
    <hyperlink r:id="rId306" ref="A307"/>
    <hyperlink r:id="rId307" ref="A308"/>
    <hyperlink r:id="rId308" ref="A309"/>
    <hyperlink r:id="rId309" ref="A310"/>
    <hyperlink r:id="rId310" ref="A311"/>
    <hyperlink r:id="rId311" ref="A312"/>
    <hyperlink r:id="rId312" ref="A313"/>
    <hyperlink r:id="rId313" ref="A314"/>
    <hyperlink r:id="rId314" ref="A315"/>
    <hyperlink r:id="rId315" ref="A316"/>
    <hyperlink r:id="rId316" ref="A317"/>
    <hyperlink r:id="rId317" ref="A318"/>
    <hyperlink r:id="rId318" ref="A319"/>
    <hyperlink r:id="rId319" ref="A320"/>
    <hyperlink r:id="rId320" ref="A321"/>
    <hyperlink r:id="rId321" ref="A322"/>
    <hyperlink r:id="rId322" ref="A323"/>
    <hyperlink r:id="rId323" ref="A324"/>
    <hyperlink r:id="rId324" ref="A325"/>
    <hyperlink r:id="rId325" ref="A326"/>
    <hyperlink r:id="rId326" ref="A327"/>
    <hyperlink r:id="rId327" ref="A328"/>
    <hyperlink r:id="rId328" ref="A329"/>
    <hyperlink r:id="rId329" ref="A330"/>
    <hyperlink r:id="rId330" ref="A331"/>
    <hyperlink r:id="rId331" ref="A332"/>
    <hyperlink r:id="rId332" ref="A333"/>
    <hyperlink r:id="rId333" ref="A334"/>
    <hyperlink r:id="rId334" ref="A335"/>
    <hyperlink r:id="rId335" ref="A336"/>
    <hyperlink r:id="rId336" ref="A337"/>
    <hyperlink r:id="rId337" ref="A338"/>
    <hyperlink r:id="rId338" ref="A339"/>
    <hyperlink r:id="rId339" ref="A340"/>
    <hyperlink r:id="rId340" ref="A341"/>
    <hyperlink r:id="rId341" ref="A342"/>
    <hyperlink r:id="rId342" ref="A343"/>
    <hyperlink r:id="rId343" ref="A344"/>
    <hyperlink r:id="rId344" ref="A345"/>
    <hyperlink r:id="rId345" ref="A346"/>
    <hyperlink r:id="rId346" ref="A347"/>
    <hyperlink r:id="rId347" ref="A348"/>
    <hyperlink r:id="rId348" ref="A349"/>
    <hyperlink r:id="rId349" ref="A350"/>
    <hyperlink r:id="rId350" ref="A351"/>
    <hyperlink r:id="rId351" ref="A352"/>
    <hyperlink r:id="rId352" ref="A353"/>
    <hyperlink r:id="rId353" ref="A354"/>
    <hyperlink r:id="rId354" ref="A355"/>
    <hyperlink r:id="rId355" ref="A356"/>
    <hyperlink r:id="rId356" ref="A357"/>
    <hyperlink r:id="rId357" ref="A358"/>
    <hyperlink r:id="rId358" ref="A359"/>
    <hyperlink r:id="rId359" ref="A360"/>
    <hyperlink r:id="rId360" ref="A361"/>
    <hyperlink r:id="rId361" ref="A362"/>
    <hyperlink r:id="rId362" ref="A363"/>
    <hyperlink r:id="rId363" ref="A364"/>
    <hyperlink r:id="rId364" ref="A365"/>
    <hyperlink r:id="rId365" ref="A366"/>
    <hyperlink r:id="rId366" ref="A367"/>
    <hyperlink r:id="rId367" ref="A368"/>
    <hyperlink r:id="rId368" ref="A369"/>
    <hyperlink r:id="rId369" ref="A370"/>
    <hyperlink r:id="rId370" ref="A371"/>
    <hyperlink r:id="rId371" ref="A372"/>
    <hyperlink r:id="rId372" ref="A373"/>
    <hyperlink r:id="rId373" ref="A374"/>
    <hyperlink r:id="rId374" ref="A375"/>
    <hyperlink r:id="rId375" ref="A376"/>
    <hyperlink r:id="rId376" ref="A377"/>
    <hyperlink r:id="rId377" ref="A378"/>
    <hyperlink r:id="rId378" ref="A379"/>
    <hyperlink r:id="rId379" ref="A380"/>
    <hyperlink r:id="rId380" ref="A381"/>
    <hyperlink r:id="rId381" ref="A382"/>
    <hyperlink r:id="rId382" ref="A383"/>
    <hyperlink r:id="rId383" ref="A384"/>
    <hyperlink r:id="rId384" ref="A385"/>
    <hyperlink r:id="rId385" ref="A386"/>
    <hyperlink r:id="rId386" ref="A387"/>
    <hyperlink r:id="rId387" ref="A388"/>
    <hyperlink r:id="rId388" ref="A389"/>
    <hyperlink r:id="rId389" ref="A390"/>
    <hyperlink r:id="rId390" ref="A391"/>
    <hyperlink r:id="rId391" ref="A392"/>
    <hyperlink r:id="rId392" ref="A393"/>
    <hyperlink r:id="rId393" ref="A394"/>
    <hyperlink r:id="rId394" ref="A395"/>
    <hyperlink r:id="rId395" ref="A396"/>
    <hyperlink r:id="rId396" ref="A397"/>
    <hyperlink r:id="rId397" ref="A398"/>
    <hyperlink r:id="rId398" ref="A399"/>
    <hyperlink r:id="rId399" ref="A400"/>
    <hyperlink r:id="rId400" ref="A401"/>
    <hyperlink r:id="rId401" ref="A402"/>
    <hyperlink r:id="rId402" ref="A403"/>
    <hyperlink r:id="rId403" ref="A404"/>
    <hyperlink r:id="rId404" ref="A405"/>
    <hyperlink r:id="rId405" ref="A406"/>
    <hyperlink r:id="rId406" ref="A407"/>
    <hyperlink r:id="rId407" ref="A408"/>
    <hyperlink r:id="rId408" ref="A409"/>
    <hyperlink r:id="rId409" ref="A410"/>
    <hyperlink r:id="rId410" ref="A411"/>
    <hyperlink r:id="rId411" ref="A412"/>
    <hyperlink r:id="rId412" ref="A413"/>
    <hyperlink r:id="rId413" ref="A414"/>
    <hyperlink r:id="rId414" ref="A415"/>
    <hyperlink r:id="rId415" ref="A416"/>
    <hyperlink r:id="rId416" ref="A417"/>
    <hyperlink r:id="rId417" ref="A418"/>
    <hyperlink r:id="rId418" ref="A419"/>
    <hyperlink r:id="rId419" ref="A420"/>
    <hyperlink r:id="rId420" ref="A421"/>
    <hyperlink r:id="rId421" ref="A422"/>
    <hyperlink r:id="rId422" ref="A423"/>
    <hyperlink r:id="rId423" ref="A424"/>
    <hyperlink r:id="rId424" ref="A425"/>
    <hyperlink r:id="rId425" ref="A426"/>
    <hyperlink r:id="rId426" ref="A427"/>
    <hyperlink r:id="rId427" ref="A428"/>
    <hyperlink r:id="rId428" ref="A429"/>
    <hyperlink r:id="rId429" ref="A430"/>
    <hyperlink r:id="rId430" ref="A431"/>
    <hyperlink r:id="rId431" ref="A432"/>
    <hyperlink r:id="rId432" ref="A433"/>
    <hyperlink r:id="rId433" ref="A434"/>
    <hyperlink r:id="rId434" ref="A435"/>
  </hyperlinks>
  <drawing r:id="rId435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3" t="s">
        <v>1625</v>
      </c>
      <c r="B1" s="178" t="s">
        <v>1626</v>
      </c>
      <c r="C1" s="180" t="str">
        <f t="shared" ref="C1:C30" si="1">concat(A1,B1)</f>
        <v>/cruise-lines/virgin-voyages/resilient-lady/cruises</v>
      </c>
    </row>
    <row r="2">
      <c r="A2" s="77" t="s">
        <v>1627</v>
      </c>
      <c r="B2" s="178" t="s">
        <v>1626</v>
      </c>
      <c r="C2" s="180" t="str">
        <f t="shared" si="1"/>
        <v>/cruise-lines/virgin-voyages/scarlet-lady/cruises</v>
      </c>
    </row>
    <row r="3">
      <c r="A3" s="77" t="s">
        <v>1628</v>
      </c>
      <c r="B3" s="178" t="s">
        <v>1626</v>
      </c>
      <c r="C3" s="180" t="str">
        <f t="shared" si="1"/>
        <v>/cruise-lines/virgin-voyages/valiant-lady/cruises</v>
      </c>
    </row>
    <row r="4">
      <c r="A4" s="118" t="s">
        <v>1629</v>
      </c>
      <c r="B4" s="178" t="s">
        <v>1626</v>
      </c>
      <c r="C4" s="180" t="str">
        <f t="shared" si="1"/>
        <v>/cruise-lines/virgin-voyages/brilliant-lady/cruises</v>
      </c>
    </row>
    <row r="5">
      <c r="A5" s="77" t="s">
        <v>1630</v>
      </c>
      <c r="B5" s="178" t="s">
        <v>1626</v>
      </c>
      <c r="C5" s="180" t="str">
        <f t="shared" si="1"/>
        <v>/cruise-lines/seabourn/seabourn-sojourn/cruises</v>
      </c>
    </row>
    <row r="6">
      <c r="A6" s="118" t="s">
        <v>1631</v>
      </c>
      <c r="B6" s="178" t="s">
        <v>1626</v>
      </c>
      <c r="C6" s="180" t="str">
        <f t="shared" si="1"/>
        <v>/cruise-lines/seabourn/seabourn-venture/cruises</v>
      </c>
    </row>
    <row r="7">
      <c r="A7" s="77" t="s">
        <v>1632</v>
      </c>
      <c r="B7" s="178" t="s">
        <v>1626</v>
      </c>
      <c r="C7" s="180" t="str">
        <f t="shared" si="1"/>
        <v>/cruise-lines/royal-caribbean/freedom-of-the-seas/cruises</v>
      </c>
    </row>
    <row r="8">
      <c r="A8" s="77" t="s">
        <v>1633</v>
      </c>
      <c r="B8" s="178" t="s">
        <v>1626</v>
      </c>
      <c r="C8" s="180" t="str">
        <f t="shared" si="1"/>
        <v>/cruise-lines/royal-caribbean/grandeur-of-the-seas/cruises</v>
      </c>
    </row>
    <row r="9">
      <c r="A9" s="77" t="s">
        <v>1634</v>
      </c>
      <c r="B9" s="178" t="s">
        <v>1626</v>
      </c>
      <c r="C9" s="180" t="str">
        <f t="shared" si="1"/>
        <v>/cruise-lines/royal-caribbean/harmony-of-the-seas/cruises</v>
      </c>
    </row>
    <row r="10">
      <c r="A10" s="77" t="s">
        <v>1635</v>
      </c>
      <c r="B10" s="178" t="s">
        <v>1626</v>
      </c>
      <c r="C10" s="180" t="str">
        <f t="shared" si="1"/>
        <v>/cruise-lines/royal-caribbean/icon-of-the-seas/cruises</v>
      </c>
    </row>
    <row r="11">
      <c r="A11" s="77" t="s">
        <v>1636</v>
      </c>
      <c r="B11" s="178" t="s">
        <v>1626</v>
      </c>
      <c r="C11" s="180" t="str">
        <f t="shared" si="1"/>
        <v>/cruise-lines/royal-caribbean/independence-of-the-seas/cruises</v>
      </c>
    </row>
    <row r="12">
      <c r="A12" s="77" t="s">
        <v>1637</v>
      </c>
      <c r="B12" s="178" t="s">
        <v>1626</v>
      </c>
      <c r="C12" s="180" t="str">
        <f t="shared" si="1"/>
        <v>/cruise-lines/royal-caribbean/jewel-of-the-seas/cruises</v>
      </c>
    </row>
    <row r="13">
      <c r="A13" s="77" t="s">
        <v>1638</v>
      </c>
      <c r="B13" s="178" t="s">
        <v>1626</v>
      </c>
      <c r="C13" s="180" t="str">
        <f t="shared" si="1"/>
        <v>/cruise-lines/royal-caribbean/legend-of-the-seas/cruises</v>
      </c>
    </row>
    <row r="14">
      <c r="A14" s="77" t="s">
        <v>1639</v>
      </c>
      <c r="B14" s="178" t="s">
        <v>1626</v>
      </c>
      <c r="C14" s="180" t="str">
        <f t="shared" si="1"/>
        <v>/cruise-lines/royal-caribbean/liberty-of-the-seas/cruises</v>
      </c>
    </row>
    <row r="15">
      <c r="A15" s="77" t="s">
        <v>1640</v>
      </c>
      <c r="B15" s="178" t="s">
        <v>1626</v>
      </c>
      <c r="C15" s="180" t="str">
        <f t="shared" si="1"/>
        <v>/cruise-lines/royal-caribbean/mariner-of-the-seas/cruises</v>
      </c>
    </row>
    <row r="16">
      <c r="A16" s="77" t="s">
        <v>1641</v>
      </c>
      <c r="B16" s="178" t="s">
        <v>1626</v>
      </c>
      <c r="C16" s="180" t="str">
        <f t="shared" si="1"/>
        <v>/cruise-lines/royal-caribbean/navigator-of-the-seas/cruises</v>
      </c>
    </row>
    <row r="17">
      <c r="A17" s="77" t="s">
        <v>1642</v>
      </c>
      <c r="B17" s="178" t="s">
        <v>1626</v>
      </c>
      <c r="C17" s="180" t="str">
        <f t="shared" si="1"/>
        <v>/cruise-lines/royal-caribbean/oasis-of-the-seas/cruises</v>
      </c>
    </row>
    <row r="18">
      <c r="A18" s="77" t="s">
        <v>1643</v>
      </c>
      <c r="B18" s="178" t="s">
        <v>1626</v>
      </c>
      <c r="C18" s="180" t="str">
        <f t="shared" si="1"/>
        <v>/cruise-lines/royal-caribbean/odyssey-of-the-seas/cruises</v>
      </c>
    </row>
    <row r="19">
      <c r="A19" s="77" t="s">
        <v>1644</v>
      </c>
      <c r="B19" s="178" t="s">
        <v>1626</v>
      </c>
      <c r="C19" s="180" t="str">
        <f t="shared" si="1"/>
        <v>/cruise-lines/royal-caribbean/ovation-of-the-seas/cruises</v>
      </c>
    </row>
    <row r="20">
      <c r="A20" s="77" t="s">
        <v>1645</v>
      </c>
      <c r="B20" s="178" t="s">
        <v>1626</v>
      </c>
      <c r="C20" s="180" t="str">
        <f t="shared" si="1"/>
        <v>/cruise-lines/royal-caribbean/quantum-of-the-seas/cruises</v>
      </c>
    </row>
    <row r="21">
      <c r="A21" s="77" t="s">
        <v>1646</v>
      </c>
      <c r="B21" s="178" t="s">
        <v>1626</v>
      </c>
      <c r="C21" s="180" t="str">
        <f t="shared" si="1"/>
        <v>/cruise-lines/royal-caribbean/radiance-of-the-seas/cruises</v>
      </c>
    </row>
    <row r="22">
      <c r="A22" s="77" t="s">
        <v>1647</v>
      </c>
      <c r="B22" s="178" t="s">
        <v>1626</v>
      </c>
      <c r="C22" s="180" t="str">
        <f t="shared" si="1"/>
        <v>/cruise-lines/royal-caribbean/rhapsody-of-the-seas/cruises</v>
      </c>
    </row>
    <row r="23">
      <c r="A23" s="77" t="s">
        <v>1648</v>
      </c>
      <c r="B23" s="178" t="s">
        <v>1626</v>
      </c>
      <c r="C23" s="180" t="str">
        <f t="shared" si="1"/>
        <v>/cruise-lines/royal-caribbean/serenade-of-the-seas/cruises</v>
      </c>
    </row>
    <row r="24">
      <c r="A24" s="77" t="s">
        <v>1649</v>
      </c>
      <c r="B24" s="178" t="s">
        <v>1626</v>
      </c>
      <c r="C24" s="180" t="str">
        <f t="shared" si="1"/>
        <v>/cruise-lines/royal-caribbean/spectrum-of-the-seas/cruises</v>
      </c>
    </row>
    <row r="25">
      <c r="A25" s="77" t="s">
        <v>1650</v>
      </c>
      <c r="B25" s="178" t="s">
        <v>1626</v>
      </c>
      <c r="C25" s="180" t="str">
        <f t="shared" si="1"/>
        <v>/cruise-lines/royal-caribbean/star-of-the-seas/cruises</v>
      </c>
    </row>
    <row r="26">
      <c r="A26" s="77" t="s">
        <v>1651</v>
      </c>
      <c r="B26" s="178" t="s">
        <v>1626</v>
      </c>
      <c r="C26" s="180" t="str">
        <f t="shared" si="1"/>
        <v>/cruise-lines/royal-caribbean/symphony-of-the-seas/cruises</v>
      </c>
    </row>
    <row r="27">
      <c r="A27" s="77" t="s">
        <v>1652</v>
      </c>
      <c r="B27" s="178" t="s">
        <v>1626</v>
      </c>
      <c r="C27" s="180" t="str">
        <f t="shared" si="1"/>
        <v>/cruise-lines/royal-caribbean/utopia-of-the-seas/cruises</v>
      </c>
    </row>
    <row r="28">
      <c r="A28" s="77" t="s">
        <v>1653</v>
      </c>
      <c r="B28" s="178" t="s">
        <v>1626</v>
      </c>
      <c r="C28" s="180" t="str">
        <f t="shared" si="1"/>
        <v>/cruise-lines/royal-caribbean/vision-of-the-seas/cruises</v>
      </c>
    </row>
    <row r="29">
      <c r="A29" s="77" t="s">
        <v>1654</v>
      </c>
      <c r="B29" s="178" t="s">
        <v>1626</v>
      </c>
      <c r="C29" s="180" t="str">
        <f t="shared" si="1"/>
        <v>/cruise-lines/royal-caribbean/voyager-of-the-seas/cruises</v>
      </c>
    </row>
    <row r="30">
      <c r="A30" s="118" t="s">
        <v>1655</v>
      </c>
      <c r="B30" s="178" t="s">
        <v>1626</v>
      </c>
      <c r="C30" s="180" t="str">
        <f t="shared" si="1"/>
        <v>/cruise-lines/royal-caribbean/wonder-of-the-seas/cruises</v>
      </c>
    </row>
    <row r="38">
      <c r="A38" s="188" t="s">
        <v>1656</v>
      </c>
      <c r="B38" s="178" t="s">
        <v>1657</v>
      </c>
      <c r="C38" s="180" t="str">
        <f t="shared" ref="C38:C67" si="2">concat(A38,B38)</f>
        <v>Resilient Lady Cruises</v>
      </c>
    </row>
    <row r="39">
      <c r="A39" s="189" t="s">
        <v>1658</v>
      </c>
      <c r="B39" s="178" t="s">
        <v>1657</v>
      </c>
      <c r="C39" s="180" t="str">
        <f t="shared" si="2"/>
        <v>Scarlet Lady Cruises</v>
      </c>
    </row>
    <row r="40">
      <c r="A40" s="189" t="s">
        <v>1659</v>
      </c>
      <c r="B40" s="178" t="s">
        <v>1657</v>
      </c>
      <c r="C40" s="180" t="str">
        <f t="shared" si="2"/>
        <v>Valiant Lady Cruises</v>
      </c>
    </row>
    <row r="41">
      <c r="A41" s="126" t="s">
        <v>1660</v>
      </c>
      <c r="B41" s="178" t="s">
        <v>1657</v>
      </c>
      <c r="C41" s="180" t="str">
        <f t="shared" si="2"/>
        <v>Brilliant Lady Cruises</v>
      </c>
    </row>
    <row r="42">
      <c r="A42" s="189" t="s">
        <v>1661</v>
      </c>
      <c r="B42" s="178" t="s">
        <v>1657</v>
      </c>
      <c r="C42" s="180" t="str">
        <f t="shared" si="2"/>
        <v>Seabourn Sojourn Cruises</v>
      </c>
    </row>
    <row r="43">
      <c r="A43" s="126" t="s">
        <v>1662</v>
      </c>
      <c r="B43" s="178" t="s">
        <v>1657</v>
      </c>
      <c r="C43" s="180" t="str">
        <f t="shared" si="2"/>
        <v>Seabourn Venture Cruises</v>
      </c>
    </row>
    <row r="44">
      <c r="A44" s="189" t="s">
        <v>1663</v>
      </c>
      <c r="B44" s="178" t="s">
        <v>1657</v>
      </c>
      <c r="C44" s="180" t="str">
        <f t="shared" si="2"/>
        <v>Freedom Of The Seas Cruises</v>
      </c>
    </row>
    <row r="45">
      <c r="A45" s="189" t="s">
        <v>1664</v>
      </c>
      <c r="B45" s="178" t="s">
        <v>1657</v>
      </c>
      <c r="C45" s="180" t="str">
        <f t="shared" si="2"/>
        <v>Grandeur Of The Seas Cruises</v>
      </c>
    </row>
    <row r="46">
      <c r="A46" s="189" t="s">
        <v>1665</v>
      </c>
      <c r="B46" s="178" t="s">
        <v>1657</v>
      </c>
      <c r="C46" s="180" t="str">
        <f t="shared" si="2"/>
        <v>Harmony Of The Seas Cruises</v>
      </c>
    </row>
    <row r="47">
      <c r="A47" s="189" t="s">
        <v>1666</v>
      </c>
      <c r="B47" s="178" t="s">
        <v>1657</v>
      </c>
      <c r="C47" s="180" t="str">
        <f t="shared" si="2"/>
        <v>Icon Of The Seas Cruises</v>
      </c>
    </row>
    <row r="48">
      <c r="A48" s="189" t="s">
        <v>1667</v>
      </c>
      <c r="B48" s="178" t="s">
        <v>1657</v>
      </c>
      <c r="C48" s="180" t="str">
        <f t="shared" si="2"/>
        <v>Independence Of The Seas Cruises</v>
      </c>
    </row>
    <row r="49">
      <c r="A49" s="189" t="s">
        <v>1668</v>
      </c>
      <c r="B49" s="178" t="s">
        <v>1657</v>
      </c>
      <c r="C49" s="180" t="str">
        <f t="shared" si="2"/>
        <v>Jewel Of The Seas Cruises</v>
      </c>
    </row>
    <row r="50">
      <c r="A50" s="189" t="s">
        <v>1669</v>
      </c>
      <c r="B50" s="178" t="s">
        <v>1657</v>
      </c>
      <c r="C50" s="180" t="str">
        <f t="shared" si="2"/>
        <v>Legend Of The Seas Cruises</v>
      </c>
    </row>
    <row r="51">
      <c r="A51" s="189" t="s">
        <v>1670</v>
      </c>
      <c r="B51" s="178" t="s">
        <v>1657</v>
      </c>
      <c r="C51" s="180" t="str">
        <f t="shared" si="2"/>
        <v>Liberty Of The Seas Cruises</v>
      </c>
    </row>
    <row r="52">
      <c r="A52" s="189" t="s">
        <v>1671</v>
      </c>
      <c r="B52" s="178" t="s">
        <v>1657</v>
      </c>
      <c r="C52" s="180" t="str">
        <f t="shared" si="2"/>
        <v>Mariner Of The Seas Cruises</v>
      </c>
    </row>
    <row r="53">
      <c r="A53" s="189" t="s">
        <v>1672</v>
      </c>
      <c r="B53" s="178" t="s">
        <v>1657</v>
      </c>
      <c r="C53" s="180" t="str">
        <f t="shared" si="2"/>
        <v>Navigator Of The Seas Cruises</v>
      </c>
    </row>
    <row r="54">
      <c r="A54" s="189" t="s">
        <v>1673</v>
      </c>
      <c r="B54" s="178" t="s">
        <v>1657</v>
      </c>
      <c r="C54" s="180" t="str">
        <f t="shared" si="2"/>
        <v>Oasis Of The Seas Cruises</v>
      </c>
    </row>
    <row r="55">
      <c r="A55" s="189" t="s">
        <v>1674</v>
      </c>
      <c r="B55" s="178" t="s">
        <v>1657</v>
      </c>
      <c r="C55" s="180" t="str">
        <f t="shared" si="2"/>
        <v>Odyssey Of The Seas Cruises</v>
      </c>
    </row>
    <row r="56">
      <c r="A56" s="189" t="s">
        <v>1675</v>
      </c>
      <c r="B56" s="178" t="s">
        <v>1657</v>
      </c>
      <c r="C56" s="180" t="str">
        <f t="shared" si="2"/>
        <v>Ovation Of The Seas Cruises</v>
      </c>
    </row>
    <row r="57">
      <c r="A57" s="189" t="s">
        <v>1676</v>
      </c>
      <c r="B57" s="178" t="s">
        <v>1657</v>
      </c>
      <c r="C57" s="180" t="str">
        <f t="shared" si="2"/>
        <v>Quantum Of The Seas Cruises</v>
      </c>
    </row>
    <row r="58">
      <c r="A58" s="189" t="s">
        <v>1677</v>
      </c>
      <c r="B58" s="178" t="s">
        <v>1657</v>
      </c>
      <c r="C58" s="180" t="str">
        <f t="shared" si="2"/>
        <v>Radiance Of The Seas Cruises</v>
      </c>
    </row>
    <row r="59">
      <c r="A59" s="189" t="s">
        <v>1678</v>
      </c>
      <c r="B59" s="178" t="s">
        <v>1657</v>
      </c>
      <c r="C59" s="180" t="str">
        <f t="shared" si="2"/>
        <v>Rhapsody Of The Seas Cruises</v>
      </c>
    </row>
    <row r="60">
      <c r="A60" s="189" t="s">
        <v>1679</v>
      </c>
      <c r="B60" s="178" t="s">
        <v>1657</v>
      </c>
      <c r="C60" s="180" t="str">
        <f t="shared" si="2"/>
        <v>Serenade Of The Seas Cruises</v>
      </c>
    </row>
    <row r="61">
      <c r="A61" s="189" t="s">
        <v>1680</v>
      </c>
      <c r="B61" s="178" t="s">
        <v>1657</v>
      </c>
      <c r="C61" s="180" t="str">
        <f t="shared" si="2"/>
        <v>Spectrum Of The Seas Cruises</v>
      </c>
    </row>
    <row r="62">
      <c r="A62" s="189" t="s">
        <v>1681</v>
      </c>
      <c r="B62" s="178" t="s">
        <v>1657</v>
      </c>
      <c r="C62" s="180" t="str">
        <f t="shared" si="2"/>
        <v>Star Of The Seas Cruises</v>
      </c>
    </row>
    <row r="63">
      <c r="A63" s="189" t="s">
        <v>1682</v>
      </c>
      <c r="B63" s="178" t="s">
        <v>1657</v>
      </c>
      <c r="C63" s="180" t="str">
        <f t="shared" si="2"/>
        <v>Symphony Of The Seas Cruises</v>
      </c>
    </row>
    <row r="64">
      <c r="A64" s="189" t="s">
        <v>1683</v>
      </c>
      <c r="B64" s="178" t="s">
        <v>1657</v>
      </c>
      <c r="C64" s="180" t="str">
        <f t="shared" si="2"/>
        <v>Utopia Of The Seas Cruises</v>
      </c>
    </row>
    <row r="65">
      <c r="A65" s="189" t="s">
        <v>1684</v>
      </c>
      <c r="B65" s="178" t="s">
        <v>1657</v>
      </c>
      <c r="C65" s="180" t="str">
        <f t="shared" si="2"/>
        <v>Vision Of The Seas Cruises</v>
      </c>
    </row>
    <row r="66">
      <c r="A66" s="189" t="s">
        <v>1685</v>
      </c>
      <c r="B66" s="178" t="s">
        <v>1657</v>
      </c>
      <c r="C66" s="180" t="str">
        <f t="shared" si="2"/>
        <v>Voyager Of The Seas Cruises</v>
      </c>
    </row>
    <row r="67">
      <c r="A67" s="126" t="s">
        <v>1686</v>
      </c>
      <c r="B67" s="178" t="s">
        <v>1657</v>
      </c>
      <c r="C67" s="180" t="str">
        <f t="shared" si="2"/>
        <v>Wonder Of The Seas Cruises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88"/>
  </cols>
  <sheetData>
    <row r="1">
      <c r="A1" s="45" t="s">
        <v>1687</v>
      </c>
    </row>
    <row r="2">
      <c r="A2" s="180" t="s">
        <v>1625</v>
      </c>
      <c r="B2" s="180" t="str">
        <f>IFERROR(__xludf.DUMMYFUNCTION("REGEXREPLACE(A2, ""/cruise-lines/virgin-voyages/"", """")"),"resilient-lady")</f>
        <v>resilient-lady</v>
      </c>
      <c r="C2" s="180" t="s">
        <v>1688</v>
      </c>
      <c r="D2" s="180" t="str">
        <f>IFERROR(__xludf.DUMMYFUNCTION("REGEXREPLACE(C2, ""-"", "" "")"),"resilient lady")</f>
        <v>resilient lady</v>
      </c>
      <c r="E2" s="180" t="str">
        <f t="shared" ref="E2:E17" si="1">PROPER(D2)</f>
        <v>Resilient Lady</v>
      </c>
    </row>
    <row r="3">
      <c r="A3" s="180" t="s">
        <v>1627</v>
      </c>
      <c r="B3" s="180" t="str">
        <f>IFERROR(__xludf.DUMMYFUNCTION("REGEXREPLACE(A3, ""/cruise-lines/virgin-voyages/"", """")"),"scarlet-lady")</f>
        <v>scarlet-lady</v>
      </c>
      <c r="C3" s="180" t="s">
        <v>1689</v>
      </c>
      <c r="D3" s="180" t="str">
        <f>IFERROR(__xludf.DUMMYFUNCTION("REGEXREPLACE(C3, ""-"", "" "")"),"scarlet lady")</f>
        <v>scarlet lady</v>
      </c>
      <c r="E3" s="180" t="str">
        <f t="shared" si="1"/>
        <v>Scarlet Lady</v>
      </c>
    </row>
    <row r="4">
      <c r="A4" s="180" t="s">
        <v>1628</v>
      </c>
      <c r="B4" s="180" t="str">
        <f>IFERROR(__xludf.DUMMYFUNCTION("REGEXREPLACE(A4, ""/cruise-lines/virgin-voyages/"", """")"),"valiant-lady")</f>
        <v>valiant-lady</v>
      </c>
      <c r="C4" s="180" t="s">
        <v>1690</v>
      </c>
      <c r="D4" s="180" t="str">
        <f>IFERROR(__xludf.DUMMYFUNCTION("REGEXREPLACE(C4, ""-"", "" "")"),"valiant lady")</f>
        <v>valiant lady</v>
      </c>
      <c r="E4" s="180" t="str">
        <f t="shared" si="1"/>
        <v>Valiant Lady</v>
      </c>
    </row>
    <row r="5">
      <c r="A5" s="180" t="s">
        <v>1629</v>
      </c>
      <c r="B5" s="180" t="str">
        <f>IFERROR(__xludf.DUMMYFUNCTION("REGEXREPLACE(A5, ""/cruise-lines/virgin-voyages/"", """")"),"brilliant-lady")</f>
        <v>brilliant-lady</v>
      </c>
      <c r="C5" s="180" t="s">
        <v>1691</v>
      </c>
      <c r="D5" s="180" t="str">
        <f>IFERROR(__xludf.DUMMYFUNCTION("REGEXREPLACE(C5, ""-"", "" "")"),"brilliant lady")</f>
        <v>brilliant lady</v>
      </c>
      <c r="E5" s="180" t="str">
        <f t="shared" si="1"/>
        <v>Brilliant Lady</v>
      </c>
    </row>
    <row r="6">
      <c r="B6" s="180" t="str">
        <f>IFERROR(__xludf.DUMMYFUNCTION("REGEXREPLACE(A6, ""/cruise-lines/royal-caribbean/"", """")"),"")</f>
        <v/>
      </c>
      <c r="C6" s="180" t="s">
        <v>1692</v>
      </c>
      <c r="D6" s="180" t="str">
        <f>IFERROR(__xludf.DUMMYFUNCTION("REGEXREPLACE(C6, ""-"", "" "")"),"ovation of the seas")</f>
        <v>ovation of the seas</v>
      </c>
      <c r="E6" s="180" t="str">
        <f t="shared" si="1"/>
        <v>Ovation Of The Seas</v>
      </c>
    </row>
    <row r="7">
      <c r="B7" s="180" t="str">
        <f>IFERROR(__xludf.DUMMYFUNCTION("REGEXREPLACE(A7, ""/cruise-lines/royal-caribbean/"", """")"),"")</f>
        <v/>
      </c>
      <c r="C7" s="180" t="s">
        <v>1693</v>
      </c>
      <c r="D7" s="180" t="str">
        <f>IFERROR(__xludf.DUMMYFUNCTION("REGEXREPLACE(C7, ""-"", "" "")"),"quantum of the seas")</f>
        <v>quantum of the seas</v>
      </c>
      <c r="E7" s="180" t="str">
        <f t="shared" si="1"/>
        <v>Quantum Of The Seas</v>
      </c>
    </row>
    <row r="8">
      <c r="B8" s="180" t="str">
        <f>IFERROR(__xludf.DUMMYFUNCTION("REGEXREPLACE(A8, ""/cruise-lines/royal-caribbean/"", """")"),"")</f>
        <v/>
      </c>
      <c r="C8" s="180" t="s">
        <v>1694</v>
      </c>
      <c r="D8" s="180" t="str">
        <f>IFERROR(__xludf.DUMMYFUNCTION("REGEXREPLACE(C8, ""-"", "" "")"),"radiance of the seas")</f>
        <v>radiance of the seas</v>
      </c>
      <c r="E8" s="180" t="str">
        <f t="shared" si="1"/>
        <v>Radiance Of The Seas</v>
      </c>
    </row>
    <row r="9">
      <c r="B9" s="180" t="str">
        <f>IFERROR(__xludf.DUMMYFUNCTION("REGEXREPLACE(A9, ""/cruise-lines/royal-caribbean/"", """")"),"")</f>
        <v/>
      </c>
      <c r="C9" s="180" t="s">
        <v>1695</v>
      </c>
      <c r="D9" s="180" t="str">
        <f>IFERROR(__xludf.DUMMYFUNCTION("REGEXREPLACE(C9, ""-"", "" "")"),"rhapsody of the seas")</f>
        <v>rhapsody of the seas</v>
      </c>
      <c r="E9" s="180" t="str">
        <f t="shared" si="1"/>
        <v>Rhapsody Of The Seas</v>
      </c>
    </row>
    <row r="10">
      <c r="B10" s="180" t="str">
        <f>IFERROR(__xludf.DUMMYFUNCTION("REGEXREPLACE(A10, ""/cruise-lines/royal-caribbean/"", """")"),"")</f>
        <v/>
      </c>
      <c r="C10" s="180" t="s">
        <v>1696</v>
      </c>
      <c r="D10" s="180" t="str">
        <f>IFERROR(__xludf.DUMMYFUNCTION("REGEXREPLACE(C10, ""-"", "" "")"),"serenade of the seas")</f>
        <v>serenade of the seas</v>
      </c>
      <c r="E10" s="180" t="str">
        <f t="shared" si="1"/>
        <v>Serenade Of The Seas</v>
      </c>
    </row>
    <row r="11">
      <c r="B11" s="180" t="str">
        <f>IFERROR(__xludf.DUMMYFUNCTION("REGEXREPLACE(A11, ""/cruise-lines/royal-caribbean/"", """")"),"")</f>
        <v/>
      </c>
      <c r="C11" s="180" t="s">
        <v>1697</v>
      </c>
      <c r="D11" s="180" t="str">
        <f>IFERROR(__xludf.DUMMYFUNCTION("REGEXREPLACE(C11, ""-"", "" "")"),"spectrum of the seas")</f>
        <v>spectrum of the seas</v>
      </c>
      <c r="E11" s="180" t="str">
        <f t="shared" si="1"/>
        <v>Spectrum Of The Seas</v>
      </c>
    </row>
    <row r="12">
      <c r="B12" s="180" t="str">
        <f>IFERROR(__xludf.DUMMYFUNCTION("REGEXREPLACE(A12, ""/cruise-lines/royal-caribbean/"", """")"),"")</f>
        <v/>
      </c>
      <c r="C12" s="180" t="s">
        <v>1698</v>
      </c>
      <c r="D12" s="180" t="str">
        <f>IFERROR(__xludf.DUMMYFUNCTION("REGEXREPLACE(C12, ""-"", "" "")"),"star of the seas")</f>
        <v>star of the seas</v>
      </c>
      <c r="E12" s="180" t="str">
        <f t="shared" si="1"/>
        <v>Star Of The Seas</v>
      </c>
    </row>
    <row r="13">
      <c r="B13" s="180" t="str">
        <f>IFERROR(__xludf.DUMMYFUNCTION("REGEXREPLACE(A13, ""/cruise-lines/royal-caribbean/"", """")"),"")</f>
        <v/>
      </c>
      <c r="C13" s="180" t="s">
        <v>1699</v>
      </c>
      <c r="D13" s="180" t="str">
        <f>IFERROR(__xludf.DUMMYFUNCTION("REGEXREPLACE(C13, ""-"", "" "")"),"symphony of the seas")</f>
        <v>symphony of the seas</v>
      </c>
      <c r="E13" s="180" t="str">
        <f t="shared" si="1"/>
        <v>Symphony Of The Seas</v>
      </c>
    </row>
    <row r="14">
      <c r="B14" s="180" t="str">
        <f>IFERROR(__xludf.DUMMYFUNCTION("REGEXREPLACE(A14, ""/cruise-lines/royal-caribbean/"", """")"),"")</f>
        <v/>
      </c>
      <c r="C14" s="180" t="s">
        <v>1700</v>
      </c>
      <c r="D14" s="180" t="str">
        <f>IFERROR(__xludf.DUMMYFUNCTION("REGEXREPLACE(C14, ""-"", "" "")"),"utopia of the seas")</f>
        <v>utopia of the seas</v>
      </c>
      <c r="E14" s="180" t="str">
        <f t="shared" si="1"/>
        <v>Utopia Of The Seas</v>
      </c>
    </row>
    <row r="15">
      <c r="B15" s="180" t="str">
        <f>IFERROR(__xludf.DUMMYFUNCTION("REGEXREPLACE(A15, ""/cruise-lines/royal-caribbean/"", """")"),"")</f>
        <v/>
      </c>
      <c r="C15" s="180" t="s">
        <v>1701</v>
      </c>
      <c r="D15" s="180" t="str">
        <f>IFERROR(__xludf.DUMMYFUNCTION("REGEXREPLACE(C15, ""-"", "" "")"),"vision of the seas")</f>
        <v>vision of the seas</v>
      </c>
      <c r="E15" s="180" t="str">
        <f t="shared" si="1"/>
        <v>Vision Of The Seas</v>
      </c>
    </row>
    <row r="16">
      <c r="B16" s="180" t="str">
        <f>IFERROR(__xludf.DUMMYFUNCTION("REGEXREPLACE(A16, ""/cruise-lines/royal-caribbean/"", """")"),"")</f>
        <v/>
      </c>
      <c r="C16" s="180" t="s">
        <v>1702</v>
      </c>
      <c r="D16" s="180" t="str">
        <f>IFERROR(__xludf.DUMMYFUNCTION("REGEXREPLACE(C16, ""-"", "" "")"),"voyager of the seas")</f>
        <v>voyager of the seas</v>
      </c>
      <c r="E16" s="180" t="str">
        <f t="shared" si="1"/>
        <v>Voyager Of The Seas</v>
      </c>
    </row>
    <row r="17">
      <c r="B17" s="180" t="str">
        <f>IFERROR(__xludf.DUMMYFUNCTION("REGEXREPLACE(A17, ""/cruise-lines/royal-caribbean/"", """")"),"")</f>
        <v/>
      </c>
      <c r="C17" s="180" t="s">
        <v>1703</v>
      </c>
      <c r="D17" s="180" t="str">
        <f>IFERROR(__xludf.DUMMYFUNCTION("REGEXREPLACE(C17, ""-"", "" "")"),"wonder of the seas")</f>
        <v>wonder of the seas</v>
      </c>
      <c r="E17" s="180" t="str">
        <f t="shared" si="1"/>
        <v>Wonder Of The Seas</v>
      </c>
    </row>
  </sheetData>
  <autoFilter ref="$A$1:$A$17">
    <sortState ref="A1:A17">
      <sortCondition ref="A1:A17"/>
    </sortState>
  </autoFilter>
  <drawing r:id="rId1"/>
</worksheet>
</file>