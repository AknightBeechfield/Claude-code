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lexknight/Downloads/"/>
    </mc:Choice>
  </mc:AlternateContent>
  <xr:revisionPtr revIDLastSave="0" documentId="13_ncr:20001_{62223F6A-6F9F-F64A-8F97-5B277F64326D}" xr6:coauthVersionLast="47" xr6:coauthVersionMax="47" xr10:uidLastSave="{00000000-0000-0000-0000-000000000000}"/>
  <bookViews>
    <workbookView xWindow="34560" yWindow="0" windowWidth="68800" windowHeight="28800" xr2:uid="{00000000-000D-0000-FFFF-FFFF00000000}"/>
  </bookViews>
  <sheets>
    <sheet name="Overview (Homepage Nav)" sheetId="1" r:id="rId1"/>
    <sheet name="Seasonal edits" sheetId="2" r:id="rId2"/>
    <sheet name="Type" sheetId="3" r:id="rId3"/>
    <sheet name="Purpose" sheetId="4" r:id="rId4"/>
    <sheet name="Colour" sheetId="5" r:id="rId5"/>
    <sheet name="Decoration" sheetId="6" r:id="rId6"/>
    <sheet name="Cap Studio" sheetId="7" r:id="rId7"/>
    <sheet name="LookbooksCollections" sheetId="8" r:id="rId8"/>
    <sheet name="Decorator Academy" sheetId="9" r:id="rId9"/>
    <sheet name="Resources" sheetId="10" r:id="rId10"/>
    <sheet name="Where to Buy" sheetId="11" r:id="rId11"/>
    <sheet name="About" sheetId="12" r:id="rId12"/>
    <sheet name="Footer" sheetId="14" r:id="rId13"/>
    <sheet name="Sheet3" sheetId="15" state="hidden" r:id="rId14"/>
    <sheet name="Copy of extracted_urls" sheetId="16" state="hidden" r:id="rId15"/>
    <sheet name="Sheet6" sheetId="17" state="hidden" r:id="rId16"/>
    <sheet name="Sheet4" sheetId="18" state="hidden" r:id="rId17"/>
  </sheets>
  <definedNames>
    <definedName name="_xlnm._FilterDatabase" localSheetId="14" hidden="1">'Copy of extracted_urls'!$A$1:$A$435</definedName>
    <definedName name="_xlnm._FilterDatabase" localSheetId="13" hidden="1">Sheet3!$A$1:$C$427</definedName>
    <definedName name="_xlnm._FilterDatabase" localSheetId="16" hidden="1">Sheet4!$A$1:$A$17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8" l="1"/>
  <c r="E17" i="18" s="1"/>
  <c r="B17" i="18"/>
  <c r="D16" i="18"/>
  <c r="E16" i="18" s="1"/>
  <c r="B16" i="18"/>
  <c r="D15" i="18"/>
  <c r="E15" i="18" s="1"/>
  <c r="B15" i="18"/>
  <c r="D14" i="18"/>
  <c r="E14" i="18" s="1"/>
  <c r="B14" i="18"/>
  <c r="D13" i="18"/>
  <c r="E13" i="18" s="1"/>
  <c r="B13" i="18"/>
  <c r="D12" i="18"/>
  <c r="E12" i="18" s="1"/>
  <c r="B12" i="18"/>
  <c r="D11" i="18"/>
  <c r="E11" i="18" s="1"/>
  <c r="B11" i="18"/>
  <c r="D10" i="18"/>
  <c r="E10" i="18" s="1"/>
  <c r="B10" i="18"/>
  <c r="D9" i="18"/>
  <c r="E9" i="18" s="1"/>
  <c r="B9" i="18"/>
  <c r="D8" i="18"/>
  <c r="E8" i="18" s="1"/>
  <c r="B8" i="18"/>
  <c r="D7" i="18"/>
  <c r="E7" i="18" s="1"/>
  <c r="B7" i="18"/>
  <c r="D6" i="18"/>
  <c r="E6" i="18" s="1"/>
  <c r="B6" i="18"/>
  <c r="D5" i="18"/>
  <c r="E5" i="18" s="1"/>
  <c r="B5" i="18"/>
  <c r="D4" i="18"/>
  <c r="E4" i="18" s="1"/>
  <c r="B4" i="18"/>
  <c r="D3" i="18"/>
  <c r="E3" i="18" s="1"/>
  <c r="B3" i="18"/>
  <c r="D2" i="18"/>
  <c r="E2" i="18" s="1"/>
  <c r="B2" i="18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1" i="17"/>
  <c r="E427" i="15"/>
  <c r="C427" i="15"/>
  <c r="B427" i="15"/>
  <c r="C426" i="15"/>
  <c r="B426" i="15"/>
  <c r="E425" i="15"/>
  <c r="C425" i="15"/>
  <c r="B425" i="15"/>
  <c r="E424" i="15"/>
  <c r="C424" i="15"/>
  <c r="B424" i="15"/>
  <c r="E423" i="15"/>
  <c r="C423" i="15"/>
  <c r="B423" i="15"/>
  <c r="E422" i="15"/>
  <c r="C422" i="15"/>
  <c r="B422" i="15"/>
  <c r="E421" i="15"/>
  <c r="C421" i="15"/>
  <c r="B421" i="15"/>
  <c r="E420" i="15"/>
  <c r="C420" i="15"/>
  <c r="B420" i="15"/>
  <c r="E419" i="15"/>
  <c r="C419" i="15"/>
  <c r="B419" i="15"/>
  <c r="C418" i="15"/>
  <c r="B418" i="15"/>
  <c r="E417" i="15"/>
  <c r="C417" i="15"/>
  <c r="B417" i="15"/>
  <c r="E416" i="15"/>
  <c r="C416" i="15"/>
  <c r="B416" i="15"/>
  <c r="C415" i="15"/>
  <c r="B415" i="15"/>
  <c r="E414" i="15"/>
  <c r="C414" i="15"/>
  <c r="B414" i="15"/>
  <c r="E413" i="15"/>
  <c r="C413" i="15"/>
  <c r="B413" i="15"/>
  <c r="E412" i="15"/>
  <c r="C412" i="15"/>
  <c r="B412" i="15"/>
  <c r="C411" i="15"/>
  <c r="B411" i="15"/>
  <c r="E410" i="15"/>
  <c r="C410" i="15"/>
  <c r="B410" i="15"/>
  <c r="E409" i="15"/>
  <c r="C409" i="15"/>
  <c r="B409" i="15"/>
  <c r="E408" i="15"/>
  <c r="C408" i="15"/>
  <c r="B408" i="15"/>
  <c r="C407" i="15"/>
  <c r="B407" i="15"/>
  <c r="E406" i="15"/>
  <c r="C406" i="15"/>
  <c r="B406" i="15"/>
  <c r="E405" i="15"/>
  <c r="C405" i="15"/>
  <c r="B405" i="15"/>
  <c r="E404" i="15"/>
  <c r="C404" i="15"/>
  <c r="B404" i="15"/>
  <c r="E403" i="15"/>
  <c r="C403" i="15"/>
  <c r="B403" i="15"/>
  <c r="E402" i="15"/>
  <c r="C402" i="15"/>
  <c r="B402" i="15"/>
  <c r="E401" i="15"/>
  <c r="C401" i="15"/>
  <c r="B401" i="15"/>
  <c r="E400" i="15"/>
  <c r="C400" i="15"/>
  <c r="B400" i="15"/>
  <c r="E399" i="15"/>
  <c r="C399" i="15"/>
  <c r="B399" i="15"/>
  <c r="E398" i="15"/>
  <c r="C398" i="15"/>
  <c r="B398" i="15"/>
  <c r="C397" i="15"/>
  <c r="B397" i="15"/>
  <c r="E396" i="15"/>
  <c r="C396" i="15"/>
  <c r="B396" i="15"/>
  <c r="E395" i="15"/>
  <c r="C395" i="15"/>
  <c r="B395" i="15"/>
  <c r="E394" i="15"/>
  <c r="C394" i="15"/>
  <c r="B394" i="15"/>
  <c r="E393" i="15"/>
  <c r="C393" i="15"/>
  <c r="B393" i="15"/>
  <c r="E392" i="15"/>
  <c r="C392" i="15"/>
  <c r="B392" i="15"/>
  <c r="C391" i="15"/>
  <c r="B391" i="15"/>
  <c r="E390" i="15"/>
  <c r="C390" i="15"/>
  <c r="B390" i="15"/>
  <c r="E389" i="15"/>
  <c r="C389" i="15"/>
  <c r="B389" i="15"/>
  <c r="E388" i="15"/>
  <c r="C388" i="15"/>
  <c r="B388" i="15"/>
  <c r="E387" i="15"/>
  <c r="C387" i="15"/>
  <c r="B387" i="15"/>
  <c r="E386" i="15"/>
  <c r="C386" i="15"/>
  <c r="B386" i="15"/>
  <c r="E385" i="15"/>
  <c r="C385" i="15"/>
  <c r="B385" i="15"/>
  <c r="E384" i="15"/>
  <c r="C384" i="15"/>
  <c r="B384" i="15"/>
  <c r="E383" i="15"/>
  <c r="C383" i="15"/>
  <c r="B383" i="15"/>
  <c r="C382" i="15"/>
  <c r="B382" i="15"/>
  <c r="E381" i="15"/>
  <c r="C381" i="15"/>
  <c r="B381" i="15"/>
  <c r="E380" i="15"/>
  <c r="C380" i="15"/>
  <c r="B380" i="15"/>
  <c r="E379" i="15"/>
  <c r="C379" i="15"/>
  <c r="B379" i="15"/>
  <c r="E378" i="15"/>
  <c r="C378" i="15"/>
  <c r="B378" i="15"/>
  <c r="E377" i="15"/>
  <c r="C377" i="15"/>
  <c r="B377" i="15"/>
  <c r="E376" i="15"/>
  <c r="C376" i="15"/>
  <c r="B376" i="15"/>
  <c r="E375" i="15"/>
  <c r="C375" i="15"/>
  <c r="B375" i="15"/>
  <c r="E374" i="15"/>
  <c r="C374" i="15"/>
  <c r="B374" i="15"/>
  <c r="E373" i="15"/>
  <c r="C373" i="15"/>
  <c r="B373" i="15"/>
  <c r="E372" i="15"/>
  <c r="C372" i="15"/>
  <c r="B372" i="15"/>
  <c r="E371" i="15"/>
  <c r="C371" i="15"/>
  <c r="B371" i="15"/>
  <c r="E370" i="15"/>
  <c r="C370" i="15"/>
  <c r="B370" i="15"/>
  <c r="E369" i="15"/>
  <c r="C369" i="15"/>
  <c r="B369" i="15"/>
  <c r="C368" i="15"/>
  <c r="B368" i="15"/>
  <c r="E367" i="15"/>
  <c r="C367" i="15"/>
  <c r="B367" i="15"/>
  <c r="E366" i="15"/>
  <c r="C366" i="15"/>
  <c r="B366" i="15"/>
  <c r="E365" i="15"/>
  <c r="C365" i="15"/>
  <c r="B365" i="15"/>
  <c r="E364" i="15"/>
  <c r="C364" i="15"/>
  <c r="B364" i="15"/>
  <c r="E363" i="15"/>
  <c r="C363" i="15"/>
  <c r="B363" i="15"/>
  <c r="E362" i="15"/>
  <c r="C362" i="15"/>
  <c r="B362" i="15"/>
  <c r="E361" i="15"/>
  <c r="C361" i="15"/>
  <c r="B361" i="15"/>
  <c r="E360" i="15"/>
  <c r="C360" i="15"/>
  <c r="B360" i="15"/>
  <c r="E359" i="15"/>
  <c r="C359" i="15"/>
  <c r="B359" i="15"/>
  <c r="E358" i="15"/>
  <c r="C358" i="15"/>
  <c r="B358" i="15"/>
  <c r="E357" i="15"/>
  <c r="C357" i="15"/>
  <c r="B357" i="15"/>
  <c r="E356" i="15"/>
  <c r="C356" i="15"/>
  <c r="B356" i="15"/>
  <c r="E355" i="15"/>
  <c r="C355" i="15"/>
  <c r="B355" i="15"/>
  <c r="E354" i="15"/>
  <c r="C354" i="15"/>
  <c r="B354" i="15"/>
  <c r="E353" i="15"/>
  <c r="C353" i="15"/>
  <c r="B353" i="15"/>
  <c r="E352" i="15"/>
  <c r="C352" i="15"/>
  <c r="B352" i="15"/>
  <c r="E351" i="15"/>
  <c r="C351" i="15"/>
  <c r="B351" i="15"/>
  <c r="C350" i="15"/>
  <c r="B350" i="15"/>
  <c r="C349" i="15"/>
  <c r="B349" i="15"/>
  <c r="C348" i="15"/>
  <c r="B348" i="15"/>
  <c r="E347" i="15"/>
  <c r="C347" i="15"/>
  <c r="B347" i="15"/>
  <c r="E346" i="15"/>
  <c r="C346" i="15"/>
  <c r="B346" i="15"/>
  <c r="C345" i="15"/>
  <c r="B345" i="15"/>
  <c r="E344" i="15"/>
  <c r="C344" i="15"/>
  <c r="B344" i="15"/>
  <c r="E343" i="15"/>
  <c r="C343" i="15"/>
  <c r="B343" i="15"/>
  <c r="E342" i="15"/>
  <c r="C342" i="15"/>
  <c r="B342" i="15"/>
  <c r="C341" i="15"/>
  <c r="B341" i="15"/>
  <c r="E340" i="15"/>
  <c r="C340" i="15"/>
  <c r="B340" i="15"/>
  <c r="E339" i="15"/>
  <c r="C339" i="15"/>
  <c r="B339" i="15"/>
  <c r="E338" i="15"/>
  <c r="C338" i="15"/>
  <c r="B338" i="15"/>
  <c r="E337" i="15"/>
  <c r="C337" i="15"/>
  <c r="B337" i="15"/>
  <c r="C336" i="15"/>
  <c r="B336" i="15"/>
  <c r="E335" i="15"/>
  <c r="C335" i="15"/>
  <c r="B335" i="15"/>
  <c r="E334" i="15"/>
  <c r="C334" i="15"/>
  <c r="B334" i="15"/>
  <c r="E333" i="15"/>
  <c r="C333" i="15"/>
  <c r="B333" i="15"/>
  <c r="E332" i="15"/>
  <c r="C332" i="15"/>
  <c r="B332" i="15"/>
  <c r="E331" i="15"/>
  <c r="C331" i="15"/>
  <c r="B331" i="15"/>
  <c r="E330" i="15"/>
  <c r="C330" i="15"/>
  <c r="B330" i="15"/>
  <c r="E329" i="15"/>
  <c r="C329" i="15"/>
  <c r="B329" i="15"/>
  <c r="C328" i="15"/>
  <c r="B328" i="15"/>
  <c r="E327" i="15"/>
  <c r="C327" i="15"/>
  <c r="B327" i="15"/>
  <c r="E326" i="15"/>
  <c r="C326" i="15"/>
  <c r="B326" i="15"/>
  <c r="E325" i="15"/>
  <c r="C325" i="15"/>
  <c r="B325" i="15"/>
  <c r="E324" i="15"/>
  <c r="C324" i="15"/>
  <c r="B324" i="15"/>
  <c r="C323" i="15"/>
  <c r="B323" i="15"/>
  <c r="E322" i="15"/>
  <c r="C322" i="15"/>
  <c r="B322" i="15"/>
  <c r="E321" i="15"/>
  <c r="C321" i="15"/>
  <c r="B321" i="15"/>
  <c r="E320" i="15"/>
  <c r="C320" i="15"/>
  <c r="B320" i="15"/>
  <c r="E319" i="15"/>
  <c r="C319" i="15"/>
  <c r="B319" i="15"/>
  <c r="C318" i="15"/>
  <c r="B318" i="15"/>
  <c r="E317" i="15"/>
  <c r="C317" i="15"/>
  <c r="B317" i="15"/>
  <c r="E316" i="15"/>
  <c r="C316" i="15"/>
  <c r="B316" i="15"/>
  <c r="E315" i="15"/>
  <c r="C315" i="15"/>
  <c r="B315" i="15"/>
  <c r="E314" i="15"/>
  <c r="C314" i="15"/>
  <c r="B314" i="15"/>
  <c r="E313" i="15"/>
  <c r="C313" i="15"/>
  <c r="B313" i="15"/>
  <c r="E312" i="15"/>
  <c r="C312" i="15"/>
  <c r="B312" i="15"/>
  <c r="C311" i="15"/>
  <c r="B311" i="15"/>
  <c r="E310" i="15"/>
  <c r="C310" i="15"/>
  <c r="B310" i="15"/>
  <c r="E309" i="15"/>
  <c r="C309" i="15"/>
  <c r="B309" i="15"/>
  <c r="E308" i="15"/>
  <c r="C308" i="15"/>
  <c r="B308" i="15"/>
  <c r="E307" i="15"/>
  <c r="C307" i="15"/>
  <c r="B307" i="15"/>
  <c r="E306" i="15"/>
  <c r="C306" i="15"/>
  <c r="B306" i="15"/>
  <c r="E305" i="15"/>
  <c r="C305" i="15"/>
  <c r="B305" i="15"/>
  <c r="E304" i="15"/>
  <c r="C304" i="15"/>
  <c r="B304" i="15"/>
  <c r="E303" i="15"/>
  <c r="C303" i="15"/>
  <c r="B303" i="15"/>
  <c r="E302" i="15"/>
  <c r="C302" i="15"/>
  <c r="B302" i="15"/>
  <c r="C301" i="15"/>
  <c r="B301" i="15"/>
  <c r="E300" i="15"/>
  <c r="C300" i="15"/>
  <c r="B300" i="15"/>
  <c r="E299" i="15"/>
  <c r="C299" i="15"/>
  <c r="B299" i="15"/>
  <c r="E298" i="15"/>
  <c r="C298" i="15"/>
  <c r="B298" i="15"/>
  <c r="E297" i="15"/>
  <c r="C297" i="15"/>
  <c r="B297" i="15"/>
  <c r="E296" i="15"/>
  <c r="C296" i="15"/>
  <c r="B296" i="15"/>
  <c r="E295" i="15"/>
  <c r="C295" i="15"/>
  <c r="B295" i="15"/>
  <c r="E294" i="15"/>
  <c r="C294" i="15"/>
  <c r="B294" i="15"/>
  <c r="E293" i="15"/>
  <c r="C293" i="15"/>
  <c r="B293" i="15"/>
  <c r="C292" i="15"/>
  <c r="B292" i="15"/>
  <c r="E291" i="15"/>
  <c r="C291" i="15"/>
  <c r="B291" i="15"/>
  <c r="E290" i="15"/>
  <c r="C290" i="15"/>
  <c r="B290" i="15"/>
  <c r="E289" i="15"/>
  <c r="C289" i="15"/>
  <c r="B289" i="15"/>
  <c r="E288" i="15"/>
  <c r="C288" i="15"/>
  <c r="B288" i="15"/>
  <c r="E287" i="15"/>
  <c r="C287" i="15"/>
  <c r="B287" i="15"/>
  <c r="E286" i="15"/>
  <c r="C286" i="15"/>
  <c r="B286" i="15"/>
  <c r="E285" i="15"/>
  <c r="C285" i="15"/>
  <c r="B285" i="15"/>
  <c r="E284" i="15"/>
  <c r="C284" i="15"/>
  <c r="B284" i="15"/>
  <c r="E283" i="15"/>
  <c r="C283" i="15"/>
  <c r="B283" i="15"/>
  <c r="E282" i="15"/>
  <c r="C282" i="15"/>
  <c r="B282" i="15"/>
  <c r="E281" i="15"/>
  <c r="C281" i="15"/>
  <c r="B281" i="15"/>
  <c r="E280" i="15"/>
  <c r="C280" i="15"/>
  <c r="B280" i="15"/>
  <c r="E279" i="15"/>
  <c r="C279" i="15"/>
  <c r="B279" i="15"/>
  <c r="E278" i="15"/>
  <c r="C278" i="15"/>
  <c r="B278" i="15"/>
  <c r="E277" i="15"/>
  <c r="C277" i="15"/>
  <c r="B277" i="15"/>
  <c r="E276" i="15"/>
  <c r="C276" i="15"/>
  <c r="B276" i="15"/>
  <c r="E275" i="15"/>
  <c r="C275" i="15"/>
  <c r="B275" i="15"/>
  <c r="E274" i="15"/>
  <c r="C274" i="15"/>
  <c r="B274" i="15"/>
  <c r="E273" i="15"/>
  <c r="C273" i="15"/>
  <c r="B273" i="15"/>
  <c r="E272" i="15"/>
  <c r="C272" i="15"/>
  <c r="B272" i="15"/>
  <c r="E271" i="15"/>
  <c r="C271" i="15"/>
  <c r="B271" i="15"/>
  <c r="C270" i="15"/>
  <c r="B270" i="15"/>
  <c r="E269" i="15"/>
  <c r="C269" i="15"/>
  <c r="B269" i="15"/>
  <c r="E268" i="15"/>
  <c r="C268" i="15"/>
  <c r="B268" i="15"/>
  <c r="E267" i="15"/>
  <c r="C267" i="15"/>
  <c r="B267" i="15"/>
  <c r="E266" i="15"/>
  <c r="C266" i="15"/>
  <c r="B266" i="15"/>
  <c r="E265" i="15"/>
  <c r="C265" i="15"/>
  <c r="B265" i="15"/>
  <c r="E264" i="15"/>
  <c r="C264" i="15"/>
  <c r="B264" i="15"/>
  <c r="E263" i="15"/>
  <c r="C263" i="15"/>
  <c r="B263" i="15"/>
  <c r="E262" i="15"/>
  <c r="C262" i="15"/>
  <c r="B262" i="15"/>
  <c r="E261" i="15"/>
  <c r="C261" i="15"/>
  <c r="B261" i="15"/>
  <c r="E260" i="15"/>
  <c r="C260" i="15"/>
  <c r="B260" i="15"/>
  <c r="E259" i="15"/>
  <c r="C259" i="15"/>
  <c r="B259" i="15"/>
  <c r="E258" i="15"/>
  <c r="C258" i="15"/>
  <c r="B258" i="15"/>
  <c r="E257" i="15"/>
  <c r="C257" i="15"/>
  <c r="B257" i="15"/>
  <c r="E256" i="15"/>
  <c r="C256" i="15"/>
  <c r="B256" i="15"/>
  <c r="E255" i="15"/>
  <c r="C255" i="15"/>
  <c r="B255" i="15"/>
  <c r="C254" i="15"/>
  <c r="B254" i="15"/>
  <c r="E253" i="15"/>
  <c r="C253" i="15"/>
  <c r="B253" i="15"/>
  <c r="E252" i="15"/>
  <c r="C252" i="15"/>
  <c r="B252" i="15"/>
  <c r="E251" i="15"/>
  <c r="C251" i="15"/>
  <c r="B251" i="15"/>
  <c r="E250" i="15"/>
  <c r="C250" i="15"/>
  <c r="B250" i="15"/>
  <c r="E249" i="15"/>
  <c r="C249" i="15"/>
  <c r="B249" i="15"/>
  <c r="E248" i="15"/>
  <c r="C248" i="15"/>
  <c r="B248" i="15"/>
  <c r="E247" i="15"/>
  <c r="C247" i="15"/>
  <c r="B247" i="15"/>
  <c r="C246" i="15"/>
  <c r="B246" i="15"/>
  <c r="E245" i="15"/>
  <c r="C245" i="15"/>
  <c r="B245" i="15"/>
  <c r="E244" i="15"/>
  <c r="C244" i="15"/>
  <c r="B244" i="15"/>
  <c r="E243" i="15"/>
  <c r="C243" i="15"/>
  <c r="B243" i="15"/>
  <c r="E242" i="15"/>
  <c r="C242" i="15"/>
  <c r="B242" i="15"/>
  <c r="E241" i="15"/>
  <c r="C241" i="15"/>
  <c r="B241" i="15"/>
  <c r="E240" i="15"/>
  <c r="C240" i="15"/>
  <c r="B240" i="15"/>
  <c r="E239" i="15"/>
  <c r="C239" i="15"/>
  <c r="B239" i="15"/>
  <c r="E238" i="15"/>
  <c r="C238" i="15"/>
  <c r="B238" i="15"/>
  <c r="E237" i="15"/>
  <c r="C237" i="15"/>
  <c r="B237" i="15"/>
  <c r="E236" i="15"/>
  <c r="C236" i="15"/>
  <c r="B236" i="15"/>
  <c r="E235" i="15"/>
  <c r="C235" i="15"/>
  <c r="B235" i="15"/>
  <c r="E234" i="15"/>
  <c r="C234" i="15"/>
  <c r="B234" i="15"/>
  <c r="E233" i="15"/>
  <c r="C233" i="15"/>
  <c r="B233" i="15"/>
  <c r="E232" i="15"/>
  <c r="C232" i="15"/>
  <c r="B232" i="15"/>
  <c r="E231" i="15"/>
  <c r="C231" i="15"/>
  <c r="B231" i="15"/>
  <c r="E230" i="15"/>
  <c r="C230" i="15"/>
  <c r="B230" i="15"/>
  <c r="E229" i="15"/>
  <c r="C229" i="15"/>
  <c r="B229" i="15"/>
  <c r="E228" i="15"/>
  <c r="C228" i="15"/>
  <c r="B228" i="15"/>
  <c r="E227" i="15"/>
  <c r="C227" i="15"/>
  <c r="B227" i="15"/>
  <c r="E226" i="15"/>
  <c r="C226" i="15"/>
  <c r="B226" i="15"/>
  <c r="E225" i="15"/>
  <c r="C225" i="15"/>
  <c r="B225" i="15"/>
  <c r="E224" i="15"/>
  <c r="C224" i="15"/>
  <c r="B224" i="15"/>
  <c r="E223" i="15"/>
  <c r="C223" i="15"/>
  <c r="B223" i="15"/>
  <c r="C222" i="15"/>
  <c r="B222" i="15"/>
  <c r="E221" i="15"/>
  <c r="C221" i="15"/>
  <c r="B221" i="15"/>
  <c r="E220" i="15"/>
  <c r="C220" i="15"/>
  <c r="B220" i="15"/>
  <c r="E219" i="15"/>
  <c r="C219" i="15"/>
  <c r="B219" i="15"/>
  <c r="C218" i="15"/>
  <c r="B218" i="15"/>
  <c r="E217" i="15"/>
  <c r="C217" i="15"/>
  <c r="B217" i="15"/>
  <c r="E216" i="15"/>
  <c r="C216" i="15"/>
  <c r="B216" i="15"/>
  <c r="E215" i="15"/>
  <c r="C215" i="15"/>
  <c r="B215" i="15"/>
  <c r="E214" i="15"/>
  <c r="C214" i="15"/>
  <c r="B214" i="15"/>
  <c r="E213" i="15"/>
  <c r="C213" i="15"/>
  <c r="B213" i="15"/>
  <c r="C212" i="15"/>
  <c r="B212" i="15"/>
  <c r="E211" i="15"/>
  <c r="C211" i="15"/>
  <c r="B211" i="15"/>
  <c r="E210" i="15"/>
  <c r="C210" i="15"/>
  <c r="B210" i="15"/>
  <c r="E209" i="15"/>
  <c r="C209" i="15"/>
  <c r="B209" i="15"/>
  <c r="E208" i="15"/>
  <c r="C208" i="15"/>
  <c r="B208" i="15"/>
  <c r="E207" i="15"/>
  <c r="C207" i="15"/>
  <c r="B207" i="15"/>
  <c r="C206" i="15"/>
  <c r="B206" i="15"/>
  <c r="C205" i="15"/>
  <c r="B205" i="15"/>
  <c r="E204" i="15"/>
  <c r="C204" i="15"/>
  <c r="B204" i="15"/>
  <c r="C203" i="15"/>
  <c r="B203" i="15"/>
  <c r="E202" i="15"/>
  <c r="C202" i="15"/>
  <c r="B202" i="15"/>
  <c r="C201" i="15"/>
  <c r="B201" i="15"/>
  <c r="E200" i="15"/>
  <c r="C200" i="15"/>
  <c r="B200" i="15"/>
  <c r="C199" i="15"/>
  <c r="B199" i="15"/>
  <c r="E198" i="15"/>
  <c r="C198" i="15"/>
  <c r="B198" i="15"/>
  <c r="E197" i="15"/>
  <c r="C197" i="15"/>
  <c r="B197" i="15"/>
  <c r="C196" i="15"/>
  <c r="B196" i="15"/>
  <c r="E195" i="15"/>
  <c r="C195" i="15"/>
  <c r="B195" i="15"/>
  <c r="E194" i="15"/>
  <c r="C194" i="15"/>
  <c r="B194" i="15"/>
  <c r="E193" i="15"/>
  <c r="C193" i="15"/>
  <c r="B193" i="15"/>
  <c r="E192" i="15"/>
  <c r="C192" i="15"/>
  <c r="B192" i="15"/>
  <c r="E191" i="15"/>
  <c r="C191" i="15"/>
  <c r="B191" i="15"/>
  <c r="E190" i="15"/>
  <c r="C190" i="15"/>
  <c r="B190" i="15"/>
  <c r="E189" i="15"/>
  <c r="C189" i="15"/>
  <c r="B189" i="15"/>
  <c r="E188" i="15"/>
  <c r="C188" i="15"/>
  <c r="B188" i="15"/>
  <c r="E187" i="15"/>
  <c r="C187" i="15"/>
  <c r="B187" i="15"/>
  <c r="E186" i="15"/>
  <c r="C186" i="15"/>
  <c r="B186" i="15"/>
  <c r="E185" i="15"/>
  <c r="C185" i="15"/>
  <c r="B185" i="15"/>
  <c r="E184" i="15"/>
  <c r="C184" i="15"/>
  <c r="B184" i="15"/>
  <c r="E183" i="15"/>
  <c r="C183" i="15"/>
  <c r="B183" i="15"/>
  <c r="E182" i="15"/>
  <c r="C182" i="15"/>
  <c r="B182" i="15"/>
  <c r="E181" i="15"/>
  <c r="C181" i="15"/>
  <c r="B181" i="15"/>
  <c r="E180" i="15"/>
  <c r="C180" i="15"/>
  <c r="B180" i="15"/>
  <c r="E179" i="15"/>
  <c r="C179" i="15"/>
  <c r="B179" i="15"/>
  <c r="E178" i="15"/>
  <c r="C178" i="15"/>
  <c r="B178" i="15"/>
  <c r="E177" i="15"/>
  <c r="C177" i="15"/>
  <c r="B177" i="15"/>
  <c r="E176" i="15"/>
  <c r="C176" i="15"/>
  <c r="B176" i="15"/>
  <c r="E175" i="15"/>
  <c r="C175" i="15"/>
  <c r="B175" i="15"/>
  <c r="E174" i="15"/>
  <c r="C174" i="15"/>
  <c r="B174" i="15"/>
  <c r="E173" i="15"/>
  <c r="C173" i="15"/>
  <c r="B173" i="15"/>
  <c r="E172" i="15"/>
  <c r="C172" i="15"/>
  <c r="B172" i="15"/>
  <c r="E171" i="15"/>
  <c r="C171" i="15"/>
  <c r="B171" i="15"/>
  <c r="E170" i="15"/>
  <c r="C170" i="15"/>
  <c r="B170" i="15"/>
  <c r="E169" i="15"/>
  <c r="C169" i="15"/>
  <c r="B169" i="15"/>
  <c r="E168" i="15"/>
  <c r="C168" i="15"/>
  <c r="B168" i="15"/>
  <c r="E167" i="15"/>
  <c r="C167" i="15"/>
  <c r="B167" i="15"/>
  <c r="C166" i="15"/>
  <c r="B166" i="15"/>
  <c r="E165" i="15"/>
  <c r="C165" i="15"/>
  <c r="B165" i="15"/>
  <c r="E164" i="15"/>
  <c r="C164" i="15"/>
  <c r="B164" i="15"/>
  <c r="E163" i="15"/>
  <c r="C163" i="15"/>
  <c r="B163" i="15"/>
  <c r="E162" i="15"/>
  <c r="C162" i="15"/>
  <c r="B162" i="15"/>
  <c r="C161" i="15"/>
  <c r="B161" i="15"/>
  <c r="E160" i="15"/>
  <c r="C160" i="15"/>
  <c r="B160" i="15"/>
  <c r="E159" i="15"/>
  <c r="C159" i="15"/>
  <c r="B159" i="15"/>
  <c r="E158" i="15"/>
  <c r="C158" i="15"/>
  <c r="B158" i="15"/>
  <c r="E157" i="15"/>
  <c r="C157" i="15"/>
  <c r="B157" i="15"/>
  <c r="E156" i="15"/>
  <c r="C156" i="15"/>
  <c r="B156" i="15"/>
  <c r="E155" i="15"/>
  <c r="C155" i="15"/>
  <c r="B155" i="15"/>
  <c r="E154" i="15"/>
  <c r="C154" i="15"/>
  <c r="B154" i="15"/>
  <c r="E153" i="15"/>
  <c r="C153" i="15"/>
  <c r="B153" i="15"/>
  <c r="E152" i="15"/>
  <c r="C152" i="15"/>
  <c r="B152" i="15"/>
  <c r="E151" i="15"/>
  <c r="C151" i="15"/>
  <c r="B151" i="15"/>
  <c r="E150" i="15"/>
  <c r="C150" i="15"/>
  <c r="B150" i="15"/>
  <c r="E149" i="15"/>
  <c r="C149" i="15"/>
  <c r="B149" i="15"/>
  <c r="E148" i="15"/>
  <c r="C148" i="15"/>
  <c r="B148" i="15"/>
  <c r="E147" i="15"/>
  <c r="C147" i="15"/>
  <c r="B147" i="15"/>
  <c r="E146" i="15"/>
  <c r="C146" i="15"/>
  <c r="B146" i="15"/>
  <c r="E145" i="15"/>
  <c r="C145" i="15"/>
  <c r="B145" i="15"/>
  <c r="C144" i="15"/>
  <c r="B144" i="15"/>
  <c r="E143" i="15"/>
  <c r="C143" i="15"/>
  <c r="B143" i="15"/>
  <c r="C142" i="15"/>
  <c r="B142" i="15"/>
  <c r="E141" i="15"/>
  <c r="C141" i="15"/>
  <c r="B141" i="15"/>
  <c r="E140" i="15"/>
  <c r="C140" i="15"/>
  <c r="B140" i="15"/>
  <c r="E139" i="15"/>
  <c r="C139" i="15"/>
  <c r="B139" i="15"/>
  <c r="E138" i="15"/>
  <c r="C138" i="15"/>
  <c r="B138" i="15"/>
  <c r="E137" i="15"/>
  <c r="C137" i="15"/>
  <c r="B137" i="15"/>
  <c r="E136" i="15"/>
  <c r="C136" i="15"/>
  <c r="B136" i="15"/>
  <c r="E135" i="15"/>
  <c r="C135" i="15"/>
  <c r="B135" i="15"/>
  <c r="E134" i="15"/>
  <c r="C134" i="15"/>
  <c r="B134" i="15"/>
  <c r="E133" i="15"/>
  <c r="C133" i="15"/>
  <c r="B133" i="15"/>
  <c r="E132" i="15"/>
  <c r="C132" i="15"/>
  <c r="B132" i="15"/>
  <c r="E131" i="15"/>
  <c r="C131" i="15"/>
  <c r="B131" i="15"/>
  <c r="E130" i="15"/>
  <c r="C130" i="15"/>
  <c r="B130" i="15"/>
  <c r="E129" i="15"/>
  <c r="C129" i="15"/>
  <c r="B129" i="15"/>
  <c r="E128" i="15"/>
  <c r="C128" i="15"/>
  <c r="B128" i="15"/>
  <c r="E127" i="15"/>
  <c r="C127" i="15"/>
  <c r="B127" i="15"/>
  <c r="E126" i="15"/>
  <c r="C126" i="15"/>
  <c r="B126" i="15"/>
  <c r="E125" i="15"/>
  <c r="C125" i="15"/>
  <c r="B125" i="15"/>
  <c r="E124" i="15"/>
  <c r="C124" i="15"/>
  <c r="B124" i="15"/>
  <c r="E123" i="15"/>
  <c r="C123" i="15"/>
  <c r="B123" i="15"/>
  <c r="E122" i="15"/>
  <c r="C122" i="15"/>
  <c r="B122" i="15"/>
  <c r="E121" i="15"/>
  <c r="C121" i="15"/>
  <c r="B121" i="15"/>
  <c r="E120" i="15"/>
  <c r="C120" i="15"/>
  <c r="B120" i="15"/>
  <c r="E119" i="15"/>
  <c r="C119" i="15"/>
  <c r="B119" i="15"/>
  <c r="E118" i="15"/>
  <c r="C118" i="15"/>
  <c r="B118" i="15"/>
  <c r="E117" i="15"/>
  <c r="C117" i="15"/>
  <c r="B117" i="15"/>
  <c r="E116" i="15"/>
  <c r="C116" i="15"/>
  <c r="B116" i="15"/>
  <c r="E115" i="15"/>
  <c r="C115" i="15"/>
  <c r="B115" i="15"/>
  <c r="E114" i="15"/>
  <c r="C114" i="15"/>
  <c r="B114" i="15"/>
  <c r="C113" i="15"/>
  <c r="B113" i="15"/>
  <c r="E112" i="15"/>
  <c r="C112" i="15"/>
  <c r="B112" i="15"/>
  <c r="E111" i="15"/>
  <c r="C111" i="15"/>
  <c r="B111" i="15"/>
  <c r="E110" i="15"/>
  <c r="C110" i="15"/>
  <c r="B110" i="15"/>
  <c r="E109" i="15"/>
  <c r="C109" i="15"/>
  <c r="B109" i="15"/>
  <c r="E108" i="15"/>
  <c r="C108" i="15"/>
  <c r="B108" i="15"/>
  <c r="C107" i="15"/>
  <c r="B107" i="15"/>
  <c r="E106" i="15"/>
  <c r="C106" i="15"/>
  <c r="B106" i="15"/>
  <c r="E105" i="15"/>
  <c r="C105" i="15"/>
  <c r="B105" i="15"/>
  <c r="E104" i="15"/>
  <c r="C104" i="15"/>
  <c r="B104" i="15"/>
  <c r="E103" i="15"/>
  <c r="C103" i="15"/>
  <c r="B103" i="15"/>
  <c r="E102" i="15"/>
  <c r="C102" i="15"/>
  <c r="B102" i="15"/>
  <c r="E101" i="15"/>
  <c r="C101" i="15"/>
  <c r="B101" i="15"/>
  <c r="C100" i="15"/>
  <c r="B100" i="15"/>
  <c r="E99" i="15"/>
  <c r="C99" i="15"/>
  <c r="B99" i="15"/>
  <c r="E98" i="15"/>
  <c r="C98" i="15"/>
  <c r="B98" i="15"/>
  <c r="E97" i="15"/>
  <c r="C97" i="15"/>
  <c r="B97" i="15"/>
  <c r="E96" i="15"/>
  <c r="C96" i="15"/>
  <c r="B96" i="15"/>
  <c r="E95" i="15"/>
  <c r="C95" i="15"/>
  <c r="B95" i="15"/>
  <c r="E94" i="15"/>
  <c r="C94" i="15"/>
  <c r="B94" i="15"/>
  <c r="E93" i="15"/>
  <c r="C93" i="15"/>
  <c r="B93" i="15"/>
  <c r="E92" i="15"/>
  <c r="C92" i="15"/>
  <c r="B92" i="15"/>
  <c r="E91" i="15"/>
  <c r="C91" i="15"/>
  <c r="B91" i="15"/>
  <c r="E90" i="15"/>
  <c r="C90" i="15"/>
  <c r="B90" i="15"/>
  <c r="E89" i="15"/>
  <c r="C89" i="15"/>
  <c r="B89" i="15"/>
  <c r="C88" i="15"/>
  <c r="B88" i="15"/>
  <c r="E87" i="15"/>
  <c r="C87" i="15"/>
  <c r="B87" i="15"/>
  <c r="E86" i="15"/>
  <c r="C86" i="15"/>
  <c r="B86" i="15"/>
  <c r="E85" i="15"/>
  <c r="C85" i="15"/>
  <c r="B85" i="15"/>
  <c r="E84" i="15"/>
  <c r="C84" i="15"/>
  <c r="B84" i="15"/>
  <c r="E83" i="15"/>
  <c r="C83" i="15"/>
  <c r="B83" i="15"/>
  <c r="E82" i="15"/>
  <c r="C82" i="15"/>
  <c r="B82" i="15"/>
  <c r="E81" i="15"/>
  <c r="C81" i="15"/>
  <c r="B81" i="15"/>
  <c r="E80" i="15"/>
  <c r="C80" i="15"/>
  <c r="B80" i="15"/>
  <c r="E79" i="15"/>
  <c r="C79" i="15"/>
  <c r="B79" i="15"/>
  <c r="E78" i="15"/>
  <c r="C78" i="15"/>
  <c r="B78" i="15"/>
  <c r="C77" i="15"/>
  <c r="B77" i="15"/>
  <c r="E76" i="15"/>
  <c r="C76" i="15"/>
  <c r="B76" i="15"/>
  <c r="E75" i="15"/>
  <c r="C75" i="15"/>
  <c r="B75" i="15"/>
  <c r="E74" i="15"/>
  <c r="C74" i="15"/>
  <c r="B74" i="15"/>
  <c r="E73" i="15"/>
  <c r="C73" i="15"/>
  <c r="B73" i="15"/>
  <c r="C72" i="15"/>
  <c r="B72" i="15"/>
  <c r="C71" i="15"/>
  <c r="B71" i="15"/>
  <c r="C70" i="15"/>
  <c r="B70" i="15"/>
  <c r="C69" i="15"/>
  <c r="B69" i="15"/>
  <c r="E68" i="15"/>
  <c r="C68" i="15"/>
  <c r="B68" i="15"/>
  <c r="E67" i="15"/>
  <c r="C67" i="15"/>
  <c r="B67" i="15"/>
  <c r="E66" i="15"/>
  <c r="C66" i="15"/>
  <c r="B66" i="15"/>
  <c r="E65" i="15"/>
  <c r="C65" i="15"/>
  <c r="B65" i="15"/>
  <c r="C64" i="15"/>
  <c r="B64" i="15"/>
  <c r="E63" i="15"/>
  <c r="C63" i="15"/>
  <c r="B63" i="15"/>
  <c r="E62" i="15"/>
  <c r="C62" i="15"/>
  <c r="B62" i="15"/>
  <c r="E61" i="15"/>
  <c r="C61" i="15"/>
  <c r="B61" i="15"/>
  <c r="E60" i="15"/>
  <c r="C60" i="15"/>
  <c r="B60" i="15"/>
  <c r="C59" i="15"/>
  <c r="B59" i="15"/>
  <c r="E58" i="15"/>
  <c r="C58" i="15"/>
  <c r="B58" i="15"/>
  <c r="E57" i="15"/>
  <c r="C57" i="15"/>
  <c r="B57" i="15"/>
  <c r="E56" i="15"/>
  <c r="C56" i="15"/>
  <c r="B56" i="15"/>
  <c r="C55" i="15"/>
  <c r="B55" i="15"/>
  <c r="E54" i="15"/>
  <c r="C54" i="15"/>
  <c r="B54" i="15"/>
  <c r="C53" i="15"/>
  <c r="B53" i="15"/>
  <c r="C52" i="15"/>
  <c r="B52" i="15"/>
  <c r="E51" i="15"/>
  <c r="C51" i="15"/>
  <c r="B51" i="15"/>
  <c r="E50" i="15"/>
  <c r="C50" i="15"/>
  <c r="B50" i="15"/>
  <c r="E49" i="15"/>
  <c r="C49" i="15"/>
  <c r="B49" i="15"/>
  <c r="E48" i="15"/>
  <c r="C48" i="15"/>
  <c r="B48" i="15"/>
  <c r="E47" i="15"/>
  <c r="C47" i="15"/>
  <c r="B47" i="15"/>
  <c r="E46" i="15"/>
  <c r="C46" i="15"/>
  <c r="B46" i="15"/>
  <c r="E45" i="15"/>
  <c r="C45" i="15"/>
  <c r="B45" i="15"/>
  <c r="E44" i="15"/>
  <c r="C44" i="15"/>
  <c r="B44" i="15"/>
  <c r="E43" i="15"/>
  <c r="C43" i="15"/>
  <c r="B43" i="15"/>
  <c r="E42" i="15"/>
  <c r="C42" i="15"/>
  <c r="B42" i="15"/>
  <c r="C41" i="15"/>
  <c r="B41" i="15"/>
  <c r="E40" i="15"/>
  <c r="C40" i="15"/>
  <c r="B40" i="15"/>
  <c r="E39" i="15"/>
  <c r="C39" i="15"/>
  <c r="B39" i="15"/>
  <c r="E38" i="15"/>
  <c r="C38" i="15"/>
  <c r="B38" i="15"/>
  <c r="E37" i="15"/>
  <c r="C37" i="15"/>
  <c r="B37" i="15"/>
  <c r="E36" i="15"/>
  <c r="C36" i="15"/>
  <c r="B36" i="15"/>
  <c r="E35" i="15"/>
  <c r="C35" i="15"/>
  <c r="B35" i="15"/>
  <c r="E34" i="15"/>
  <c r="C34" i="15"/>
  <c r="B34" i="15"/>
  <c r="E33" i="15"/>
  <c r="C33" i="15"/>
  <c r="B33" i="15"/>
  <c r="E32" i="15"/>
  <c r="C32" i="15"/>
  <c r="B32" i="15"/>
  <c r="C31" i="15"/>
  <c r="B31" i="15"/>
  <c r="E30" i="15"/>
  <c r="C30" i="15"/>
  <c r="B30" i="15"/>
  <c r="E29" i="15"/>
  <c r="C29" i="15"/>
  <c r="B29" i="15"/>
  <c r="E28" i="15"/>
  <c r="C28" i="15"/>
  <c r="B28" i="15"/>
  <c r="C27" i="15"/>
  <c r="B27" i="15"/>
  <c r="E26" i="15"/>
  <c r="C26" i="15"/>
  <c r="B26" i="15"/>
  <c r="E25" i="15"/>
  <c r="C25" i="15"/>
  <c r="B25" i="15"/>
  <c r="C24" i="15"/>
  <c r="B24" i="15"/>
  <c r="E23" i="15"/>
  <c r="C23" i="15"/>
  <c r="B23" i="15"/>
  <c r="E22" i="15"/>
  <c r="C22" i="15"/>
  <c r="B22" i="15"/>
  <c r="E21" i="15"/>
  <c r="C21" i="15"/>
  <c r="B21" i="15"/>
  <c r="E20" i="15"/>
  <c r="C20" i="15"/>
  <c r="B20" i="15"/>
  <c r="E19" i="15"/>
  <c r="C19" i="15"/>
  <c r="B19" i="15"/>
  <c r="E18" i="15"/>
  <c r="C18" i="15"/>
  <c r="B18" i="15"/>
  <c r="E17" i="15"/>
  <c r="C17" i="15"/>
  <c r="B17" i="15"/>
  <c r="E16" i="15"/>
  <c r="C16" i="15"/>
  <c r="B16" i="15"/>
  <c r="E15" i="15"/>
  <c r="C15" i="15"/>
  <c r="B15" i="15"/>
  <c r="E14" i="15"/>
  <c r="C14" i="15"/>
  <c r="B14" i="15"/>
  <c r="E13" i="15"/>
  <c r="C13" i="15"/>
  <c r="B13" i="15"/>
  <c r="E12" i="15"/>
  <c r="C12" i="15"/>
  <c r="B12" i="15"/>
  <c r="E11" i="15"/>
  <c r="C11" i="15"/>
  <c r="B11" i="15"/>
  <c r="E10" i="15"/>
  <c r="C10" i="15"/>
  <c r="B10" i="15"/>
  <c r="C9" i="15"/>
  <c r="B9" i="15"/>
  <c r="E8" i="15"/>
  <c r="C8" i="15"/>
  <c r="B8" i="15"/>
  <c r="C7" i="15"/>
  <c r="B7" i="15"/>
  <c r="E6" i="15"/>
  <c r="C6" i="15"/>
  <c r="B6" i="15"/>
  <c r="E5" i="15"/>
  <c r="C5" i="15"/>
  <c r="B5" i="15"/>
  <c r="E4" i="15"/>
  <c r="C4" i="15"/>
  <c r="B4" i="15"/>
  <c r="E3" i="15"/>
  <c r="C3" i="15"/>
  <c r="B3" i="15"/>
  <c r="E2" i="15"/>
  <c r="C2" i="15"/>
  <c r="B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tc={2ffd3652-4f64-4bde-8be0-712f557072cc}</author>
    <author>tc={9fa8b0e5-17f1-4b21-88d9-ef4e0cbf11fe}</author>
    <author>tc={4ea60f6d-1967-4dc7-9679-33d1ffaf80e7}</author>
    <author>tc={69f0c3ce-d9b7-4ec1-88d1-b05a6c98caf6}</author>
    <author>tc={4fc40266-37b7-426e-b0d8-de75c8a12327}</author>
    <author>tc={9829c94b-5cf3-4112-bd3e-1c21d3307563}</author>
  </authors>
  <commentList>
    <comment ref="A1" authorId="0" shapeId="0" xr:uid="{2FFD3652-4F64-4BDE-8BE0-712F557072CC}">
      <text>
        <t>[Threaded comment]
Your version of Excel allows you to read this threaded comment; however, any edits to it will get removed if the file is opened in a newer version of Excel. Learn more: https://go.microsoft.com/fwlink/?linkid=870924
Comment:
    Shop by Season
Reply:
    Shop by collection isn't in the tabs? Is this still planned? 
Overlap with lookbooks</t>
      </text>
    </comment>
    <comment ref="F4" authorId="1" shapeId="0" xr:uid="{9FA8B0E5-17F1-4B21-88D9-EF4E0CBF11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Collections to go into the Product menu"</t>
      </text>
    </comment>
    <comment ref="C5" authorId="2" shapeId="0" xr:uid="{4EA60F6D-1967-4DC7-9679-33D1FFAF80E7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these top tabs are non-clickable, do we need a "view all" under each of them?
Reply:
    Featured Needs a new name</t>
      </text>
    </comment>
    <comment ref="D5" authorId="3" shapeId="0" xr:uid="{69F0C3CE-D9B7-4EC1-88D1-B05A6C98CAF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Shop by Type</t>
      </text>
    </comment>
    <comment ref="E6" authorId="4" shapeId="0" xr:uid="{4FC40266-37B7-426E-B0D8-DE75C8A123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Active</t>
      </text>
    </comment>
    <comment ref="N8" authorId="5" shapeId="0" xr:uid="{9829C94B-5CF3-4112-BD3E-1C21D3307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Potentially another name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tc={2de4efa0-9f4a-4e26-880e-04e99c746eab}</author>
    <author>tc={7fbd70fe-09d9-4738-b90e-dfbbb2af9fb1}</author>
    <author>tc={dde75e3d-a937-471d-b972-8ddc2702ded7}</author>
    <author>tc={5c696ca6-d937-4a8d-b969-ca127c7bdadc}</author>
  </authors>
  <commentList>
    <comment ref="G7" authorId="0" shapeId="0" xr:uid="{2DE4EFA0-9F4A-4E26-880E-04E99C746EA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caps have panels. The differentiator is 5-panel caps or 6-panel caps.</t>
      </text>
    </comment>
    <comment ref="G10" authorId="1" shapeId="0" xr:uid="{7FBD70FE-09D9-4738-B90E-DFBBB2AF9FB1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different from baseball caps? I would imagine there's a lot of volume for baseball caps</t>
      </text>
    </comment>
    <comment ref="I14" authorId="2" shapeId="0" xr:uid="{DDE75E3D-A937-471D-B972-8DDC2702DED7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Bobble Hat be better?</t>
      </text>
    </comment>
    <comment ref="I19" authorId="3" shapeId="0" xr:uid="{5C696CA6-D937-4A8D-B969-CA127C7BDAD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SV for this page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tc={7470d315-cb06-4a0b-90cb-e4db2d2400ac}</author>
    <author>tc={b4433417-6111-41a3-86ae-e983032c330f}</author>
  </authors>
  <commentList>
    <comment ref="B6" authorId="0" shapeId="0" xr:uid="{7470D315-CB06-4A0B-90CB-E4DB2D2400AC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Active?</t>
      </text>
    </comment>
    <comment ref="D12" authorId="1" shapeId="0" xr:uid="{B4433417-6111-41A3-86AE-E983032C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doesn't feel right to me.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tc={60e3edd7-128e-44e3-b043-30e6e976dde2}</author>
  </authors>
  <commentList>
    <comment ref="E9" authorId="0" shapeId="0" xr:uid="{60E3EDD7-128E-44E3-B043-30E6E976DDE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about this.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tc={9450de45-2ee8-4865-b8ea-760c5a20f4be}</author>
  </authors>
  <commentList>
    <comment ref="B29" authorId="0" shapeId="0" xr:uid="{9450DE45-2EE8-4865-B8EA-760C5A20F4BE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don't think we want a specific one on Cap Colours. Let's stick to the all colours in the main nav.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tc={ed76dbd7-0a8f-4475-b990-482cf7c4f236}</author>
    <author>tc={859704a5-7c75-4f21-9877-614a1d95b663}</author>
  </authors>
  <commentList>
    <comment ref="G7" authorId="0" shapeId="0" xr:uid="{ED76DBD7-0A8F-4475-B990-482CF7C4F236}">
      <text>
        <t>[Threaded comment]
Your version of Excel allows you to read this threaded comment; however, any edits to it will get removed if the file is opened in a newer version of Excel. Learn more: https://go.microsoft.com/fwlink/?linkid=870924
Comment:
    Long-Form guides coming off this.</t>
      </text>
    </comment>
    <comment ref="G8" authorId="1" shapeId="0" xr:uid="{859704A5-7C75-4F21-9877-614A1D95B663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Media Hub with copy explaining you can find Placement Templates, Campaign Assets, Product Assets, Printability Notes here.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tc={3efe2982-e0df-407b-bed9-eca21a66fc01}</author>
  </authors>
  <commentList>
    <comment ref="G7" authorId="0" shapeId="0" xr:uid="{3EFE2982-E0DF-407B-BED9-ECA21A66FC0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information on 1% of the planet</t>
      </text>
    </comment>
  </commentList>
</comments>
</file>

<file path=xl/sharedStrings.xml><?xml version="1.0" encoding="utf-8"?>
<sst xmlns="http://schemas.openxmlformats.org/spreadsheetml/2006/main" count="1974" uniqueCount="1659">
  <si>
    <t>Product</t>
  </si>
  <si>
    <t>Cap Studio</t>
  </si>
  <si>
    <t>Lookbooks</t>
  </si>
  <si>
    <t>Decorator Academy</t>
  </si>
  <si>
    <t>Where to Buy</t>
  </si>
  <si>
    <t>About</t>
  </si>
  <si>
    <t>My Account</t>
  </si>
  <si>
    <r>
      <rPr>
        <b/>
        <sz val="10"/>
        <color theme="1"/>
        <rFont val="DM Sans"/>
      </rPr>
      <t xml:space="preserve">Best Sellers </t>
    </r>
    <r>
      <rPr>
        <sz val="10"/>
        <color theme="1"/>
        <rFont val="DM Sans"/>
      </rPr>
      <t>- non-clickable</t>
    </r>
  </si>
  <si>
    <r>
      <rPr>
        <b/>
        <sz val="10"/>
        <color theme="1"/>
        <rFont val="DM Sans"/>
      </rPr>
      <t xml:space="preserve">Seasonal edits </t>
    </r>
    <r>
      <rPr>
        <sz val="10"/>
        <color theme="1"/>
        <rFont val="DM Sans"/>
      </rPr>
      <t>- non-clickable</t>
    </r>
  </si>
  <si>
    <r>
      <rPr>
        <b/>
        <sz val="10"/>
        <color theme="1"/>
        <rFont val="DM Sans"/>
      </rPr>
      <t xml:space="preserve">Type </t>
    </r>
    <r>
      <rPr>
        <sz val="10"/>
        <color theme="1"/>
        <rFont val="DM Sans"/>
      </rPr>
      <t>- non-clickable</t>
    </r>
  </si>
  <si>
    <r>
      <rPr>
        <b/>
        <sz val="10"/>
        <color rgb="FF000000"/>
        <rFont val="DM Sans"/>
      </rPr>
      <t xml:space="preserve">Purpose </t>
    </r>
    <r>
      <rPr>
        <sz val="10"/>
        <color rgb="FF000000"/>
        <rFont val="DM Sans"/>
      </rPr>
      <t>- non-clickable</t>
    </r>
  </si>
  <si>
    <r>
      <rPr>
        <b/>
        <sz val="10"/>
        <color theme="1"/>
        <rFont val="DM Sans"/>
      </rPr>
      <t xml:space="preserve">Collections </t>
    </r>
    <r>
      <rPr>
        <sz val="10"/>
        <color theme="1"/>
        <rFont val="DM Sans"/>
      </rPr>
      <t>- non-clickable</t>
    </r>
  </si>
  <si>
    <r>
      <rPr>
        <b/>
        <sz val="10"/>
        <color theme="1"/>
        <rFont val="DM Sans"/>
      </rPr>
      <t xml:space="preserve">Lookbooks </t>
    </r>
    <r>
      <rPr>
        <sz val="10"/>
        <color theme="1"/>
        <rFont val="DM Sans"/>
      </rPr>
      <t>- /lookbooks</t>
    </r>
  </si>
  <si>
    <r>
      <rPr>
        <b/>
        <sz val="10"/>
        <color theme="1"/>
        <rFont val="DM Sans"/>
      </rPr>
      <t xml:space="preserve">Where to Buy </t>
    </r>
    <r>
      <rPr>
        <sz val="10"/>
        <color theme="1"/>
        <rFont val="DM Sans"/>
      </rPr>
      <t>- non-clickable</t>
    </r>
  </si>
  <si>
    <t>B45 - Original Deep Cuffed Beanie</t>
  </si>
  <si>
    <t>New Season</t>
  </si>
  <si>
    <t>Caps</t>
  </si>
  <si>
    <t>Outdoors &amp; Activewear</t>
  </si>
  <si>
    <t>Embroidery</t>
  </si>
  <si>
    <t>Originals</t>
  </si>
  <si>
    <t>Baseball</t>
  </si>
  <si>
    <t>Beechfield® SS Lookbook 26</t>
  </si>
  <si>
    <t>How to Buy</t>
  </si>
  <si>
    <t>B655 - Low Profile Vintage Cap</t>
  </si>
  <si>
    <t>Coming Soon</t>
  </si>
  <si>
    <t>Beanies</t>
  </si>
  <si>
    <t>Sports</t>
  </si>
  <si>
    <t>Patches</t>
  </si>
  <si>
    <t>Morf</t>
  </si>
  <si>
    <t>Trucker</t>
  </si>
  <si>
    <t>Beechfield® AW Lookbook 25/26</t>
  </si>
  <si>
    <t>Find a Distributor</t>
  </si>
  <si>
    <t>B15 - Ultimate 5 Panel Cap</t>
  </si>
  <si>
    <t>Trending</t>
  </si>
  <si>
    <t>Hats</t>
  </si>
  <si>
    <t>Promotion</t>
  </si>
  <si>
    <t>Transfer</t>
  </si>
  <si>
    <t>Snowstar</t>
  </si>
  <si>
    <t>Dad Hat</t>
  </si>
  <si>
    <t>Beechfield® Mid-Year Headwear Lookbook 25</t>
  </si>
  <si>
    <t>Inventory Finder</t>
  </si>
  <si>
    <t>B445 - Original Patch Beanie</t>
  </si>
  <si>
    <t>Lower impact</t>
  </si>
  <si>
    <t>Neckwear</t>
  </si>
  <si>
    <t>Fashion</t>
  </si>
  <si>
    <t>Screen Print</t>
  </si>
  <si>
    <t>Suprafleece</t>
  </si>
  <si>
    <t>Flat Peak</t>
  </si>
  <si>
    <t>Colours</t>
  </si>
  <si>
    <t>B640 - Snapback Trucker</t>
  </si>
  <si>
    <t>Accessories</t>
  </si>
  <si>
    <t>Kids</t>
  </si>
  <si>
    <t>DTG</t>
  </si>
  <si>
    <t>EarthAware</t>
  </si>
  <si>
    <t>Army</t>
  </si>
  <si>
    <t>Glossary</t>
  </si>
  <si>
    <t>Workwear</t>
  </si>
  <si>
    <t>Sublimation</t>
  </si>
  <si>
    <t>Vintage</t>
  </si>
  <si>
    <t>Camper</t>
  </si>
  <si>
    <t>FAQs</t>
  </si>
  <si>
    <t>Gifting</t>
  </si>
  <si>
    <t>Deboss/Foil Laser</t>
  </si>
  <si>
    <t>Urbanwear</t>
  </si>
  <si>
    <t>Visor</t>
  </si>
  <si>
    <t>Flat Cap</t>
  </si>
  <si>
    <t>Marketing Centre</t>
  </si>
  <si>
    <t>Designed for decoration</t>
  </si>
  <si>
    <t>Techniques (non clickable)</t>
  </si>
  <si>
    <t>Marketing Centre (editorial landing)</t>
  </si>
  <si>
    <t>About Beechfield</t>
  </si>
  <si>
    <t>How-to videos</t>
  </si>
  <si>
    <t>Sign up (not logged in)</t>
  </si>
  <si>
    <t>Materials &amp; fabrics</t>
  </si>
  <si>
    <t>Decorator Studio (external tool)</t>
  </si>
  <si>
    <t>Print &amp; transfer</t>
  </si>
  <si>
    <t>Login (not logged in)</t>
  </si>
  <si>
    <t>Quality &amp; compliance</t>
  </si>
  <si>
    <t>Case Studies</t>
  </si>
  <si>
    <t>Media Hub (library home)</t>
  </si>
  <si>
    <t>Responsible choices (Sustainability)</t>
  </si>
  <si>
    <t>Product photography &amp; video</t>
  </si>
  <si>
    <t>Stock &amp; service promise</t>
  </si>
  <si>
    <t>Product documents (data sheets)</t>
  </si>
  <si>
    <t>Events</t>
  </si>
  <si>
    <t>Campaign toolkits</t>
  </si>
  <si>
    <t>Press</t>
  </si>
  <si>
    <t>Templates &amp; guidelines</t>
  </si>
  <si>
    <t>Lookbooks &amp; Brochures</t>
  </si>
  <si>
    <t>Contact</t>
  </si>
  <si>
    <t>Footer</t>
  </si>
  <si>
    <t>Cap Studio overview</t>
  </si>
  <si>
    <t>Signature shapes (non clickable)</t>
  </si>
  <si>
    <t>Guides (clickable)</t>
  </si>
  <si>
    <t>Find your perfect cap (tool)</t>
  </si>
  <si>
    <t>Anatomy of a cap</t>
  </si>
  <si>
    <t>Shapes guide</t>
  </si>
  <si>
    <t>Branding &amp; decoration</t>
  </si>
  <si>
    <t>Materials &amp; responsible choices</t>
  </si>
  <si>
    <t>Products</t>
  </si>
  <si>
    <t>For decorators</t>
  </si>
  <si>
    <t>Support</t>
  </si>
  <si>
    <t>All products</t>
  </si>
  <si>
    <t>Marketing Centre (login)</t>
  </si>
  <si>
    <t>Where to buy</t>
  </si>
  <si>
    <t>Decorator Studio</t>
  </si>
  <si>
    <t>Sign up</t>
  </si>
  <si>
    <t>Materials &amp; fabrics (hub)</t>
  </si>
  <si>
    <t>Asset library (login)</t>
  </si>
  <si>
    <t>In the wild</t>
  </si>
  <si>
    <t>Product documents (login)</t>
  </si>
  <si>
    <t>Responsible choices</t>
  </si>
  <si>
    <t>Campaign toolkits (login)</t>
  </si>
  <si>
    <t>Templates &amp; guidelines (login)</t>
  </si>
  <si>
    <t>Footer bottom bar (not in the table): Privacy / Cookies / Terms / Accessibility / Modern Slavery.</t>
  </si>
  <si>
    <t>Footer company block (not in the table): logo + address + company/VAT + © line + optional “part of Beechfield Brands” link.</t>
  </si>
  <si>
    <t>Featured Products</t>
  </si>
  <si>
    <t>Parent</t>
  </si>
  <si>
    <t>Anchor Text</t>
  </si>
  <si>
    <t>Proposed URL</t>
  </si>
  <si>
    <t>Top Keyword</t>
  </si>
  <si>
    <t>SV</t>
  </si>
  <si>
    <t>/new-products</t>
  </si>
  <si>
    <t>-</t>
  </si>
  <si>
    <t>/trending</t>
  </si>
  <si>
    <t>Type</t>
  </si>
  <si>
    <t>Subcategories</t>
  </si>
  <si>
    <t>/caps</t>
  </si>
  <si>
    <t>blank caps</t>
  </si>
  <si>
    <t>Baseball Cap</t>
  </si>
  <si>
    <t>/beanies</t>
  </si>
  <si>
    <t>blank beanies</t>
  </si>
  <si>
    <t>Beanie</t>
  </si>
  <si>
    <t>Pom Beanie</t>
  </si>
  <si>
    <t>Fisherman Beanie</t>
  </si>
  <si>
    <t>Ski Hat</t>
  </si>
  <si>
    <t>Slouch Beanie</t>
  </si>
  <si>
    <t>Patch Beanie</t>
  </si>
  <si>
    <t>Patch Pom Beanie</t>
  </si>
  <si>
    <t>/accessories</t>
  </si>
  <si>
    <t>Headband</t>
  </si>
  <si>
    <t>Gloves</t>
  </si>
  <si>
    <t>Hand Warmer</t>
  </si>
  <si>
    <t>Gift Sets</t>
  </si>
  <si>
    <t>/hats</t>
  </si>
  <si>
    <t>wholesale hats</t>
  </si>
  <si>
    <t>Bucket Hat</t>
  </si>
  <si>
    <t>Safari</t>
  </si>
  <si>
    <t>Trilby</t>
  </si>
  <si>
    <t>Straw</t>
  </si>
  <si>
    <t>Balaclava</t>
  </si>
  <si>
    <t>Neck Warmer</t>
  </si>
  <si>
    <t>Scarf</t>
  </si>
  <si>
    <t>SEO landing pages (non-Type): Check search volume (SV). Only create pages where sufficient SV exists. If SV is low, keep as filters/attributes instead.</t>
  </si>
  <si>
    <t>5-panel caps</t>
  </si>
  <si>
    <t>6-panel caps</t>
  </si>
  <si>
    <t>structured caps</t>
  </si>
  <si>
    <t>unstructured caps</t>
  </si>
  <si>
    <t>low-profile caps</t>
  </si>
  <si>
    <t>mid-profile caps</t>
  </si>
  <si>
    <t>high-profile caps</t>
  </si>
  <si>
    <t>snapback caps</t>
  </si>
  <si>
    <t>strapback caps</t>
  </si>
  <si>
    <t>buckle caps</t>
  </si>
  <si>
    <t>Velcro caps</t>
  </si>
  <si>
    <t>caps for embroidery</t>
  </si>
  <si>
    <t>caps for printing</t>
  </si>
  <si>
    <t>patch-ready caps</t>
  </si>
  <si>
    <t>recycled caps</t>
  </si>
  <si>
    <t>organic cotton caps</t>
  </si>
  <si>
    <t>workwear caps</t>
  </si>
  <si>
    <t>sports caps</t>
  </si>
  <si>
    <t>outdoor caps</t>
  </si>
  <si>
    <t>winter beanies</t>
  </si>
  <si>
    <t>sun hats</t>
  </si>
  <si>
    <t>Purpose</t>
  </si>
  <si>
    <t>Outdoors</t>
  </si>
  <si>
    <t>/outdoors</t>
  </si>
  <si>
    <t>outdoor cap wholesale</t>
  </si>
  <si>
    <t>0-10</t>
  </si>
  <si>
    <t>/sports</t>
  </si>
  <si>
    <t>wholesale sports hats</t>
  </si>
  <si>
    <t>/promotion</t>
  </si>
  <si>
    <t>event hats</t>
  </si>
  <si>
    <t>/fashion</t>
  </si>
  <si>
    <t>fashion caps</t>
  </si>
  <si>
    <t>/kids</t>
  </si>
  <si>
    <t>wholesale kids hats</t>
  </si>
  <si>
    <t>/workwear</t>
  </si>
  <si>
    <t>custom work hats</t>
  </si>
  <si>
    <t>/gifting</t>
  </si>
  <si>
    <t>hat gifts</t>
  </si>
  <si>
    <t>Colour</t>
  </si>
  <si>
    <t>Black Hats</t>
  </si>
  <si>
    <t>/black</t>
  </si>
  <si>
    <t>blank black hat</t>
  </si>
  <si>
    <t>Navy Hats</t>
  </si>
  <si>
    <t>/navy</t>
  </si>
  <si>
    <t>custom navy hat</t>
  </si>
  <si>
    <t>Grey Hats</t>
  </si>
  <si>
    <t>/grey</t>
  </si>
  <si>
    <t>blank grey hat</t>
  </si>
  <si>
    <t>Red Hats</t>
  </si>
  <si>
    <t>/red</t>
  </si>
  <si>
    <t>blank red hat</t>
  </si>
  <si>
    <t>White Hats</t>
  </si>
  <si>
    <t>/white</t>
  </si>
  <si>
    <t>blank white hat</t>
  </si>
  <si>
    <t>Green Hats</t>
  </si>
  <si>
    <t>/green</t>
  </si>
  <si>
    <t>custom green hat</t>
  </si>
  <si>
    <t>Blue Hats</t>
  </si>
  <si>
    <t>/blue</t>
  </si>
  <si>
    <t>blank blue hat</t>
  </si>
  <si>
    <t>Pink Hats</t>
  </si>
  <si>
    <t>/pink</t>
  </si>
  <si>
    <t>custom pink hats</t>
  </si>
  <si>
    <t>Orange Hats</t>
  </si>
  <si>
    <t>/orange</t>
  </si>
  <si>
    <t>blank orange hat</t>
  </si>
  <si>
    <t>Decoration</t>
  </si>
  <si>
    <t>/embroidery</t>
  </si>
  <si>
    <t>hats for embroidery</t>
  </si>
  <si>
    <t>/patches</t>
  </si>
  <si>
    <t>hats for patches</t>
  </si>
  <si>
    <t>/transfer</t>
  </si>
  <si>
    <t>heat transfer caps</t>
  </si>
  <si>
    <t>/screen-print</t>
  </si>
  <si>
    <t>blank hats for printing</t>
  </si>
  <si>
    <t>/dtg</t>
  </si>
  <si>
    <t>/sublimation</t>
  </si>
  <si>
    <t>caps for sublimation</t>
  </si>
  <si>
    <t>/deboss-foil-laser</t>
  </si>
  <si>
    <t>Page name</t>
  </si>
  <si>
    <t>URL</t>
  </si>
  <si>
    <t>What’s on that page (content)</t>
  </si>
  <si>
    <t>/cap-studio/</t>
  </si>
  <si>
    <t>Intro to Beechfield cap expertise; what Cap Studio is; why our caps are built for decoration and repeat wear; proof points (range depth, quality, compliance/responsible choices); clear CTAs into Tool + Guides.</t>
  </si>
  <si>
    <t>Find your perfect cap</t>
  </si>
  <si>
    <t>/cap-studio/find-your-perfect-cap/</t>
  </si>
  <si>
    <t>Interactive selector (or guided filter journey) that routes users to the right caps; starts from a few simple choices (use case, profile, structure, decoration method) and outputs recommended product lists with “why this fits”.</t>
  </si>
  <si>
    <t>Guides (hub)</t>
  </si>
  <si>
    <t>/cap-studio/guides/</t>
  </si>
  <si>
    <t>A clean index of the key guides (not a long list); short summaries; links into the 3–4 guides; optional “popular shortcuts” block (e.g. 5-panel, structured, snapback) if SV supports.</t>
  </si>
  <si>
    <t>/cap-studio/guides/anatomy-of-a-cap/</t>
  </si>
  <si>
    <t>Glossary + explainer (simple, visual, plain English): panels, profile, crown, structure, visor/peak types, seams; includes a small closures section (as part of anatomy, not a shopping route); links out to Shapes + relevant filtered PLPs.</t>
  </si>
  <si>
    <t>/cap-studio/guides/shapes/</t>
  </si>
  <si>
    <t>The “main” guide: explains shape families (baseball, trucker, camper, flat peak, dad hat etc.) and how to choose; each shape section includes “what it is”, “who it’s for”, “decoration notes”, and a curated “shop this shape” link to the corresponding Type/filtered PLP.</t>
  </si>
  <si>
    <t>Branding &amp; decoration guide</t>
  </si>
  <si>
    <t>/cap-studio/guides/branding-and-decoration/</t>
  </si>
  <si>
    <t>The decorator-first guide: best options by method (embroidery/print/patch), front panel considerations, structured vs unstructured implications, what holds up over time, practical tips; routes into relevant product lists (e.g. “best for embroidery”).</t>
  </si>
  <si>
    <t>Materials &amp; responsible choices (optional)</t>
  </si>
  <si>
    <t>/cap-studio/guides/materials-and-responsible-choices/</t>
  </si>
  <si>
    <t>Clean explanation of materials (base fibres) vs attributes (recycled/organic); where longevity comes from (construction + material + spec); links to “recycled caps” / “organic cotton caps” only if SV supports, otherwise keeps as filters.</t>
  </si>
  <si>
    <t>Lookbooks/Collections</t>
  </si>
  <si>
    <t>Subcategory Lookbooks</t>
  </si>
  <si>
    <t>Subcategories - Visual Collections</t>
  </si>
  <si>
    <t>Current URL</t>
  </si>
  <si>
    <t>/lookbooks</t>
  </si>
  <si>
    <t>NEW</t>
  </si>
  <si>
    <t>/lookbooks/ss26</t>
  </si>
  <si>
    <t>/beechfieldr-aw-lookbook-2526</t>
  </si>
  <si>
    <t>/lookbooks/aw25-26</t>
  </si>
  <si>
    <t>/beechfieldr-mid-year-headwear-lookbook-25</t>
  </si>
  <si>
    <t>/lookbooks/mid-year-headwear-25</t>
  </si>
  <si>
    <t>Section</t>
  </si>
  <si>
    <t>What’s on the page</t>
  </si>
  <si>
    <t>Decorator Academy (landing)</t>
  </si>
  <si>
    <t>/decorator-academy/</t>
  </si>
  <si>
    <t>Editorial landing explaining “Designed for decoration”; entry points to Techniques, Videos, Decorator Studio, In the wild, Glossary.</t>
  </si>
  <si>
    <t>/decorator-academy/designed-for-decoration/</t>
  </si>
  <si>
    <t>Your philosophy + proof: what it means, what you design for, what you test, what details matter (plain English), innovation stories; links to cap-specific Cap Studio pages and technique pages.</t>
  </si>
  <si>
    <t>Techniques (hub)</t>
  </si>
  <si>
    <t>/decorator-academy/techniques/</t>
  </si>
  <si>
    <t>Overview of the three core techniques; why each matters; featured videos; “common questions” modules; routes to Embroidery / Patches / Transfer.</t>
  </si>
  <si>
    <t>/decorator-academy/techniques/embroidery/</t>
  </si>
  <si>
    <t>Decorator Academy &gt; Techniques</t>
  </si>
  <si>
    <t>Guidance + examples: best product characteristics, placements, artwork notes, common pitfalls, featured how-to videos, “best for embroidery” curated module linking to filtered product lists; links to templates/tooling where relevant.</t>
  </si>
  <si>
    <t>/decorator-academy/techniques/patches/</t>
  </si>
  <si>
    <t>Guidance + examples: patch types, what to choose, placement, durability, featured videos; highlights specialist patch-ready products (beanies/caps) as a curated module; includes “tools we offer” (e.g. silicone templates) with links into Marketing Centre (login).</t>
  </si>
  <si>
    <t>/decorator-academy/techniques/transfer/</t>
  </si>
  <si>
    <t>Transfer suitability guidance (heat considerations, fabrics, placements), featured videos, curated “best for transfer” module; short “other methods when relevant” section (screen print/DTG/sublimation covered briefly without promising full coverage).</t>
  </si>
  <si>
    <t>/decorator-academy/videos/</t>
  </si>
  <si>
    <t>Video library with filters (technique, product type); “new” and “most watched”; each video links to relevant technique pages, templates (some may link into Marketing Centre login area).</t>
  </si>
  <si>
    <t>Decorator Studio (tool gateway)</t>
  </si>
  <si>
    <t>/decorator-academy/decorator-studio/</t>
  </si>
  <si>
    <t>Clear explainer + CTA to the external logo placement tool; guidance on how to use it; links to placement/templates and technique pages.</t>
  </si>
  <si>
    <t>/decorator-academy/in-the-wild/</t>
  </si>
  <si>
    <t>Gallery/case studies of decorated outcomes; filter by technique/product type; each entry links to relevant products and techniques; optional “submit your work” CTA (if you want UGC).</t>
  </si>
  <si>
    <t>/decorator-academy/glossary/</t>
  </si>
  <si>
    <t>A–Z glossary of decoration, product anatomy and key materials terms; grouped by theme; cross-links to Cap Studio/techniques/materials.</t>
  </si>
  <si>
    <t>/decorator-academy/colours/</t>
  </si>
  <si>
    <t>Simple colour overview: core colours + new colours; links to filtered product lists by colour; avoids “how to choose colourways” content.</t>
  </si>
  <si>
    <t>The below includes mention of what can show/be available based on sign-up. The main thing behind a login wall will be the Media Hub, so we need to be clear about that, and rahter than showing all options in the menu, we link to it.</t>
  </si>
  <si>
    <t>Logged in vs not</t>
  </si>
  <si>
    <t>/marketing-centre/</t>
  </si>
  <si>
    <t>Public</t>
  </si>
  <si>
    <t>“Everything in one place” overview; what you’ll get (assets, documents, toolkits, templates); who it’s for; sign-up form + login button; previews of a few example assets (watermarked/low-res) to show value.</t>
  </si>
  <si>
    <t>/marketing-centre/sign-up/</t>
  </si>
  <si>
    <t>Registration form + approval messaging; what access includes; expected turnaround/process; terms.</t>
  </si>
  <si>
    <t>Login</t>
  </si>
  <si>
    <t>/marketing-centre/login/</t>
  </si>
  <si>
    <t>Login + password reset; support link.</t>
  </si>
  <si>
    <t>mediahub.beechfieldbrands.com</t>
  </si>
  <si>
    <t>Logged in</t>
  </si>
  <si>
    <t>Dashboard with search + filters; “what’s new”; quick links to product media, product documents, campaign toolkits, templates &amp; guidelines, lookbooks; saved collections.</t>
  </si>
  <si>
    <t>Downloadable packshots, lifestyle, video; filters by product/collection/season; clear usage notes; “related documents” links (data sheet/spec).</t>
  </si>
  <si>
    <t>Product data sheets, spec sheets, care guidance (if product-specific), compliance PDFs where SKU-linked; filters by product; consistent naming + versioning.</t>
  </si>
  <si>
    <t>Seasonal/campaign bundles: banners, social packs, email tiles, key visuals, copy snippets; grouped by campaign/date; “what’s included” summary per toolkit.</t>
  </si>
  <si>
    <t>Artwork templates, placement guides, file setup guidance, size charts (if not product-specific), brand guidance extracts; clearly categorised.</t>
  </si>
  <si>
    <t>Downloadable lookbooks / range books (if brochures are removed, this becomes “Lookbooks” only); older editions archived; clear “current” flag.</t>
  </si>
  <si>
    <t>/marketing-centre/faqs/</t>
  </si>
  <si>
    <t>How to access, who can sign up, usage rights, file formats, common download issues; contact routing.</t>
  </si>
  <si>
    <t>/marketing-centre/contact/</t>
  </si>
  <si>
    <t>Support routes (access/login issues, asset questions, general marketing support).</t>
  </si>
  <si>
    <t>/how-to-buy</t>
  </si>
  <si>
    <t>/find-a-distributor</t>
  </si>
  <si>
    <t>/inventory-finder</t>
  </si>
  <si>
    <t>About (landing)</t>
  </si>
  <si>
    <t>/about/</t>
  </si>
  <si>
    <t>Overview + routes into About Beechfield, Materials &amp; fabrics, Quality &amp; compliance, Responsible choices, Stock &amp; service promise, Events, Press.</t>
  </si>
  <si>
    <t>/about/about-beechfield/</t>
  </si>
  <si>
    <t>Brand story; what “Original Headwear” means; credibility points; links to proof pages.</t>
  </si>
  <si>
    <t>/about/materials-and-fabrics/</t>
  </si>
  <si>
    <t>Hub page introducing the key materials used across the range and why they matter (performance, durability, decoration suitability); links out to individual material pages (e.g. organic cotton, recycled polyester, acrylic, etc.) using a consistent template (“what it is”, “why choose it”, “decoration notes”, “proof/certifications where relevant”, “related products”); includes a simple overview of how you talk about fibres vs attributes (e.g. recycled/organic) and routes back to Decorator Academy for technique-led guidance.</t>
  </si>
  <si>
    <t>/about/quality-and-compliance/</t>
  </si>
  <si>
    <t>Quality approach, testing, consistency, standards/certifications at an appropriate level; referenced from PDPs.</t>
  </si>
  <si>
    <t>/about/responsible-choices/</t>
  </si>
  <si>
    <t>Responsible sourcing/impact overview; what you do and why; links to masterbrand detail where needed.</t>
  </si>
  <si>
    <t>/about/stock-and-service-promise/</t>
  </si>
  <si>
    <t>Brand-level service/availability reassurance; how you support distributors/decorators; links to masterbrand distributor proposition where deeper detail lives.</t>
  </si>
  <si>
    <t>/about/events/</t>
  </si>
  <si>
    <t>Upcoming events + key dates; what visitors can expect; optionally event-specific landing links (e.g. trade shows).</t>
  </si>
  <si>
    <t>/about/press/</t>
  </si>
  <si>
    <t>Press releases, media mentions, downloadable press kit link (if you offer one); contact route for press enquiries.</t>
  </si>
  <si>
    <t>&lt;loc&gt;https://odysia-cruise-uk.client.prod.eu-west.dreamlake.io/cruise-lines/regent-seven-seas-cruises/seven-seas-mariner&lt;/loc&gt;</t>
  </si>
  <si>
    <t>https://odysia-cruise-uk.client.prod.eu-west.dreamlake.io/cruise-lines/regent-seven-seas-cruises/seven-seas-mariner</t>
  </si>
  <si>
    <t>&lt;loc&gt;https://odysia-cruise-uk.client.prod.eu-west.dreamlake.io/cruise-lines/princess-cruises/royal-princess/cruises&lt;/loc&gt;</t>
  </si>
  <si>
    <t>https://odysia-cruise-uk.client.prod.eu-west.dreamlake.io/cruise-lines/princess-cruises/royal-princess/cruises</t>
  </si>
  <si>
    <t>&lt;loc&gt;https://odysia-cruise-uk.client.prod.eu-west.dreamlake.io/cruise-lines/royal-caribbean/anthem-of-the-seas/cruises&lt;/loc&gt;</t>
  </si>
  <si>
    <t>https://odysia-cruise-uk.client.prod.eu-west.dreamlake.io/cruise-lines/royal-caribbean/anthem-of-the-seas/cruises</t>
  </si>
  <si>
    <t>&lt;loc&gt;https://odysia-cruise-uk.client.prod.eu-west.dreamlake.io/cruise-lines/holland-america-line/zaandam&lt;/loc&gt;</t>
  </si>
  <si>
    <t>https://odysia-cruise-uk.client.prod.eu-west.dreamlake.io/cruise-lines/holland-america-line/zaandam</t>
  </si>
  <si>
    <t>&lt;loc&gt;https://odysia-cruise-uk.client.prod.eu-west.dreamlake.io/cruise-lines/regent-seven-seas-cruises/seven-seas-splendor/cruises&lt;/loc&gt;</t>
  </si>
  <si>
    <t>https://odysia-cruise-uk.client.prod.eu-west.dreamlake.io/cruise-lines/regent-seven-seas-cruises/seven-seas-splendor/cruises</t>
  </si>
  <si>
    <t>&lt;loc&gt;https://odysia-cruise-uk.client.prod.eu-west.dreamlake.io&lt;/loc&gt;</t>
  </si>
  <si>
    <t>&lt;loc&gt;https://odysia-cruise-uk.client.prod.eu-west.dreamlake.io/cruise-lines/msc-cruises/msc-armonia&lt;/loc&gt;</t>
  </si>
  <si>
    <t>https://odysia-cruise-uk.client.prod.eu-west.dreamlake.io/cruise-lines/msc-cruises/msc-armonia</t>
  </si>
  <si>
    <t>&lt;loc&gt;https://odysia-cruise-uk.client.prod.eu-west.dreamlake.io/destinations/british-isles-cruises&lt;/loc&gt;</t>
  </si>
  <si>
    <t>&lt;loc&gt;https://odysia-cruise-uk.client.prod.eu-west.dreamlake.io/cruise-lines/costa-cruises/costa-smeralda/cruises&lt;/loc&gt;</t>
  </si>
  <si>
    <t>https://odysia-cruise-uk.client.prod.eu-west.dreamlake.io/cruise-lines/costa-cruises/costa-smeralda/cruises</t>
  </si>
  <si>
    <t>&lt;loc&gt;https://odysia-cruise-uk.client.prod.eu-west.dreamlake.io/cruise-lines/holland-america-line/rotterdam/cruises&lt;/loc&gt;</t>
  </si>
  <si>
    <t>https://odysia-cruise-uk.client.prod.eu-west.dreamlake.io/cruise-lines/holland-america-line/rotterdam/cruises</t>
  </si>
  <si>
    <t>&lt;loc&gt;https://odysia-cruise-uk.client.prod.eu-west.dreamlake.io/cruise-lines/regent-seven-seas-cruises/seven-seas-grandeur/cruises&lt;/loc&gt;</t>
  </si>
  <si>
    <t>https://odysia-cruise-uk.client.prod.eu-west.dreamlake.io/cruise-lines/regent-seven-seas-cruises/seven-seas-grandeur/cruises</t>
  </si>
  <si>
    <t>&lt;loc&gt;https://odysia-cruise-uk.client.prod.eu-west.dreamlake.io/cruise-lines/royal-caribbean/icon-of-the-seas/cruises&lt;/loc&gt;</t>
  </si>
  <si>
    <t>https://odysia-cruise-uk.client.prod.eu-west.dreamlake.io/cruise-lines/royal-caribbean/icon-of-the-seas/cruises</t>
  </si>
  <si>
    <t>&lt;loc&gt;https://odysia-cruise-uk.client.prod.eu-west.dreamlake.io/cruise-lines/virgin-voyages/resilient-lady&lt;/loc&gt;</t>
  </si>
  <si>
    <t>https://odysia-cruise-uk.client.prod.eu-west.dreamlake.io/cruise-lines/virgin-voyages/resilient-lady</t>
  </si>
  <si>
    <t>&lt;loc&gt;https://odysia-cruise-uk.client.prod.eu-west.dreamlake.io/cruise-lines/norwegian-cruise-line/norwegian-jade/cruises&lt;/loc&gt;</t>
  </si>
  <si>
    <t>https://odysia-cruise-uk.client.prod.eu-west.dreamlake.io/cruise-lines/norwegian-cruise-line/norwegian-jade/cruises</t>
  </si>
  <si>
    <t>&lt;loc&gt;https://odysia-cruise-uk.client.prod.eu-west.dreamlake.io/cruise-lines/cunard/cruises&lt;/loc&gt;</t>
  </si>
  <si>
    <t>https://odysia-cruise-uk.client.prod.eu-west.dreamlake.io/cruise-lines/cunard/cruises</t>
  </si>
  <si>
    <t>&lt;loc&gt;https://odysia-cruise-uk.client.prod.eu-west.dreamlake.io/cruise-lines/celebrity-cruises/celebrity-beyond/cruises&lt;/loc&gt;</t>
  </si>
  <si>
    <t>https://odysia-cruise-uk.client.prod.eu-west.dreamlake.io/cruise-lines/celebrity-cruises/celebrity-beyond/cruises</t>
  </si>
  <si>
    <t>&lt;loc&gt;https://odysia-cruise-uk.client.prod.eu-west.dreamlake.io/cruise-lines/royal-caribbean/icon-of-the-seas&lt;/loc&gt;</t>
  </si>
  <si>
    <t>https://odysia-cruise-uk.client.prod.eu-west.dreamlake.io/cruise-lines/royal-caribbean/icon-of-the-seas</t>
  </si>
  <si>
    <t>&lt;loc&gt;https://odysia-cruise-uk.client.prod.eu-west.dreamlake.io/cruise-lines/princess-cruises/regal-princess&lt;/loc&gt;</t>
  </si>
  <si>
    <t>https://odysia-cruise-uk.client.prod.eu-west.dreamlake.io/cruise-lines/princess-cruises/regal-princess</t>
  </si>
  <si>
    <t>&lt;loc&gt;https://odysia-cruise-uk.client.prod.eu-west.dreamlake.io/cruise-lines/royal-caribbean/utopia-of-the-seas/cruises&lt;/loc&gt;</t>
  </si>
  <si>
    <t>https://odysia-cruise-uk.client.prod.eu-west.dreamlake.io/cruise-lines/royal-caribbean/utopia-of-the-seas/cruises</t>
  </si>
  <si>
    <t>&lt;loc&gt;https://odysia-cruise-uk.client.prod.eu-west.dreamlake.io/cruise-lines/oceania-cruises/oceania-riviera/cruises&lt;/loc&gt;</t>
  </si>
  <si>
    <t>https://odysia-cruise-uk.client.prod.eu-west.dreamlake.io/cruise-lines/oceania-cruises/oceania-riviera/cruises</t>
  </si>
  <si>
    <t>&lt;loc&gt;https://odysia-cruise-uk.client.prod.eu-west.dreamlake.io/cruise-lines/cunard/queen-anne/cruises&lt;/loc&gt;</t>
  </si>
  <si>
    <t>https://odysia-cruise-uk.client.prod.eu-west.dreamlake.io/cruise-lines/cunard/queen-anne/cruises</t>
  </si>
  <si>
    <t>&lt;loc&gt;https://odysia-cruise-uk.client.prod.eu-west.dreamlake.io/cruise-lines/norwegian-cruise-line/norwegian-dawn&lt;/loc&gt;</t>
  </si>
  <si>
    <t>https://odysia-cruise-uk.client.prod.eu-west.dreamlake.io/cruise-lines/norwegian-cruise-line/norwegian-dawn</t>
  </si>
  <si>
    <t>&lt;loc&gt;https://odysia-cruise-uk.client.prod.eu-west.dreamlake.io/destinations/mediterranean-cruises&lt;/loc&gt;</t>
  </si>
  <si>
    <t>&lt;loc&gt;https://odysia-cruise-uk.client.prod.eu-west.dreamlake.io/cruise-lines/norwegian-cruise-line/norwegian-epic&lt;/loc&gt;</t>
  </si>
  <si>
    <t>https://odysia-cruise-uk.client.prod.eu-west.dreamlake.io/cruise-lines/norwegian-cruise-line/norwegian-epic</t>
  </si>
  <si>
    <t>&lt;loc&gt;https://odysia-cruise-uk.client.prod.eu-west.dreamlake.io/cruise-lines/celebrity-cruises/celebrity-silhouette&lt;/loc&gt;</t>
  </si>
  <si>
    <t>https://odysia-cruise-uk.client.prod.eu-west.dreamlake.io/cruise-lines/celebrity-cruises/celebrity-silhouette</t>
  </si>
  <si>
    <t>&lt;loc&gt;https://odysia-cruise-uk.client.prod.eu-west.dreamlake.io/destinations/usa-cruises&lt;/loc&gt;</t>
  </si>
  <si>
    <t>&lt;loc&gt;https://odysia-cruise-uk.client.prod.eu-west.dreamlake.io/cruise-lines/royal-caribbean/radiance-of-the-seas/cruises&lt;/loc&gt;</t>
  </si>
  <si>
    <t>https://odysia-cruise-uk.client.prod.eu-west.dreamlake.io/cruise-lines/royal-caribbean/radiance-of-the-seas/cruises</t>
  </si>
  <si>
    <t>&lt;loc&gt;https://odysia-cruise-uk.client.prod.eu-west.dreamlake.io/cruise-lines/holland-america-line/rotterdam&lt;/loc&gt;</t>
  </si>
  <si>
    <t>https://odysia-cruise-uk.client.prod.eu-west.dreamlake.io/cruise-lines/holland-america-line/rotterdam</t>
  </si>
  <si>
    <t>&lt;loc&gt;https://odysia-cruise-uk.client.prod.eu-west.dreamlake.io/cruise-lines/royal-caribbean/anthem-of-the-seas&lt;/loc&gt;</t>
  </si>
  <si>
    <t>https://odysia-cruise-uk.client.prod.eu-west.dreamlake.io/cruise-lines/royal-caribbean/anthem-of-the-seas</t>
  </si>
  <si>
    <t>&lt;loc&gt;https://odysia-cruise-uk.client.prod.eu-west.dreamlake.io/cruise-deals/cruises-from-southampton&lt;/loc&gt;</t>
  </si>
  <si>
    <t>https://odysia-cruise-uk.client.prod.eu-west.dreamlake.io/cruise-deals/cruises-from-southampton</t>
  </si>
  <si>
    <t>&lt;loc&gt;https://odysia-cruise-uk.client.prod.eu-west.dreamlake.io/cruise-lines/celebrity-cruises/celebrity-silhouette/cruises&lt;/loc&gt;</t>
  </si>
  <si>
    <t>https://odysia-cruise-uk.client.prod.eu-west.dreamlake.io/cruise-lines/celebrity-cruises/celebrity-silhouette/cruises</t>
  </si>
  <si>
    <t>&lt;loc&gt;https://odysia-cruise-uk.client.prod.eu-west.dreamlake.io/cruise-lines/royal-caribbean/enchantment-of-the-seas&lt;/loc&gt;</t>
  </si>
  <si>
    <t>https://odysia-cruise-uk.client.prod.eu-west.dreamlake.io/cruise-lines/royal-caribbean/enchantment-of-the-seas</t>
  </si>
  <si>
    <t>&lt;loc&gt;https://odysia-cruise-uk.client.prod.eu-west.dreamlake.io/cruise-lines/norwegian-cruise-line/norwegian-gem/cruises&lt;/loc&gt;</t>
  </si>
  <si>
    <t>https://odysia-cruise-uk.client.prod.eu-west.dreamlake.io/cruise-lines/norwegian-cruise-line/norwegian-gem/cruises</t>
  </si>
  <si>
    <t>&lt;loc&gt;https://odysia-cruise-uk.client.prod.eu-west.dreamlake.io/cruise-lines/virgin-voyages/scarlet-lady/cruises&lt;/loc&gt;</t>
  </si>
  <si>
    <t>https://odysia-cruise-uk.client.prod.eu-west.dreamlake.io/cruise-lines/virgin-voyages/scarlet-lady/cruises</t>
  </si>
  <si>
    <t>&lt;loc&gt;https://odysia-cruise-uk.client.prod.eu-west.dreamlake.io/cruise-lines/msc-cruises/msc-splendida/cruises&lt;/loc&gt;</t>
  </si>
  <si>
    <t>https://odysia-cruise-uk.client.prod.eu-west.dreamlake.io/cruise-lines/msc-cruises/msc-splendida/cruises</t>
  </si>
  <si>
    <t>&lt;loc&gt;https://odysia-cruise-uk.client.prod.eu-west.dreamlake.io/cruise-lines/norwegian-cruise-line/norwegian-dawn/cruises&lt;/loc&gt;</t>
  </si>
  <si>
    <t>https://odysia-cruise-uk.client.prod.eu-west.dreamlake.io/cruise-lines/norwegian-cruise-line/norwegian-dawn/cruises</t>
  </si>
  <si>
    <t>&lt;loc&gt;https://odysia-cruise-uk.client.prod.eu-west.dreamlake.io/cruise-lines/msc-cruises/msc-seascape&lt;/loc&gt;</t>
  </si>
  <si>
    <t>https://odysia-cruise-uk.client.prod.eu-west.dreamlake.io/cruise-lines/msc-cruises/msc-seascape</t>
  </si>
  <si>
    <t>&lt;loc&gt;https://odysia-cruise-uk.client.prod.eu-west.dreamlake.io/cruise-lines/msc-cruises/cruises&lt;/loc&gt;</t>
  </si>
  <si>
    <t>https://odysia-cruise-uk.client.prod.eu-west.dreamlake.io/cruise-lines/msc-cruises/cruises</t>
  </si>
  <si>
    <t>&lt;loc&gt;https://odysia-cruise-uk.client.prod.eu-west.dreamlake.io/cruise-lines/virgin-voyages/valiant-lady/cruises&lt;/loc&gt;</t>
  </si>
  <si>
    <t>https://odysia-cruise-uk.client.prod.eu-west.dreamlake.io/cruise-lines/virgin-voyages/valiant-lady/cruises</t>
  </si>
  <si>
    <t>&lt;loc&gt;https://odysia-cruise-uk.client.prod.eu-west.dreamlake.io/cruise-deals/fly-cruise-deals&lt;/loc&gt;</t>
  </si>
  <si>
    <t>https://odysia-cruise-uk.client.prod.eu-west.dreamlake.io/cruise-deals/fly-cruise-deals</t>
  </si>
  <si>
    <t>&lt;loc&gt;https://odysia-cruise-uk.client.prod.eu-west.dreamlake.io/cruise-lines/virgin-voyages/cruises&lt;/loc&gt;</t>
  </si>
  <si>
    <t>https://odysia-cruise-uk.client.prod.eu-west.dreamlake.io/cruise-lines/virgin-voyages/cruises</t>
  </si>
  <si>
    <t>&lt;loc&gt;https://odysia-cruise-uk.client.prod.eu-west.dreamlake.io/cruise-lines/royal-caribbean/vision-of-the-seas&lt;/loc&gt;</t>
  </si>
  <si>
    <t>https://odysia-cruise-uk.client.prod.eu-west.dreamlake.io/cruise-lines/royal-caribbean/vision-of-the-seas</t>
  </si>
  <si>
    <t>&lt;loc&gt;https://odysia-cruise-uk.client.prod.eu-west.dreamlake.io/cruise-lines/explora-journeys/explora-iii/cruises&lt;/loc&gt;</t>
  </si>
  <si>
    <t>https://odysia-cruise-uk.client.prod.eu-west.dreamlake.io/cruise-lines/explora-journeys/explora-iii/cruises</t>
  </si>
  <si>
    <t>&lt;loc&gt;https://odysia-cruise-uk.client.prod.eu-west.dreamlake.io/cruise-lines/holland-america-line/nieuw-amsterdam/cruises&lt;/loc&gt;</t>
  </si>
  <si>
    <t>https://odysia-cruise-uk.client.prod.eu-west.dreamlake.io/cruise-lines/holland-america-line/nieuw-amsterdam/cruises</t>
  </si>
  <si>
    <t>&lt;loc&gt;https://odysia-cruise-uk.client.prod.eu-west.dreamlake.io/cruise-lines/holland-america-line/eurodam&lt;/loc&gt;</t>
  </si>
  <si>
    <t>https://odysia-cruise-uk.client.prod.eu-west.dreamlake.io/cruise-lines/holland-america-line/eurodam</t>
  </si>
  <si>
    <t>&lt;loc&gt;https://odysia-cruise-uk.client.prod.eu-west.dreamlake.io/cruise-lines/princess-cruises/majestic-princess&lt;/loc&gt;</t>
  </si>
  <si>
    <t>https://odysia-cruise-uk.client.prod.eu-west.dreamlake.io/cruise-lines/princess-cruises/majestic-princess</t>
  </si>
  <si>
    <t>&lt;loc&gt;https://odysia-cruise-uk.client.prod.eu-west.dreamlake.io/cruise-lines/oceania-cruises/oceania-nautica/cruises&lt;/loc&gt;</t>
  </si>
  <si>
    <t>https://odysia-cruise-uk.client.prod.eu-west.dreamlake.io/cruise-lines/oceania-cruises/oceania-nautica/cruises</t>
  </si>
  <si>
    <t>&lt;loc&gt;https://odysia-cruise-uk.client.prod.eu-west.dreamlake.io/cruise-lines/holland-america-line/koningsdam&lt;/loc&gt;</t>
  </si>
  <si>
    <t>https://odysia-cruise-uk.client.prod.eu-west.dreamlake.io/cruise-lines/holland-america-line/koningsdam</t>
  </si>
  <si>
    <t>&lt;loc&gt;https://odysia-cruise-uk.client.prod.eu-west.dreamlake.io/cruise-lines/oceania-cruises/cruises&lt;/loc&gt;</t>
  </si>
  <si>
    <t>https://odysia-cruise-uk.client.prod.eu-west.dreamlake.io/cruise-lines/oceania-cruises/cruises</t>
  </si>
  <si>
    <t>&lt;loc&gt;https://odysia-cruise-uk.client.prod.eu-west.dreamlake.io/cruise-lines/msc-cruises/msc-euribia/cruises&lt;/loc&gt;</t>
  </si>
  <si>
    <t>https://odysia-cruise-uk.client.prod.eu-west.dreamlake.io/cruise-lines/msc-cruises/msc-euribia/cruises</t>
  </si>
  <si>
    <t>&lt;loc&gt;https://odysia-cruise-uk.client.prod.eu-west.dreamlake.io/cruise-calendar/north-america-cruises&lt;/loc&gt;</t>
  </si>
  <si>
    <t>&lt;loc&gt;https://odysia-cruise-uk.client.prod.eu-west.dreamlake.io/destinations/norway-norwegian-fjords-cruises&lt;/loc&gt;</t>
  </si>
  <si>
    <t>&lt;loc&gt;https://odysia-cruise-uk.client.prod.eu-west.dreamlake.io/cruise-lines/msc-cruises/msc-euribia&lt;/loc&gt;</t>
  </si>
  <si>
    <t>https://odysia-cruise-uk.client.prod.eu-west.dreamlake.io/cruise-lines/msc-cruises/msc-euribia</t>
  </si>
  <si>
    <t>&lt;loc&gt;https://odysia-cruise-uk.client.prod.eu-west.dreamlake.io/cruise-deals/cruises-from-the-uk&lt;/loc&gt;</t>
  </si>
  <si>
    <t>https://odysia-cruise-uk.client.prod.eu-west.dreamlake.io/cruise-deals/cruises-from-the-uk</t>
  </si>
  <si>
    <t>&lt;loc&gt;https://odysia-cruise-uk.client.prod.eu-west.dreamlake.io/cruise-lines/norwegian-cruise-line/norwegian-prima/cruises&lt;/loc&gt;</t>
  </si>
  <si>
    <t>https://odysia-cruise-uk.client.prod.eu-west.dreamlake.io/cruise-lines/norwegian-cruise-line/norwegian-prima/cruises</t>
  </si>
  <si>
    <t>&lt;loc&gt;https://odysia-cruise-uk.client.prod.eu-west.dreamlake.io/cruise-lines/princess-cruises/crown-princess/cruises&lt;/loc&gt;</t>
  </si>
  <si>
    <t>https://odysia-cruise-uk.client.prod.eu-west.dreamlake.io/cruise-lines/princess-cruises/crown-princess/cruises</t>
  </si>
  <si>
    <t>&lt;loc&gt;https://odysia-cruise-uk.client.prod.eu-west.dreamlake.io/cruise-lines/royal-caribbean/harmony-of-the-seas/cruises&lt;/loc&gt;</t>
  </si>
  <si>
    <t>https://odysia-cruise-uk.client.prod.eu-west.dreamlake.io/cruise-lines/royal-caribbean/harmony-of-the-seas/cruises</t>
  </si>
  <si>
    <t>&lt;loc&gt;https://odysia-cruise-uk.client.prod.eu-west.dreamlake.io/cruise-calendar/asia-far-east-cruise-dates&lt;/loc&gt;</t>
  </si>
  <si>
    <t>&lt;loc&gt;https://odysia-cruise-uk.client.prod.eu-west.dreamlake.io/cruise-lines/celebrity-cruises/celebrity-edge&lt;/loc&gt;</t>
  </si>
  <si>
    <t>https://odysia-cruise-uk.client.prod.eu-west.dreamlake.io/cruise-lines/celebrity-cruises/celebrity-edge</t>
  </si>
  <si>
    <t>&lt;loc&gt;https://odysia-cruise-uk.client.prod.eu-west.dreamlake.io/cruise-lines/celebrity-cruises/cruises&lt;/loc&gt;</t>
  </si>
  <si>
    <t>https://odysia-cruise-uk.client.prod.eu-west.dreamlake.io/cruise-lines/celebrity-cruises/cruises</t>
  </si>
  <si>
    <t>&lt;loc&gt;https://odysia-cruise-uk.client.prod.eu-west.dreamlake.io/cruise-lines/seabourn/seabourn-pursuit/cruises&lt;/loc&gt;</t>
  </si>
  <si>
    <t>https://odysia-cruise-uk.client.prod.eu-west.dreamlake.io/cruise-lines/seabourn/seabourn-pursuit/cruises</t>
  </si>
  <si>
    <t>&lt;loc&gt;https://odysia-cruise-uk.client.prod.eu-west.dreamlake.io/cruise-lines/msc-cruises/msc-world-europa/cruises&lt;/loc&gt;</t>
  </si>
  <si>
    <t>https://odysia-cruise-uk.client.prod.eu-west.dreamlake.io/cruise-lines/msc-cruises/msc-world-europa/cruises</t>
  </si>
  <si>
    <t>&lt;loc&gt;https://odysia-cruise-uk.client.prod.eu-west.dreamlake.io/cruise-calendar/norwegian-fjord-cruises-dates&lt;/loc&gt;</t>
  </si>
  <si>
    <t>&lt;loc&gt;https://odysia-cruise-uk.client.prod.eu-west.dreamlake.io/cruise-lines/norwegian-cruise-line/norwegian-breakaway/cruises&lt;/loc&gt;</t>
  </si>
  <si>
    <t>https://odysia-cruise-uk.client.prod.eu-west.dreamlake.io/cruise-lines/norwegian-cruise-line/norwegian-breakaway/cruises</t>
  </si>
  <si>
    <t>&lt;loc&gt;https://odysia-cruise-uk.client.prod.eu-west.dreamlake.io/cruise-lines/norwegian-cruise-line/norwegian-bliss&lt;/loc&gt;</t>
  </si>
  <si>
    <t>https://odysia-cruise-uk.client.prod.eu-west.dreamlake.io/cruise-lines/norwegian-cruise-line/norwegian-bliss</t>
  </si>
  <si>
    <t>&lt;loc&gt;https://odysia-cruise-uk.client.prod.eu-west.dreamlake.io/cruise-lines/regent-seven-seas-cruises&lt;/loc&gt;</t>
  </si>
  <si>
    <t>https://odysia-cruise-uk.client.prod.eu-west.dreamlake.io/cruise-lines/regent-seven-seas-cruises</t>
  </si>
  <si>
    <t>&lt;loc&gt;https://odysia-cruise-uk.client.prod.eu-west.dreamlake.io/cruise-lines/royal-caribbean/enchantment-of-the-seas/cruises&lt;/loc&gt;</t>
  </si>
  <si>
    <t>https://odysia-cruise-uk.client.prod.eu-west.dreamlake.io/cruise-lines/royal-caribbean/enchantment-of-the-seas/cruises</t>
  </si>
  <si>
    <t>&lt;loc&gt;https://odysia-cruise-uk.client.prod.eu-west.dreamlake.io/cruise-deals/mini-cruises&lt;/loc&gt;</t>
  </si>
  <si>
    <t>https://odysia-cruise-uk.client.prod.eu-west.dreamlake.io/cruise-deals/mini-cruises</t>
  </si>
  <si>
    <t>&lt;loc&gt;https://odysia-cruise-uk.client.prod.eu-west.dreamlake.io/destinations/africa-cruises&lt;/loc&gt;</t>
  </si>
  <si>
    <t>&lt;loc&gt;https://odysia-cruise-uk.client.prod.eu-west.dreamlake.io/cruise-deals/family-cruise-deals&lt;/loc&gt;</t>
  </si>
  <si>
    <t>https://odysia-cruise-uk.client.prod.eu-west.dreamlake.io/cruise-deals/family-cruise-deals</t>
  </si>
  <si>
    <t>&lt;loc&gt;https://odysia-cruise-uk.client.prod.eu-west.dreamlake.io/cruise-deals/all-inclusive-cruise-deals&lt;/loc&gt;</t>
  </si>
  <si>
    <t>https://odysia-cruise-uk.client.prod.eu-west.dreamlake.io/cruise-deals/all-inclusive-cruise-deals</t>
  </si>
  <si>
    <t>&lt;loc&gt;https://odysia-cruise-uk.client.prod.eu-west.dreamlake.io/cruise-lines/virgin-voyages/scarlet-lady&lt;/loc&gt;</t>
  </si>
  <si>
    <t>https://odysia-cruise-uk.client.prod.eu-west.dreamlake.io/cruise-lines/virgin-voyages/scarlet-lady</t>
  </si>
  <si>
    <t>&lt;loc&gt;https://odysia-cruise-uk.client.prod.eu-west.dreamlake.io/cruise-lines/norwegian-cruise-line/norwegian-spirit&lt;/loc&gt;</t>
  </si>
  <si>
    <t>https://odysia-cruise-uk.client.prod.eu-west.dreamlake.io/cruise-lines/norwegian-cruise-line/norwegian-spirit</t>
  </si>
  <si>
    <t>&lt;loc&gt;https://odysia-cruise-uk.client.prod.eu-west.dreamlake.io/cruise-lines/princess-cruises/emerald-princess&lt;/loc&gt;</t>
  </si>
  <si>
    <t>https://odysia-cruise-uk.client.prod.eu-west.dreamlake.io/cruise-lines/princess-cruises/emerald-princess</t>
  </si>
  <si>
    <t>&lt;loc&gt;https://odysia-cruise-uk.client.prod.eu-west.dreamlake.io/cruise-lines/royal-caribbean/independence-of-the-seas&lt;/loc&gt;</t>
  </si>
  <si>
    <t>https://odysia-cruise-uk.client.prod.eu-west.dreamlake.io/cruise-lines/royal-caribbean/independence-of-the-seas</t>
  </si>
  <si>
    <t>&lt;loc&gt;https://odysia-cruise-uk.client.prod.eu-west.dreamlake.io/destinations/australasia-cruises&lt;/loc&gt;</t>
  </si>
  <si>
    <t>&lt;loc&gt;https://odysia-cruise-uk.client.prod.eu-west.dreamlake.io/cruise-lines/holland-america-line/oosterdam/cruises&lt;/loc&gt;</t>
  </si>
  <si>
    <t>https://odysia-cruise-uk.client.prod.eu-west.dreamlake.io/cruise-lines/holland-america-line/oosterdam/cruises</t>
  </si>
  <si>
    <t>&lt;loc&gt;https://odysia-cruise-uk.client.prod.eu-west.dreamlake.io/cruise-lines/princess-cruises&lt;/loc&gt;</t>
  </si>
  <si>
    <t>https://odysia-cruise-uk.client.prod.eu-west.dreamlake.io/cruise-lines/princess-cruises</t>
  </si>
  <si>
    <t>&lt;loc&gt;https://odysia-cruise-uk.client.prod.eu-west.dreamlake.io/cruise-lines/norwegian-cruise-line/norwegian-prima&lt;/loc&gt;</t>
  </si>
  <si>
    <t>https://odysia-cruise-uk.client.prod.eu-west.dreamlake.io/cruise-lines/norwegian-cruise-line/norwegian-prima</t>
  </si>
  <si>
    <t>&lt;loc&gt;https://odysia-cruise-uk.client.prod.eu-west.dreamlake.io/cruise-lines/holland-america-line/zuiderdam/cruises&lt;/loc&gt;</t>
  </si>
  <si>
    <t>https://odysia-cruise-uk.client.prod.eu-west.dreamlake.io/cruise-lines/holland-america-line/zuiderdam/cruises</t>
  </si>
  <si>
    <t>&lt;loc&gt;https://odysia-cruise-uk.client.prod.eu-west.dreamlake.io/cruise-lines/norwegian-cruise-line/norwegian-aqua&lt;/loc&gt;</t>
  </si>
  <si>
    <t>https://odysia-cruise-uk.client.prod.eu-west.dreamlake.io/cruise-lines/norwegian-cruise-line/norwegian-aqua</t>
  </si>
  <si>
    <t>&lt;loc&gt;https://odysia-cruise-uk.client.prod.eu-west.dreamlake.io/cruise-lines/royal-caribbean/odyssey-of-the-seas&lt;/loc&gt;</t>
  </si>
  <si>
    <t>https://odysia-cruise-uk.client.prod.eu-west.dreamlake.io/cruise-lines/royal-caribbean/odyssey-of-the-seas</t>
  </si>
  <si>
    <t>&lt;loc&gt;https://odysia-cruise-uk.client.prod.eu-west.dreamlake.io/cruise-lines/celebrity-cruises/celebrity-infinity/cruises&lt;/loc&gt;</t>
  </si>
  <si>
    <t>https://odysia-cruise-uk.client.prod.eu-west.dreamlake.io/cruise-lines/celebrity-cruises/celebrity-infinity/cruises</t>
  </si>
  <si>
    <t>&lt;loc&gt;https://odysia-cruise-uk.client.prod.eu-west.dreamlake.io/cruise-lines/norwegian-cruise-line/norwegian-sun&lt;/loc&gt;</t>
  </si>
  <si>
    <t>https://odysia-cruise-uk.client.prod.eu-west.dreamlake.io/cruise-lines/norwegian-cruise-line/norwegian-sun</t>
  </si>
  <si>
    <t>&lt;loc&gt;https://odysia-cruise-uk.client.prod.eu-west.dreamlake.io/cruise-lines/holland-america-line/eurodam/cruises&lt;/loc&gt;</t>
  </si>
  <si>
    <t>https://odysia-cruise-uk.client.prod.eu-west.dreamlake.io/cruise-lines/holland-america-line/eurodam/cruises</t>
  </si>
  <si>
    <t>&lt;loc&gt;https://odysia-cruise-uk.client.prod.eu-west.dreamlake.io/cruise-lines/royal-caribbean/symphony-of-the-seas/cruises&lt;/loc&gt;</t>
  </si>
  <si>
    <t>https://odysia-cruise-uk.client.prod.eu-west.dreamlake.io/cruise-lines/royal-caribbean/symphony-of-the-seas/cruises</t>
  </si>
  <si>
    <t>&lt;loc&gt;https://odysia-cruise-uk.client.prod.eu-west.dreamlake.io/cruise-lines/azamara/azamara-pursuit/cruises&lt;/loc&gt;</t>
  </si>
  <si>
    <t>&lt;loc&gt;https://odysia-cruise-uk.client.prod.eu-west.dreamlake.io/cruise-lines/msc-cruises/msc-musica&lt;/loc&gt;</t>
  </si>
  <si>
    <t>https://odysia-cruise-uk.client.prod.eu-west.dreamlake.io/cruise-lines/msc-cruises/msc-musica</t>
  </si>
  <si>
    <t>&lt;loc&gt;https://odysia-cruise-uk.client.prod.eu-west.dreamlake.io/cruise-lines/fred-olsen-cruises/borealis/cruises&lt;/loc&gt;</t>
  </si>
  <si>
    <t>https://odysia-cruise-uk.client.prod.eu-west.dreamlake.io/cruise-lines/fred-olsen-cruises/borealis/cruises</t>
  </si>
  <si>
    <t>&lt;loc&gt;https://odysia-cruise-uk.client.prod.eu-west.dreamlake.io/cruise-lines/costa-cruises&lt;/loc&gt;</t>
  </si>
  <si>
    <t>https://odysia-cruise-uk.client.prod.eu-west.dreamlake.io/cruise-lines/costa-cruises</t>
  </si>
  <si>
    <t>&lt;loc&gt;https://odysia-cruise-uk.client.prod.eu-west.dreamlake.io/cruise-lines/norwegian-cruise-line/norwegian-escape&lt;/loc&gt;</t>
  </si>
  <si>
    <t>https://odysia-cruise-uk.client.prod.eu-west.dreamlake.io/cruise-lines/norwegian-cruise-line/norwegian-escape</t>
  </si>
  <si>
    <t>&lt;loc&gt;https://odysia-cruise-uk.client.prod.eu-west.dreamlake.io/cruise-lines/costa-cruises/costa-serena/cruises&lt;/loc&gt;</t>
  </si>
  <si>
    <t>https://odysia-cruise-uk.client.prod.eu-west.dreamlake.io/cruise-lines/costa-cruises/costa-serena/cruises</t>
  </si>
  <si>
    <t>&lt;loc&gt;https://odysia-cruise-uk.client.prod.eu-west.dreamlake.io/cruise-lines/msc-cruises&lt;/loc&gt;</t>
  </si>
  <si>
    <t>https://odysia-cruise-uk.client.prod.eu-west.dreamlake.io/cruise-lines/msc-cruises</t>
  </si>
  <si>
    <t>&lt;loc&gt;https://odysia-cruise-uk.client.prod.eu-west.dreamlake.io/cruise-lines/cunard/queen-victoria&lt;/loc&gt;</t>
  </si>
  <si>
    <t>https://odysia-cruise-uk.client.prod.eu-west.dreamlake.io/cruise-lines/cunard/queen-victoria</t>
  </si>
  <si>
    <t>&lt;loc&gt;https://odysia-cruise-uk.client.prod.eu-west.dreamlake.io/cruise-lines/royal-caribbean/freedom-of-the-seas&lt;/loc&gt;</t>
  </si>
  <si>
    <t>https://odysia-cruise-uk.client.prod.eu-west.dreamlake.io/cruise-lines/royal-caribbean/freedom-of-the-seas</t>
  </si>
  <si>
    <t>&lt;loc&gt;https://odysia-cruise-uk.client.prod.eu-west.dreamlake.io/cruise-lines/po-cruises/arvia&lt;/loc&gt;</t>
  </si>
  <si>
    <t>https://odysia-cruise-uk.client.prod.eu-west.dreamlake.io/cruise-lines/po-cruises/arvia</t>
  </si>
  <si>
    <t>&lt;loc&gt;https://odysia-cruise-uk.client.prod.eu-west.dreamlake.io/cruise-lines/oceania-cruises/oceania-allura/cruises&lt;/loc&gt;</t>
  </si>
  <si>
    <t>https://odysia-cruise-uk.client.prod.eu-west.dreamlake.io/cruise-lines/oceania-cruises/oceania-allura/cruises</t>
  </si>
  <si>
    <t>&lt;loc&gt;https://odysia-cruise-uk.client.prod.eu-west.dreamlake.io/cruise-lines/norwegian-cruise-line/norwegian-getaway&lt;/loc&gt;</t>
  </si>
  <si>
    <t>https://odysia-cruise-uk.client.prod.eu-west.dreamlake.io/cruise-lines/norwegian-cruise-line/norwegian-getaway</t>
  </si>
  <si>
    <t>&lt;loc&gt;https://odysia-cruise-uk.client.prod.eu-west.dreamlake.io/cruise-calendar/polar-region-cruises&lt;/loc&gt;</t>
  </si>
  <si>
    <t>&lt;loc&gt;https://odysia-cruise-uk.client.prod.eu-west.dreamlake.io/cruise-lines/oceania-cruises/oceania-regatta/cruises&lt;/loc&gt;</t>
  </si>
  <si>
    <t>https://odysia-cruise-uk.client.prod.eu-west.dreamlake.io/cruise-lines/oceania-cruises/oceania-regatta/cruises</t>
  </si>
  <si>
    <t>&lt;loc&gt;https://odysia-cruise-uk.client.prod.eu-west.dreamlake.io/cruise-lines/royal-caribbean/navigator-of-the-seas&lt;/loc&gt;</t>
  </si>
  <si>
    <t>https://odysia-cruise-uk.client.prod.eu-west.dreamlake.io/cruise-lines/royal-caribbean/navigator-of-the-seas</t>
  </si>
  <si>
    <t>&lt;loc&gt;https://odysia-cruise-uk.client.prod.eu-west.dreamlake.io/cruise-lines/explora-journeys/explora-ii&lt;/loc&gt;</t>
  </si>
  <si>
    <t>https://odysia-cruise-uk.client.prod.eu-west.dreamlake.io/cruise-lines/explora-journeys/explora-ii</t>
  </si>
  <si>
    <t>&lt;loc&gt;https://odysia-cruise-uk.client.prod.eu-west.dreamlake.io/cruise-lines/seabourn/seabourn-venture/cruises&lt;/loc&gt;</t>
  </si>
  <si>
    <t>https://odysia-cruise-uk.client.prod.eu-west.dreamlake.io/cruise-lines/seabourn/seabourn-venture/cruises</t>
  </si>
  <si>
    <t>&lt;loc&gt;https://odysia-cruise-uk.client.prod.eu-west.dreamlake.io/cruise-lines/princess-cruises/discovery-princess&lt;/loc&gt;</t>
  </si>
  <si>
    <t>https://odysia-cruise-uk.client.prod.eu-west.dreamlake.io/cruise-lines/princess-cruises/discovery-princess</t>
  </si>
  <si>
    <t>&lt;loc&gt;https://odysia-cruise-uk.client.prod.eu-west.dreamlake.io/cruise-lines/msc-cruises/msc-virtuosa/cruises&lt;/loc&gt;</t>
  </si>
  <si>
    <t>https://odysia-cruise-uk.client.prod.eu-west.dreamlake.io/cruise-lines/msc-cruises/msc-virtuosa/cruises</t>
  </si>
  <si>
    <t>&lt;loc&gt;https://odysia-cruise-uk.client.prod.eu-west.dreamlake.io/cruise-lines&lt;/loc&gt;</t>
  </si>
  <si>
    <t>&lt;loc&gt;https://odysia-cruise-uk.client.prod.eu-west.dreamlake.io/cruise-lines/costa-cruises/costa-deliziosa/cruises&lt;/loc&gt;</t>
  </si>
  <si>
    <t>https://odysia-cruise-uk.client.prod.eu-west.dreamlake.io/cruise-lines/costa-cruises/costa-deliziosa/cruises</t>
  </si>
  <si>
    <t>&lt;loc&gt;https://odysia-cruise-uk.client.prod.eu-west.dreamlake.io/cruise-lines/holland-america-line/koningsdam/cruises&lt;/loc&gt;</t>
  </si>
  <si>
    <t>https://odysia-cruise-uk.client.prod.eu-west.dreamlake.io/cruise-lines/holland-america-line/koningsdam/cruises</t>
  </si>
  <si>
    <t>&lt;loc&gt;https://odysia-cruise-uk.client.prod.eu-west.dreamlake.io/cruise-lines/costa-cruises/costa-favolosa/cruises&lt;/loc&gt;</t>
  </si>
  <si>
    <t>https://odysia-cruise-uk.client.prod.eu-west.dreamlake.io/cruise-lines/costa-cruises/costa-favolosa/cruises</t>
  </si>
  <si>
    <t>&lt;loc&gt;https://odysia-cruise-uk.client.prod.eu-west.dreamlake.io/cruise-lines/norwegian-cruise-line/norwegian-gem&lt;/loc&gt;</t>
  </si>
  <si>
    <t>https://odysia-cruise-uk.client.prod.eu-west.dreamlake.io/cruise-lines/norwegian-cruise-line/norwegian-gem</t>
  </si>
  <si>
    <t>&lt;loc&gt;https://odysia-cruise-uk.client.prod.eu-west.dreamlake.io/cruise-lines/princess-cruises/star-princess&lt;/loc&gt;</t>
  </si>
  <si>
    <t>https://odysia-cruise-uk.client.prod.eu-west.dreamlake.io/cruise-lines/princess-cruises/star-princess</t>
  </si>
  <si>
    <t>&lt;loc&gt;https://odysia-cruise-uk.client.prod.eu-west.dreamlake.io/cruise-calendar/british-isles-cruises&lt;/loc&gt;</t>
  </si>
  <si>
    <t>&lt;loc&gt;https://odysia-cruise-uk.client.prod.eu-west.dreamlake.io/cruise-lines/celebrity-cruises/celebrity-flora/cruises&lt;/loc&gt;</t>
  </si>
  <si>
    <t>https://odysia-cruise-uk.client.prod.eu-west.dreamlake.io/cruise-lines/celebrity-cruises/celebrity-flora/cruises</t>
  </si>
  <si>
    <t>&lt;loc&gt;https://odysia-cruise-uk.client.prod.eu-west.dreamlake.io/cruise-lines/princess-cruises/island-princess&lt;/loc&gt;</t>
  </si>
  <si>
    <t>https://odysia-cruise-uk.client.prod.eu-west.dreamlake.io/cruise-lines/princess-cruises/island-princess</t>
  </si>
  <si>
    <t>&lt;loc&gt;https://odysia-cruise-uk.client.prod.eu-west.dreamlake.io/cruise-lines/ambassador-cruise-line&lt;/loc&gt;</t>
  </si>
  <si>
    <t>https://odysia-cruise-uk.client.prod.eu-west.dreamlake.io/cruise-lines/ambassador-cruise-line</t>
  </si>
  <si>
    <t>&lt;loc&gt;https://odysia-cruise-uk.client.prod.eu-west.dreamlake.io/cruise-lines/cunard/queen-mary-2/cruises&lt;/loc&gt;</t>
  </si>
  <si>
    <t>https://odysia-cruise-uk.client.prod.eu-west.dreamlake.io/cruise-lines/cunard/queen-mary-2/cruises</t>
  </si>
  <si>
    <t>&lt;loc&gt;https://odysia-cruise-uk.client.prod.eu-west.dreamlake.io/cruise-lines/fred-olsen-cruises/balmoral/cruises&lt;/loc&gt;</t>
  </si>
  <si>
    <t>https://odysia-cruise-uk.client.prod.eu-west.dreamlake.io/cruise-lines/fred-olsen-cruises/balmoral/cruises</t>
  </si>
  <si>
    <t>&lt;loc&gt;https://odysia-cruise-uk.client.prod.eu-west.dreamlake.io/cruise-lines/oceania-cruises/oceania-regatta&lt;/loc&gt;</t>
  </si>
  <si>
    <t>https://odysia-cruise-uk.client.prod.eu-west.dreamlake.io/cruise-lines/oceania-cruises/oceania-regatta</t>
  </si>
  <si>
    <t>&lt;loc&gt;https://odysia-cruise-uk.client.prod.eu-west.dreamlake.io/cruise-lines/po-cruises/iona/cruises&lt;/loc&gt;</t>
  </si>
  <si>
    <t>https://odysia-cruise-uk.client.prod.eu-west.dreamlake.io/cruise-lines/po-cruises/iona/cruises</t>
  </si>
  <si>
    <t>&lt;loc&gt;https://odysia-cruise-uk.client.prod.eu-west.dreamlake.io/cruise-lines/virgin-voyages&lt;/loc&gt;</t>
  </si>
  <si>
    <t>https://odysia-cruise-uk.client.prod.eu-west.dreamlake.io/cruise-lines/virgin-voyages</t>
  </si>
  <si>
    <t>&lt;loc&gt;https://odysia-cruise-uk.client.prod.eu-west.dreamlake.io/cruise-lines/norwegian-cruise-line/norwegian-viva/cruises&lt;/loc&gt;</t>
  </si>
  <si>
    <t>https://odysia-cruise-uk.client.prod.eu-west.dreamlake.io/cruise-lines/norwegian-cruise-line/norwegian-viva/cruises</t>
  </si>
  <si>
    <t>&lt;loc&gt;https://odysia-cruise-uk.client.prod.eu-west.dreamlake.io/cruise-lines/princess-cruises/emerald-princess/cruises&lt;/loc&gt;</t>
  </si>
  <si>
    <t>https://odysia-cruise-uk.client.prod.eu-west.dreamlake.io/cruise-lines/princess-cruises/emerald-princess/cruises</t>
  </si>
  <si>
    <t>&lt;loc&gt;https://odysia-cruise-uk.client.prod.eu-west.dreamlake.io/cruise-lines/costa-cruises/costa-smeralda&lt;/loc&gt;</t>
  </si>
  <si>
    <t>https://odysia-cruise-uk.client.prod.eu-west.dreamlake.io/cruise-lines/costa-cruises/costa-smeralda</t>
  </si>
  <si>
    <t>&lt;loc&gt;https://odysia-cruise-uk.client.prod.eu-west.dreamlake.io/cruise-lines/msc-cruises/msc-seaside/cruises&lt;/loc&gt;</t>
  </si>
  <si>
    <t>https://odysia-cruise-uk.client.prod.eu-west.dreamlake.io/cruise-lines/msc-cruises/msc-seaside/cruises</t>
  </si>
  <si>
    <t>&lt;loc&gt;https://odysia-cruise-uk.client.prod.eu-west.dreamlake.io/cruise-lines/royal-caribbean/serenade-of-the-seas&lt;/loc&gt;</t>
  </si>
  <si>
    <t>https://odysia-cruise-uk.client.prod.eu-west.dreamlake.io/cruise-lines/royal-caribbean/serenade-of-the-seas</t>
  </si>
  <si>
    <t>&lt;loc&gt;https://odysia-cruise-uk.client.prod.eu-west.dreamlake.io/cruise-lines/msc-cruises/msc-opera/cruises&lt;/loc&gt;</t>
  </si>
  <si>
    <t>https://odysia-cruise-uk.client.prod.eu-west.dreamlake.io/cruise-lines/msc-cruises/msc-opera/cruises</t>
  </si>
  <si>
    <t>&lt;loc&gt;https://odysia-cruise-uk.client.prod.eu-west.dreamlake.io/cruise-lines/celebrity-cruises/celebrity-eclipse/cruises&lt;/loc&gt;</t>
  </si>
  <si>
    <t>https://odysia-cruise-uk.client.prod.eu-west.dreamlake.io/cruise-lines/celebrity-cruises/celebrity-eclipse/cruises</t>
  </si>
  <si>
    <t>&lt;loc&gt;https://odysia-cruise-uk.client.prod.eu-west.dreamlake.io/cruise-lines/fred-olsen-cruises/borealis&lt;/loc&gt;</t>
  </si>
  <si>
    <t>https://odysia-cruise-uk.client.prod.eu-west.dreamlake.io/cruise-lines/fred-olsen-cruises/borealis</t>
  </si>
  <si>
    <t>&lt;loc&gt;https://odysia-cruise-uk.client.prod.eu-west.dreamlake.io/cruise-lines/costa-cruises/costa-diadema/cruises&lt;/loc&gt;</t>
  </si>
  <si>
    <t>https://odysia-cruise-uk.client.prod.eu-west.dreamlake.io/cruise-lines/costa-cruises/costa-diadema/cruises</t>
  </si>
  <si>
    <t>&lt;loc&gt;https://odysia-cruise-uk.client.prod.eu-west.dreamlake.io/cruise-lines/norwegian-cruise-line/norwegian-breakaway&lt;/loc&gt;</t>
  </si>
  <si>
    <t>https://odysia-cruise-uk.client.prod.eu-west.dreamlake.io/cruise-lines/norwegian-cruise-line/norwegian-breakaway</t>
  </si>
  <si>
    <t>&lt;loc&gt;https://odysia-cruise-uk.client.prod.eu-west.dreamlake.io/cruise-lines/regent-seven-seas-cruises/cruises&lt;/loc&gt;</t>
  </si>
  <si>
    <t>https://odysia-cruise-uk.client.prod.eu-west.dreamlake.io/cruise-lines/regent-seven-seas-cruises/cruises</t>
  </si>
  <si>
    <t>&lt;loc&gt;https://odysia-cruise-uk.client.prod.eu-west.dreamlake.io/cruise-lines/fred-olsen-cruises/bolette/cruises&lt;/loc&gt;</t>
  </si>
  <si>
    <t>https://odysia-cruise-uk.client.prod.eu-west.dreamlake.io/cruise-lines/fred-olsen-cruises/bolette/cruises</t>
  </si>
  <si>
    <t>&lt;loc&gt;https://odysia-cruise-uk.client.prod.eu-west.dreamlake.io/cruise-lines/msc-cruises/msc-armonia/cruises&lt;/loc&gt;</t>
  </si>
  <si>
    <t>https://odysia-cruise-uk.client.prod.eu-west.dreamlake.io/cruise-lines/msc-cruises/msc-armonia/cruises</t>
  </si>
  <si>
    <t>&lt;loc&gt;https://odysia-cruise-uk.client.prod.eu-west.dreamlake.io/cruise-lines/norwegian-cruise-line/norwegian-encore&lt;/loc&gt;</t>
  </si>
  <si>
    <t>https://odysia-cruise-uk.client.prod.eu-west.dreamlake.io/cruise-lines/norwegian-cruise-line/norwegian-encore</t>
  </si>
  <si>
    <t>&lt;loc&gt;https://odysia-cruise-uk.client.prod.eu-west.dreamlake.io/cruise-lines/po-cruises/azura/cruises&lt;/loc&gt;</t>
  </si>
  <si>
    <t>https://odysia-cruise-uk.client.prod.eu-west.dreamlake.io/cruise-lines/po-cruises/azura/cruises</t>
  </si>
  <si>
    <t>&lt;loc&gt;https://odysia-cruise-uk.client.prod.eu-west.dreamlake.io/cruise-lines/celebrity-cruises/celebrity-flora&lt;/loc&gt;</t>
  </si>
  <si>
    <t>https://odysia-cruise-uk.client.prod.eu-west.dreamlake.io/cruise-lines/celebrity-cruises/celebrity-flora</t>
  </si>
  <si>
    <t>&lt;loc&gt;https://odysia-cruise-uk.client.prod.eu-west.dreamlake.io/cruise-lines/msc-cruises/msc-seashore&lt;/loc&gt;</t>
  </si>
  <si>
    <t>https://odysia-cruise-uk.client.prod.eu-west.dreamlake.io/cruise-lines/msc-cruises/msc-seashore</t>
  </si>
  <si>
    <t>&lt;loc&gt;https://odysia-cruise-uk.client.prod.eu-west.dreamlake.io/cruise-lines/costa-cruises/costa-fascinosa/cruises&lt;/loc&gt;</t>
  </si>
  <si>
    <t>https://odysia-cruise-uk.client.prod.eu-west.dreamlake.io/cruise-lines/costa-cruises/costa-fascinosa/cruises</t>
  </si>
  <si>
    <t>&lt;loc&gt;https://odysia-cruise-uk.client.prod.eu-west.dreamlake.io/cruise-lines/princess-cruises/sun-princess/cruises&lt;/loc&gt;</t>
  </si>
  <si>
    <t>https://odysia-cruise-uk.client.prod.eu-west.dreamlake.io/cruise-lines/princess-cruises/sun-princess/cruises</t>
  </si>
  <si>
    <t>&lt;loc&gt;https://odysia-cruise-uk.client.prod.eu-west.dreamlake.io/cruise-lines/holland-america-line&lt;/loc&gt;</t>
  </si>
  <si>
    <t>https://odysia-cruise-uk.client.prod.eu-west.dreamlake.io/cruise-lines/holland-america-line</t>
  </si>
  <si>
    <t>&lt;loc&gt;https://odysia-cruise-uk.client.prod.eu-west.dreamlake.io/cruise-lines/azamara&lt;/loc&gt;</t>
  </si>
  <si>
    <t>&lt;loc&gt;https://odysia-cruise-uk.client.prod.eu-west.dreamlake.io/cruise-lines/princess-cruises/sun-princess&lt;/loc&gt;</t>
  </si>
  <si>
    <t>https://odysia-cruise-uk.client.prod.eu-west.dreamlake.io/cruise-lines/princess-cruises/sun-princess</t>
  </si>
  <si>
    <t>&lt;loc&gt;https://odysia-cruise-uk.client.prod.eu-west.dreamlake.io/cruise-lines/azamara/azamara-quest/cruises&lt;/loc&gt;</t>
  </si>
  <si>
    <t>&lt;loc&gt;https://odysia-cruise-uk.client.prod.eu-west.dreamlake.io/cruise-lines/msc-cruises/msc-world-europa&lt;/loc&gt;</t>
  </si>
  <si>
    <t>https://odysia-cruise-uk.client.prod.eu-west.dreamlake.io/cruise-lines/msc-cruises/msc-world-europa</t>
  </si>
  <si>
    <t>&lt;loc&gt;https://odysia-cruise-uk.client.prod.eu-west.dreamlake.io/cruise-lines/princess-cruises/regal-princess/cruises&lt;/loc&gt;</t>
  </si>
  <si>
    <t>https://odysia-cruise-uk.client.prod.eu-west.dreamlake.io/cruise-lines/princess-cruises/regal-princess/cruises</t>
  </si>
  <si>
    <t>&lt;loc&gt;https://odysia-cruise-uk.client.prod.eu-west.dreamlake.io/cruise-lines/royal-caribbean/oasis-of-the-seas&lt;/loc&gt;</t>
  </si>
  <si>
    <t>https://odysia-cruise-uk.client.prod.eu-west.dreamlake.io/cruise-lines/royal-caribbean/oasis-of-the-seas</t>
  </si>
  <si>
    <t>&lt;loc&gt;https://odysia-cruise-uk.client.prod.eu-west.dreamlake.io/cruise-lines/seabourn/seabourn-ovation/cruises&lt;/loc&gt;</t>
  </si>
  <si>
    <t>https://odysia-cruise-uk.client.prod.eu-west.dreamlake.io/cruise-lines/seabourn/seabourn-ovation/cruises</t>
  </si>
  <si>
    <t>&lt;loc&gt;https://odysia-cruise-uk.client.prod.eu-west.dreamlake.io/cruise-lines/royal-caribbean/spectrum-of-the-seas/cruises&lt;/loc&gt;</t>
  </si>
  <si>
    <t>https://odysia-cruise-uk.client.prod.eu-west.dreamlake.io/cruise-lines/royal-caribbean/spectrum-of-the-seas/cruises</t>
  </si>
  <si>
    <t>&lt;loc&gt;https://odysia-cruise-uk.client.prod.eu-west.dreamlake.io/cruise-lines/cunard/queen-victoria/cruises&lt;/loc&gt;</t>
  </si>
  <si>
    <t>https://odysia-cruise-uk.client.prod.eu-west.dreamlake.io/cruise-lines/cunard/queen-victoria/cruises</t>
  </si>
  <si>
    <t>&lt;loc&gt;https://odysia-cruise-uk.client.prod.eu-west.dreamlake.io/cruise-lines/royal-caribbean/rhapsody-of-the-seas/cruises&lt;/loc&gt;</t>
  </si>
  <si>
    <t>https://odysia-cruise-uk.client.prod.eu-west.dreamlake.io/cruise-lines/royal-caribbean/rhapsody-of-the-seas/cruises</t>
  </si>
  <si>
    <t>&lt;loc&gt;https://odysia-cruise-uk.client.prod.eu-west.dreamlake.io/cruise-lines/royal-caribbean/ovation-of-the-seas&lt;/loc&gt;</t>
  </si>
  <si>
    <t>https://odysia-cruise-uk.client.prod.eu-west.dreamlake.io/cruise-lines/royal-caribbean/ovation-of-the-seas</t>
  </si>
  <si>
    <t>&lt;loc&gt;https://odysia-cruise-uk.client.prod.eu-west.dreamlake.io/cruise-lines/princess-cruises/caribbean-princess/cruises&lt;/loc&gt;</t>
  </si>
  <si>
    <t>https://odysia-cruise-uk.client.prod.eu-west.dreamlake.io/cruise-lines/princess-cruises/caribbean-princess/cruises</t>
  </si>
  <si>
    <t>&lt;loc&gt;https://odysia-cruise-uk.client.prod.eu-west.dreamlake.io/cruise-lines/norwegian-cruise-line/norwegian-joy/cruises&lt;/loc&gt;</t>
  </si>
  <si>
    <t>https://odysia-cruise-uk.client.prod.eu-west.dreamlake.io/cruise-lines/norwegian-cruise-line/norwegian-joy/cruises</t>
  </si>
  <si>
    <t>&lt;loc&gt;https://odysia-cruise-uk.client.prod.eu-west.dreamlake.io/cruise-lines/cunard/queen-elizabeth/cruises&lt;/loc&gt;</t>
  </si>
  <si>
    <t>https://odysia-cruise-uk.client.prod.eu-west.dreamlake.io/cruise-lines/cunard/queen-elizabeth/cruises</t>
  </si>
  <si>
    <t>&lt;loc&gt;https://odysia-cruise-uk.client.prod.eu-west.dreamlake.io/cruise-lines/seabourn/seabourn-venture&lt;/loc&gt;</t>
  </si>
  <si>
    <t>https://odysia-cruise-uk.client.prod.eu-west.dreamlake.io/cruise-lines/seabourn/seabourn-venture</t>
  </si>
  <si>
    <t>&lt;loc&gt;https://odysia-cruise-uk.client.prod.eu-west.dreamlake.io/cruise-lines/oceania-cruises/oceania-vista&lt;/loc&gt;</t>
  </si>
  <si>
    <t>https://odysia-cruise-uk.client.prod.eu-west.dreamlake.io/cruise-lines/oceania-cruises/oceania-vista</t>
  </si>
  <si>
    <t>&lt;loc&gt;https://odysia-cruise-uk.client.prod.eu-west.dreamlake.io/cruise-lines/royal-caribbean/symphony-of-the-seas&lt;/loc&gt;</t>
  </si>
  <si>
    <t>https://odysia-cruise-uk.client.prod.eu-west.dreamlake.io/cruise-lines/royal-caribbean/symphony-of-the-seas</t>
  </si>
  <si>
    <t>&lt;loc&gt;https://odysia-cruise-uk.client.prod.eu-west.dreamlake.io/cruise-lines/norwegian-cruise-line/norwegian-epic/cruises&lt;/loc&gt;</t>
  </si>
  <si>
    <t>https://odysia-cruise-uk.client.prod.eu-west.dreamlake.io/cruise-lines/norwegian-cruise-line/norwegian-epic/cruises</t>
  </si>
  <si>
    <t>&lt;loc&gt;https://odysia-cruise-uk.client.prod.eu-west.dreamlake.io/cruise-lines/celebrity-cruises/celebrity-apex/cruises&lt;/loc&gt;</t>
  </si>
  <si>
    <t>https://odysia-cruise-uk.client.prod.eu-west.dreamlake.io/cruise-lines/celebrity-cruises/celebrity-apex/cruises</t>
  </si>
  <si>
    <t>&lt;loc&gt;https://odysia-cruise-uk.client.prod.eu-west.dreamlake.io/destinations/canary-islands-cruises&lt;/loc&gt;</t>
  </si>
  <si>
    <t>&lt;loc&gt;https://odysia-cruise-uk.client.prod.eu-west.dreamlake.io/cruise-lines/norwegian-cruise-line/norwegian-bliss/cruises&lt;/loc&gt;</t>
  </si>
  <si>
    <t>https://odysia-cruise-uk.client.prod.eu-west.dreamlake.io/cruise-lines/norwegian-cruise-line/norwegian-bliss/cruises</t>
  </si>
  <si>
    <t>&lt;loc&gt;https://odysia-cruise-uk.client.prod.eu-west.dreamlake.io/cruise-lines/princess-cruises/grand-princess/cruises&lt;/loc&gt;</t>
  </si>
  <si>
    <t>https://odysia-cruise-uk.client.prod.eu-west.dreamlake.io/cruise-lines/princess-cruises/grand-princess/cruises</t>
  </si>
  <si>
    <t>&lt;loc&gt;https://odysia-cruise-uk.client.prod.eu-west.dreamlake.io/cruise-lines/explora-journeys/explora-i/cruises&lt;/loc&gt;</t>
  </si>
  <si>
    <t>https://odysia-cruise-uk.client.prod.eu-west.dreamlake.io/cruise-lines/explora-journeys/explora-i/cruises</t>
  </si>
  <si>
    <t>&lt;loc&gt;https://odysia-cruise-uk.client.prod.eu-west.dreamlake.io/cruise-lines/royal-caribbean/voyager-of-the-seas&lt;/loc&gt;</t>
  </si>
  <si>
    <t>https://odysia-cruise-uk.client.prod.eu-west.dreamlake.io/cruise-lines/royal-caribbean/voyager-of-the-seas</t>
  </si>
  <si>
    <t>&lt;loc&gt;https://odysia-cruise-uk.client.prod.eu-west.dreamlake.io/cruise-deals/cruises-from-portsmouth&lt;/loc&gt;</t>
  </si>
  <si>
    <t>https://odysia-cruise-uk.client.prod.eu-west.dreamlake.io/cruise-deals/cruises-from-portsmouth</t>
  </si>
  <si>
    <t>&lt;loc&gt;https://odysia-cruise-uk.client.prod.eu-west.dreamlake.io/cruise-lines/costa-cruises/cruises&lt;/loc&gt;</t>
  </si>
  <si>
    <t>https://odysia-cruise-uk.client.prod.eu-west.dreamlake.io/cruise-lines/costa-cruises/cruises</t>
  </si>
  <si>
    <t>&lt;loc&gt;https://odysia-cruise-uk.client.prod.eu-west.dreamlake.io/cruise-lines/celebrity-cruises/celebrity-eclipse&lt;/loc&gt;</t>
  </si>
  <si>
    <t>https://odysia-cruise-uk.client.prod.eu-west.dreamlake.io/cruise-lines/celebrity-cruises/celebrity-eclipse</t>
  </si>
  <si>
    <t>&lt;loc&gt;https://odysia-cruise-uk.client.prod.eu-west.dreamlake.io/cruise-lines/celebrity-cruises/celebrity-beyond&lt;/loc&gt;</t>
  </si>
  <si>
    <t>https://odysia-cruise-uk.client.prod.eu-west.dreamlake.io/cruise-lines/celebrity-cruises/celebrity-beyond</t>
  </si>
  <si>
    <t>&lt;loc&gt;https://odysia-cruise-uk.client.prod.eu-west.dreamlake.io/cruise-lines/royal-caribbean/explorer-of-the-seas&lt;/loc&gt;</t>
  </si>
  <si>
    <t>https://odysia-cruise-uk.client.prod.eu-west.dreamlake.io/cruise-lines/royal-caribbean/explorer-of-the-seas</t>
  </si>
  <si>
    <t>&lt;loc&gt;https://odysia-cruise-uk.client.prod.eu-west.dreamlake.io/cruise-lines/celebrity-cruises/celebrity-constellation/cruises&lt;/loc&gt;</t>
  </si>
  <si>
    <t>https://odysia-cruise-uk.client.prod.eu-west.dreamlake.io/cruise-lines/celebrity-cruises/celebrity-constellation/cruises</t>
  </si>
  <si>
    <t>&lt;loc&gt;https://odysia-cruise-uk.client.prod.eu-west.dreamlake.io/cruise-lines/po-cruises/arvia/cruises&lt;/loc&gt;</t>
  </si>
  <si>
    <t>https://odysia-cruise-uk.client.prod.eu-west.dreamlake.io/cruise-lines/po-cruises/arvia/cruises</t>
  </si>
  <si>
    <t>&lt;loc&gt;https://odysia-cruise-uk.client.prod.eu-west.dreamlake.io/cruise-lines/ambassador-cruise-line/ambition&lt;/loc&gt;</t>
  </si>
  <si>
    <t>https://odysia-cruise-uk.client.prod.eu-west.dreamlake.io/cruise-lines/ambassador-cruise-line/ambition</t>
  </si>
  <si>
    <t>&lt;loc&gt;https://odysia-cruise-uk.client.prod.eu-west.dreamlake.io/cruise-lines/msc-cruises/msc-divina/cruises&lt;/loc&gt;</t>
  </si>
  <si>
    <t>https://odysia-cruise-uk.client.prod.eu-west.dreamlake.io/cruise-lines/msc-cruises/msc-divina/cruises</t>
  </si>
  <si>
    <t>&lt;loc&gt;https://odysia-cruise-uk.client.prod.eu-west.dreamlake.io/cruise-lines/seabourn/seabourn-encore&lt;/loc&gt;</t>
  </si>
  <si>
    <t>https://odysia-cruise-uk.client.prod.eu-west.dreamlake.io/cruise-lines/seabourn/seabourn-encore</t>
  </si>
  <si>
    <t>&lt;loc&gt;https://odysia-cruise-uk.client.prod.eu-west.dreamlake.io/cruise-lines/norwegian-cruise-line/norwegian-sun/cruises&lt;/loc&gt;</t>
  </si>
  <si>
    <t>https://odysia-cruise-uk.client.prod.eu-west.dreamlake.io/cruise-lines/norwegian-cruise-line/norwegian-sun/cruises</t>
  </si>
  <si>
    <t>&lt;loc&gt;https://odysia-cruise-uk.client.prod.eu-west.dreamlake.io/cruise-lines/princess-cruises/diamond-princess/cruises&lt;/loc&gt;</t>
  </si>
  <si>
    <t>https://odysia-cruise-uk.client.prod.eu-west.dreamlake.io/cruise-lines/princess-cruises/diamond-princess/cruises</t>
  </si>
  <si>
    <t>&lt;loc&gt;https://odysia-cruise-uk.client.prod.eu-west.dreamlake.io/cruise-lines/princess-cruises/crown-princess&lt;/loc&gt;</t>
  </si>
  <si>
    <t>https://odysia-cruise-uk.client.prod.eu-west.dreamlake.io/cruise-lines/princess-cruises/crown-princess</t>
  </si>
  <si>
    <t>&lt;loc&gt;https://odysia-cruise-uk.client.prod.eu-west.dreamlake.io/cruise-lines/oceania-cruises/oceania-insignia/cruises&lt;/loc&gt;</t>
  </si>
  <si>
    <t>https://odysia-cruise-uk.client.prod.eu-west.dreamlake.io/cruise-lines/oceania-cruises/oceania-insignia/cruises</t>
  </si>
  <si>
    <t>&lt;loc&gt;https://odysia-cruise-uk.client.prod.eu-west.dreamlake.io/cruise-lines/msc-cruises/msc-magnifica&lt;/loc&gt;</t>
  </si>
  <si>
    <t>https://odysia-cruise-uk.client.prod.eu-west.dreamlake.io/cruise-lines/msc-cruises/msc-magnifica</t>
  </si>
  <si>
    <t>&lt;loc&gt;https://odysia-cruise-uk.client.prod.eu-west.dreamlake.io/cruise-lines/seabourn/seabourn-sojourn&lt;/loc&gt;</t>
  </si>
  <si>
    <t>https://odysia-cruise-uk.client.prod.eu-west.dreamlake.io/cruise-lines/seabourn/seabourn-sojourn</t>
  </si>
  <si>
    <t>&lt;loc&gt;https://odysia-cruise-uk.client.prod.eu-west.dreamlake.io/cruise-lines/msc-cruises/msc-splendida&lt;/loc&gt;</t>
  </si>
  <si>
    <t>https://odysia-cruise-uk.client.prod.eu-west.dreamlake.io/cruise-lines/msc-cruises/msc-splendida</t>
  </si>
  <si>
    <t>&lt;loc&gt;https://odysia-cruise-uk.client.prod.eu-west.dreamlake.io/cruise-lines/msc-cruises/msc-poesia&lt;/loc&gt;</t>
  </si>
  <si>
    <t>https://odysia-cruise-uk.client.prod.eu-west.dreamlake.io/cruise-lines/msc-cruises/msc-poesia</t>
  </si>
  <si>
    <t>&lt;loc&gt;https://odysia-cruise-uk.client.prod.eu-west.dreamlake.io/cruise-lines/msc-cruises/msc-sinfonia/cruises&lt;/loc&gt;</t>
  </si>
  <si>
    <t>https://odysia-cruise-uk.client.prod.eu-west.dreamlake.io/cruise-lines/msc-cruises/msc-sinfonia/cruises</t>
  </si>
  <si>
    <t>&lt;loc&gt;https://odysia-cruise-uk.client.prod.eu-west.dreamlake.io/cruise-lines/norwegian-cruise-line/norwegian-getaway/cruises&lt;/loc&gt;</t>
  </si>
  <si>
    <t>https://odysia-cruise-uk.client.prod.eu-west.dreamlake.io/cruise-lines/norwegian-cruise-line/norwegian-getaway/cruises</t>
  </si>
  <si>
    <t>&lt;loc&gt;https://odysia-cruise-uk.client.prod.eu-west.dreamlake.io/cruise-lines/royal-caribbean/oasis-of-the-seas/cruises&lt;/loc&gt;</t>
  </si>
  <si>
    <t>https://odysia-cruise-uk.client.prod.eu-west.dreamlake.io/cruise-lines/royal-caribbean/oasis-of-the-seas/cruises</t>
  </si>
  <si>
    <t>&lt;loc&gt;https://odysia-cruise-uk.client.prod.eu-west.dreamlake.io/cruise-lines/po-cruises/arcadia&lt;/loc&gt;</t>
  </si>
  <si>
    <t>https://odysia-cruise-uk.client.prod.eu-west.dreamlake.io/cruise-lines/po-cruises/arcadia</t>
  </si>
  <si>
    <t>&lt;loc&gt;https://odysia-cruise-uk.client.prod.eu-west.dreamlake.io/cruise-lines/royal-caribbean/ovation-of-the-seas/cruises&lt;/loc&gt;</t>
  </si>
  <si>
    <t>https://odysia-cruise-uk.client.prod.eu-west.dreamlake.io/cruise-lines/royal-caribbean/ovation-of-the-seas/cruises</t>
  </si>
  <si>
    <t>&lt;loc&gt;https://odysia-cruise-uk.client.prod.eu-west.dreamlake.io/cruise-lines/celebrity-cruises/celebrity-constellation&lt;/loc&gt;</t>
  </si>
  <si>
    <t>https://odysia-cruise-uk.client.prod.eu-west.dreamlake.io/cruise-lines/celebrity-cruises/celebrity-constellation</t>
  </si>
  <si>
    <t>&lt;loc&gt;https://odysia-cruise-uk.client.prod.eu-west.dreamlake.io/cruise-lines/holland-america-line/nieuw-statendam&lt;/loc&gt;</t>
  </si>
  <si>
    <t>https://odysia-cruise-uk.client.prod.eu-west.dreamlake.io/cruise-lines/holland-america-line/nieuw-statendam</t>
  </si>
  <si>
    <t>&lt;loc&gt;https://odysia-cruise-uk.client.prod.eu-west.dreamlake.io/cruise-lines/msc-cruises/msc-lirica&lt;/loc&gt;</t>
  </si>
  <si>
    <t>https://odysia-cruise-uk.client.prod.eu-west.dreamlake.io/cruise-lines/msc-cruises/msc-lirica</t>
  </si>
  <si>
    <t>&lt;loc&gt;https://odysia-cruise-uk.client.prod.eu-west.dreamlake.io/cruise-lines/norwegian-cruise-line/norwegian-luna/cruises&lt;/loc&gt;</t>
  </si>
  <si>
    <t>https://odysia-cruise-uk.client.prod.eu-west.dreamlake.io/cruise-lines/norwegian-cruise-line/norwegian-luna/cruises</t>
  </si>
  <si>
    <t>&lt;loc&gt;https://odysia-cruise-uk.client.prod.eu-west.dreamlake.io/cruise-lines/regent-seven-seas-cruises/seven-seas-explorer/cruises&lt;/loc&gt;</t>
  </si>
  <si>
    <t>https://odysia-cruise-uk.client.prod.eu-west.dreamlake.io/cruise-lines/regent-seven-seas-cruises/seven-seas-explorer/cruises</t>
  </si>
  <si>
    <t>&lt;loc&gt;https://odysia-cruise-uk.client.prod.eu-west.dreamlake.io/cruise-lines/msc-cruises/msc-fantasia&lt;/loc&gt;</t>
  </si>
  <si>
    <t>https://odysia-cruise-uk.client.prod.eu-west.dreamlake.io/cruise-lines/msc-cruises/msc-fantasia</t>
  </si>
  <si>
    <t>&lt;loc&gt;https://odysia-cruise-uk.client.prod.eu-west.dreamlake.io/cruise-lines/msc-cruises/msc-preziosa/cruises&lt;/loc&gt;</t>
  </si>
  <si>
    <t>https://odysia-cruise-uk.client.prod.eu-west.dreamlake.io/cruise-lines/msc-cruises/msc-preziosa/cruises</t>
  </si>
  <si>
    <t>&lt;loc&gt;https://odysia-cruise-uk.client.prod.eu-west.dreamlake.io/cruise-lines/azamara/cruises&lt;/loc&gt;</t>
  </si>
  <si>
    <t>&lt;loc&gt;https://odysia-cruise-uk.client.prod.eu-west.dreamlake.io/cruise-lines/royal-caribbean/explorer-of-the-seas/cruises&lt;/loc&gt;</t>
  </si>
  <si>
    <t>https://odysia-cruise-uk.client.prod.eu-west.dreamlake.io/cruise-lines/royal-caribbean/explorer-of-the-seas/cruises</t>
  </si>
  <si>
    <t>&lt;loc&gt;https://odysia-cruise-uk.client.prod.eu-west.dreamlake.io/cruise-lines/celebrity-cruises/celebrity-xcel&lt;/loc&gt;</t>
  </si>
  <si>
    <t>https://odysia-cruise-uk.client.prod.eu-west.dreamlake.io/cruise-lines/celebrity-cruises/celebrity-xcel</t>
  </si>
  <si>
    <t>&lt;loc&gt;https://odysia-cruise-uk.client.prod.eu-west.dreamlake.io/cruise-calendar/canary-islands-cruise-dates&lt;/loc&gt;</t>
  </si>
  <si>
    <t>&lt;loc&gt;https://odysia-cruise-uk.client.prod.eu-west.dreamlake.io/cruise-lines/oceania-cruises/oceania-insignia&lt;/loc&gt;</t>
  </si>
  <si>
    <t>https://odysia-cruise-uk.client.prod.eu-west.dreamlake.io/cruise-lines/oceania-cruises/oceania-insignia</t>
  </si>
  <si>
    <t>&lt;loc&gt;https://odysia-cruise-uk.client.prod.eu-west.dreamlake.io/cruise-deals/cruises-from-newcastle&lt;/loc&gt;</t>
  </si>
  <si>
    <t>https://odysia-cruise-uk.client.prod.eu-west.dreamlake.io/cruise-deals/cruises-from-newcastle</t>
  </si>
  <si>
    <t>&lt;loc&gt;https://odysia-cruise-uk.client.prod.eu-west.dreamlake.io/cruise-lines/princess-cruises/sapphire-princess&lt;/loc&gt;</t>
  </si>
  <si>
    <t>https://odysia-cruise-uk.client.prod.eu-west.dreamlake.io/cruise-lines/princess-cruises/sapphire-princess</t>
  </si>
  <si>
    <t>&lt;loc&gt;https://odysia-cruise-uk.client.prod.eu-west.dreamlake.io/destinations/northern-europe-cruises&lt;/loc&gt;</t>
  </si>
  <si>
    <t>&lt;loc&gt;https://odysia-cruise-uk.client.prod.eu-west.dreamlake.io/cruise-lines/celebrity-cruises/celebrity-millennium/cruises&lt;/loc&gt;</t>
  </si>
  <si>
    <t>https://odysia-cruise-uk.client.prod.eu-west.dreamlake.io/cruise-lines/celebrity-cruises/celebrity-millennium/cruises</t>
  </si>
  <si>
    <t>&lt;loc&gt;https://odysia-cruise-uk.client.prod.eu-west.dreamlake.io/destinations/polar-regions-cruises&lt;/loc&gt;</t>
  </si>
  <si>
    <t>&lt;loc&gt;https://odysia-cruise-uk.client.prod.eu-west.dreamlake.io/cruise-calendar&lt;/loc&gt;</t>
  </si>
  <si>
    <t>&lt;loc&gt;https://odysia-cruise-uk.client.prod.eu-west.dreamlake.io/cruise-lines/celebrity-cruises/celebrity-ascent&lt;/loc&gt;</t>
  </si>
  <si>
    <t>https://odysia-cruise-uk.client.prod.eu-west.dreamlake.io/cruise-lines/celebrity-cruises/celebrity-ascent</t>
  </si>
  <si>
    <t>&lt;loc&gt;https://odysia-cruise-uk.client.prod.eu-west.dreamlake.io/cruise-lines/princess-cruises/island-princess/cruises&lt;/loc&gt;</t>
  </si>
  <si>
    <t>https://odysia-cruise-uk.client.prod.eu-west.dreamlake.io/cruise-lines/princess-cruises/island-princess/cruises</t>
  </si>
  <si>
    <t>&lt;loc&gt;https://odysia-cruise-uk.client.prod.eu-west.dreamlake.io/cruise-lines/celebrity-cruises/celebrity-xcel/cruises&lt;/loc&gt;</t>
  </si>
  <si>
    <t>https://odysia-cruise-uk.client.prod.eu-west.dreamlake.io/cruise-lines/celebrity-cruises/celebrity-xcel/cruises</t>
  </si>
  <si>
    <t>&lt;loc&gt;https://odysia-cruise-uk.client.prod.eu-west.dreamlake.io/cruise-lines/royal-caribbean/legend-of-the-seas/cruises&lt;/loc&gt;</t>
  </si>
  <si>
    <t>https://odysia-cruise-uk.client.prod.eu-west.dreamlake.io/cruise-lines/royal-caribbean/legend-of-the-seas/cruises</t>
  </si>
  <si>
    <t>&lt;loc&gt;https://odysia-cruise-uk.client.prod.eu-west.dreamlake.io/cruise-lines/royal-caribbean/adventure-of-the-seas/cruises&lt;/loc&gt;</t>
  </si>
  <si>
    <t>https://odysia-cruise-uk.client.prod.eu-west.dreamlake.io/cruise-lines/royal-caribbean/adventure-of-the-seas/cruises</t>
  </si>
  <si>
    <t>&lt;loc&gt;https://odysia-cruise-uk.client.prod.eu-west.dreamlake.io/cruise-lines/azamara/azamara-quest&lt;/loc&gt;</t>
  </si>
  <si>
    <t>&lt;loc&gt;https://odysia-cruise-uk.client.prod.eu-west.dreamlake.io/cruise-lines/holland-america-line/nieuw-statendam/cruises&lt;/loc&gt;</t>
  </si>
  <si>
    <t>https://odysia-cruise-uk.client.prod.eu-west.dreamlake.io/cruise-lines/holland-america-line/nieuw-statendam/cruises</t>
  </si>
  <si>
    <t>&lt;loc&gt;https://odysia-cruise-uk.client.prod.eu-west.dreamlake.io/cruise-lines/oceania-cruises&lt;/loc&gt;</t>
  </si>
  <si>
    <t>https://odysia-cruise-uk.client.prod.eu-west.dreamlake.io/cruise-lines/oceania-cruises</t>
  </si>
  <si>
    <t>&lt;loc&gt;https://odysia-cruise-uk.client.prod.eu-west.dreamlake.io/cruise-lines/celebrity-cruises&lt;/loc&gt;</t>
  </si>
  <si>
    <t>https://odysia-cruise-uk.client.prod.eu-west.dreamlake.io/cruise-lines/celebrity-cruises</t>
  </si>
  <si>
    <t>&lt;loc&gt;https://odysia-cruise-uk.client.prod.eu-west.dreamlake.io/cruise-lines/costa-cruises/costa-pacifica&lt;/loc&gt;</t>
  </si>
  <si>
    <t>https://odysia-cruise-uk.client.prod.eu-west.dreamlake.io/cruise-lines/costa-cruises/costa-pacifica</t>
  </si>
  <si>
    <t>&lt;loc&gt;https://odysia-cruise-uk.client.prod.eu-west.dreamlake.io/cruise-lines/royal-caribbean/allure-of-the-seas&lt;/loc&gt;</t>
  </si>
  <si>
    <t>https://odysia-cruise-uk.client.prod.eu-west.dreamlake.io/cruise-lines/royal-caribbean/allure-of-the-seas</t>
  </si>
  <si>
    <t>&lt;loc&gt;https://odysia-cruise-uk.client.prod.eu-west.dreamlake.io/destinations/transatlantic-cruises&lt;/loc&gt;</t>
  </si>
  <si>
    <t>&lt;loc&gt;https://odysia-cruise-uk.client.prod.eu-west.dreamlake.io/cruise-lines/msc-cruises/msc-poesia/cruises&lt;/loc&gt;</t>
  </si>
  <si>
    <t>https://odysia-cruise-uk.client.prod.eu-west.dreamlake.io/cruise-lines/msc-cruises/msc-poesia/cruises</t>
  </si>
  <si>
    <t>&lt;loc&gt;https://odysia-cruise-uk.client.prod.eu-west.dreamlake.io/cruise-lines/msc-cruises/msc-bellissima/cruises&lt;/loc&gt;</t>
  </si>
  <si>
    <t>https://odysia-cruise-uk.client.prod.eu-west.dreamlake.io/cruise-lines/msc-cruises/msc-bellissima/cruises</t>
  </si>
  <si>
    <t>&lt;loc&gt;https://odysia-cruise-uk.client.prod.eu-west.dreamlake.io/cruise-lines/holland-america-line/noordam/cruises&lt;/loc&gt;</t>
  </si>
  <si>
    <t>https://odysia-cruise-uk.client.prod.eu-west.dreamlake.io/cruise-lines/holland-america-line/noordam/cruises</t>
  </si>
  <si>
    <t>&lt;loc&gt;https://odysia-cruise-uk.client.prod.eu-west.dreamlake.io/cruise-lines/azamara/azamara-journey/cruises&lt;/loc&gt;</t>
  </si>
  <si>
    <t>&lt;loc&gt;https://odysia-cruise-uk.client.prod.eu-west.dreamlake.io/cruise-lines/regent-seven-seas-cruises/seven-seas-grandeur&lt;/loc&gt;</t>
  </si>
  <si>
    <t>https://odysia-cruise-uk.client.prod.eu-west.dreamlake.io/cruise-lines/regent-seven-seas-cruises/seven-seas-grandeur</t>
  </si>
  <si>
    <t>&lt;loc&gt;https://odysia-cruise-uk.client.prod.eu-west.dreamlake.io/cruise-lines/cunard&lt;/loc&gt;</t>
  </si>
  <si>
    <t>https://odysia-cruise-uk.client.prod.eu-west.dreamlake.io/cruise-lines/cunard</t>
  </si>
  <si>
    <t>&lt;loc&gt;https://odysia-cruise-uk.client.prod.eu-west.dreamlake.io/cruise-lines/costa-cruises/costa-toscana&lt;/loc&gt;</t>
  </si>
  <si>
    <t>https://odysia-cruise-uk.client.prod.eu-west.dreamlake.io/cruise-lines/costa-cruises/costa-toscana</t>
  </si>
  <si>
    <t>&lt;loc&gt;https://odysia-cruise-uk.client.prod.eu-west.dreamlake.io/cruise-lines/princess-cruises/coral-princess&lt;/loc&gt;</t>
  </si>
  <si>
    <t>https://odysia-cruise-uk.client.prod.eu-west.dreamlake.io/cruise-lines/princess-cruises/coral-princess</t>
  </si>
  <si>
    <t>&lt;loc&gt;https://odysia-cruise-uk.client.prod.eu-west.dreamlake.io/cruise-lines/cunard/queen-elizabeth&lt;/loc&gt;</t>
  </si>
  <si>
    <t>https://odysia-cruise-uk.client.prod.eu-west.dreamlake.io/cruise-lines/cunard/queen-elizabeth</t>
  </si>
  <si>
    <t>&lt;loc&gt;https://odysia-cruise-uk.client.prod.eu-west.dreamlake.io/cruise-lines/msc-cruises/msc-meraviglia/cruises&lt;/loc&gt;</t>
  </si>
  <si>
    <t>https://odysia-cruise-uk.client.prod.eu-west.dreamlake.io/cruise-lines/msc-cruises/msc-meraviglia/cruises</t>
  </si>
  <si>
    <t>&lt;loc&gt;https://odysia-cruise-uk.client.prod.eu-west.dreamlake.io/cruise-lines/norwegian-cruise-line/norwegian-escape/cruises&lt;/loc&gt;</t>
  </si>
  <si>
    <t>https://odysia-cruise-uk.client.prod.eu-west.dreamlake.io/cruise-lines/norwegian-cruise-line/norwegian-escape/cruises</t>
  </si>
  <si>
    <t>&lt;loc&gt;https://odysia-cruise-uk.client.prod.eu-west.dreamlake.io/cruise-lines/msc-cruises/msc-fantasia/cruises&lt;/loc&gt;</t>
  </si>
  <si>
    <t>https://odysia-cruise-uk.client.prod.eu-west.dreamlake.io/cruise-lines/msc-cruises/msc-fantasia/cruises</t>
  </si>
  <si>
    <t>&lt;loc&gt;https://odysia-cruise-uk.client.prod.eu-west.dreamlake.io/cruise-lines/oceania-cruises/oceania-sirena/cruises&lt;/loc&gt;</t>
  </si>
  <si>
    <t>https://odysia-cruise-uk.client.prod.eu-west.dreamlake.io/cruise-lines/oceania-cruises/oceania-sirena/cruises</t>
  </si>
  <si>
    <t>&lt;loc&gt;https://odysia-cruise-uk.client.prod.eu-west.dreamlake.io/cruise-lines/regent-seven-seas-cruises/seven-seas-mariner/cruises&lt;/loc&gt;</t>
  </si>
  <si>
    <t>https://odysia-cruise-uk.client.prod.eu-west.dreamlake.io/cruise-lines/regent-seven-seas-cruises/seven-seas-mariner/cruises</t>
  </si>
  <si>
    <t>&lt;loc&gt;https://odysia-cruise-uk.client.prod.eu-west.dreamlake.io/cruise-lines/po-cruises/iona&lt;/loc&gt;</t>
  </si>
  <si>
    <t>https://odysia-cruise-uk.client.prod.eu-west.dreamlake.io/cruise-lines/po-cruises/iona</t>
  </si>
  <si>
    <t>&lt;loc&gt;https://odysia-cruise-uk.client.prod.eu-west.dreamlake.io/cruise-lines/msc-cruises/msc-virtuosa&lt;/loc&gt;</t>
  </si>
  <si>
    <t>https://odysia-cruise-uk.client.prod.eu-west.dreamlake.io/cruise-lines/msc-cruises/msc-virtuosa</t>
  </si>
  <si>
    <t>&lt;loc&gt;https://odysia-cruise-uk.client.prod.eu-west.dreamlake.io/cruise-lines/msc-cruises/msc-bellissima&lt;/loc&gt;</t>
  </si>
  <si>
    <t>https://odysia-cruise-uk.client.prod.eu-west.dreamlake.io/cruise-lines/msc-cruises/msc-bellissima</t>
  </si>
  <si>
    <t>&lt;loc&gt;https://odysia-cruise-uk.client.prod.eu-west.dreamlake.io/cruise-lines/royal-caribbean/spectrum-of-the-seas&lt;/loc&gt;</t>
  </si>
  <si>
    <t>https://odysia-cruise-uk.client.prod.eu-west.dreamlake.io/cruise-lines/royal-caribbean/spectrum-of-the-seas</t>
  </si>
  <si>
    <t>&lt;loc&gt;https://odysia-cruise-uk.client.prod.eu-west.dreamlake.io/cruise-lines/princess-cruises/coral-princess/cruises&lt;/loc&gt;</t>
  </si>
  <si>
    <t>https://odysia-cruise-uk.client.prod.eu-west.dreamlake.io/cruise-lines/princess-cruises/coral-princess/cruises</t>
  </si>
  <si>
    <t>&lt;loc&gt;https://odysia-cruise-uk.client.prod.eu-west.dreamlake.io/cruise-lines/explora-journeys/explora-i&lt;/loc&gt;</t>
  </si>
  <si>
    <t>https://odysia-cruise-uk.client.prod.eu-west.dreamlake.io/cruise-lines/explora-journeys/explora-i</t>
  </si>
  <si>
    <t>&lt;loc&gt;https://odysia-cruise-uk.client.prod.eu-west.dreamlake.io/cruise-lines/regent-seven-seas-cruises/seven-seas-explorer&lt;/loc&gt;</t>
  </si>
  <si>
    <t>https://odysia-cruise-uk.client.prod.eu-west.dreamlake.io/cruise-lines/regent-seven-seas-cruises/seven-seas-explorer</t>
  </si>
  <si>
    <t>&lt;loc&gt;https://odysia-cruise-uk.client.prod.eu-west.dreamlake.io/cruise-lines/royal-caribbean/navigator-of-the-seas/cruises&lt;/loc&gt;</t>
  </si>
  <si>
    <t>https://odysia-cruise-uk.client.prod.eu-west.dreamlake.io/cruise-lines/royal-caribbean/navigator-of-the-seas/cruises</t>
  </si>
  <si>
    <t>&lt;loc&gt;https://odysia-cruise-uk.client.prod.eu-west.dreamlake.io/cruise-lines/virgin-voyages/valiant-lady&lt;/loc&gt;</t>
  </si>
  <si>
    <t>https://odysia-cruise-uk.client.prod.eu-west.dreamlake.io/cruise-lines/virgin-voyages/valiant-lady</t>
  </si>
  <si>
    <t>&lt;loc&gt;https://odysia-cruise-uk.client.prod.eu-west.dreamlake.io/cruise-lines/norwegian-cruise-line/norwegian-aqua/cruises&lt;/loc&gt;</t>
  </si>
  <si>
    <t>https://odysia-cruise-uk.client.prod.eu-west.dreamlake.io/cruise-lines/norwegian-cruise-line/norwegian-aqua/cruises</t>
  </si>
  <si>
    <t>&lt;loc&gt;https://odysia-cruise-uk.client.prod.eu-west.dreamlake.io/cruise-lines/norwegian-cruise-line/norwegian-jewel&lt;/loc&gt;</t>
  </si>
  <si>
    <t>https://odysia-cruise-uk.client.prod.eu-west.dreamlake.io/cruise-lines/norwegian-cruise-line/norwegian-jewel</t>
  </si>
  <si>
    <t>&lt;loc&gt;https://odysia-cruise-uk.client.prod.eu-west.dreamlake.io/cruise-lines/costa-cruises/costa-diadema&lt;/loc&gt;</t>
  </si>
  <si>
    <t>https://odysia-cruise-uk.client.prod.eu-west.dreamlake.io/cruise-lines/costa-cruises/costa-diadema</t>
  </si>
  <si>
    <t>&lt;loc&gt;https://odysia-cruise-uk.client.prod.eu-west.dreamlake.io/cruise-lines/royal-caribbean/jewel-of-the-seas/cruises&lt;/loc&gt;</t>
  </si>
  <si>
    <t>https://odysia-cruise-uk.client.prod.eu-west.dreamlake.io/cruise-lines/royal-caribbean/jewel-of-the-seas/cruises</t>
  </si>
  <si>
    <t>&lt;loc&gt;https://odysia-cruise-uk.client.prod.eu-west.dreamlake.io/cruise-deals/cruises-from-tilbury&lt;/loc&gt;</t>
  </si>
  <si>
    <t>https://odysia-cruise-uk.client.prod.eu-west.dreamlake.io/cruise-deals/cruises-from-tilbury</t>
  </si>
  <si>
    <t>&lt;loc&gt;https://odysia-cruise-uk.client.prod.eu-west.dreamlake.io/cruise-lines/celebrity-cruises/celebrity-infinity&lt;/loc&gt;</t>
  </si>
  <si>
    <t>https://odysia-cruise-uk.client.prod.eu-west.dreamlake.io/cruise-lines/celebrity-cruises/celebrity-infinity</t>
  </si>
  <si>
    <t>&lt;loc&gt;https://odysia-cruise-uk.client.prod.eu-west.dreamlake.io/cruise-lines/seabourn/seabourn-quest&lt;/loc&gt;</t>
  </si>
  <si>
    <t>https://odysia-cruise-uk.client.prod.eu-west.dreamlake.io/cruise-lines/seabourn/seabourn-quest</t>
  </si>
  <si>
    <t>&lt;loc&gt;https://odysia-cruise-uk.client.prod.eu-west.dreamlake.io/cruise-lines/oceania-cruises/oceania-marina&lt;/loc&gt;</t>
  </si>
  <si>
    <t>https://odysia-cruise-uk.client.prod.eu-west.dreamlake.io/cruise-lines/oceania-cruises/oceania-marina</t>
  </si>
  <si>
    <t>&lt;loc&gt;https://odysia-cruise-uk.client.prod.eu-west.dreamlake.io/cruise-lines/fred-olsen-cruises&lt;/loc&gt;</t>
  </si>
  <si>
    <t>https://odysia-cruise-uk.client.prod.eu-west.dreamlake.io/cruise-lines/fred-olsen-cruises</t>
  </si>
  <si>
    <t>&lt;loc&gt;https://odysia-cruise-uk.client.prod.eu-west.dreamlake.io/cruise-lines/ambassador-cruise-line/cruises&lt;/loc&gt;</t>
  </si>
  <si>
    <t>https://odysia-cruise-uk.client.prod.eu-west.dreamlake.io/cruise-lines/ambassador-cruise-line/cruises</t>
  </si>
  <si>
    <t>&lt;loc&gt;https://odysia-cruise-uk.client.prod.eu-west.dreamlake.io/cruise-lines/royal-caribbean/odyssey-of-the-seas/cruises&lt;/loc&gt;</t>
  </si>
  <si>
    <t>https://odysia-cruise-uk.client.prod.eu-west.dreamlake.io/cruise-lines/royal-caribbean/odyssey-of-the-seas/cruises</t>
  </si>
  <si>
    <t>&lt;loc&gt;https://odysia-cruise-uk.client.prod.eu-west.dreamlake.io/cruise-lines/royal-caribbean&lt;/loc&gt;</t>
  </si>
  <si>
    <t>https://odysia-cruise-uk.client.prod.eu-west.dreamlake.io/cruise-lines/royal-caribbean</t>
  </si>
  <si>
    <t>&lt;loc&gt;https://odysia-cruise-uk.client.prod.eu-west.dreamlake.io/destinations&lt;/loc&gt;</t>
  </si>
  <si>
    <t>&lt;loc&gt;https://odysia-cruise-uk.client.prod.eu-west.dreamlake.io/cruise-lines/royal-caribbean/brilliance-of-the-seas/cruises&lt;/loc&gt;</t>
  </si>
  <si>
    <t>https://odysia-cruise-uk.client.prod.eu-west.dreamlake.io/cruise-lines/royal-caribbean/brilliance-of-the-seas/cruises</t>
  </si>
  <si>
    <t>&lt;loc&gt;https://odysia-cruise-uk.client.prod.eu-west.dreamlake.io/cruise-lines/fred-olsen-cruises/balmoral&lt;/loc&gt;</t>
  </si>
  <si>
    <t>https://odysia-cruise-uk.client.prod.eu-west.dreamlake.io/cruise-lines/fred-olsen-cruises/balmoral</t>
  </si>
  <si>
    <t>&lt;loc&gt;https://odysia-cruise-uk.client.prod.eu-west.dreamlake.io/cruise-lines/seabourn&lt;/loc&gt;</t>
  </si>
  <si>
    <t>https://odysia-cruise-uk.client.prod.eu-west.dreamlake.io/cruise-lines/seabourn</t>
  </si>
  <si>
    <t>&lt;loc&gt;https://odysia-cruise-uk.client.prod.eu-west.dreamlake.io/cruise-lines/ambassador-cruise-line/renaissance&lt;/loc&gt;</t>
  </si>
  <si>
    <t>https://odysia-cruise-uk.client.prod.eu-west.dreamlake.io/cruise-lines/ambassador-cruise-line/renaissance</t>
  </si>
  <si>
    <t>&lt;loc&gt;https://odysia-cruise-uk.client.prod.eu-west.dreamlake.io/cruise-lines/princess-cruises/star-princess/cruises&lt;/loc&gt;</t>
  </si>
  <si>
    <t>https://odysia-cruise-uk.client.prod.eu-west.dreamlake.io/cruise-lines/princess-cruises/star-princess/cruises</t>
  </si>
  <si>
    <t>&lt;loc&gt;https://odysia-cruise-uk.client.prod.eu-west.dreamlake.io/cruise-lines/seabourn/seabourn-ovation&lt;/loc&gt;</t>
  </si>
  <si>
    <t>https://odysia-cruise-uk.client.prod.eu-west.dreamlake.io/cruise-lines/seabourn/seabourn-ovation</t>
  </si>
  <si>
    <t>&lt;loc&gt;https://odysia-cruise-uk.client.prod.eu-west.dreamlake.io/cruise-lines/po-cruises/aurora&lt;/loc&gt;</t>
  </si>
  <si>
    <t>https://odysia-cruise-uk.client.prod.eu-west.dreamlake.io/cruise-lines/po-cruises/aurora</t>
  </si>
  <si>
    <t>&lt;loc&gt;https://odysia-cruise-uk.client.prod.eu-west.dreamlake.io/cruise-lines/royal-caribbean/mariner-of-the-seas&lt;/loc&gt;</t>
  </si>
  <si>
    <t>https://odysia-cruise-uk.client.prod.eu-west.dreamlake.io/cruise-lines/royal-caribbean/mariner-of-the-seas</t>
  </si>
  <si>
    <t>&lt;loc&gt;https://odysia-cruise-uk.client.prod.eu-west.dreamlake.io/cruise-lines/norwegian-cruise-line/pride-of-america&lt;/loc&gt;</t>
  </si>
  <si>
    <t>https://odysia-cruise-uk.client.prod.eu-west.dreamlake.io/cruise-lines/norwegian-cruise-line/pride-of-america</t>
  </si>
  <si>
    <t>&lt;loc&gt;https://odysia-cruise-uk.client.prod.eu-west.dreamlake.io/cruise-lines/celebrity-cruises/celebrity-ascent/cruises&lt;/loc&gt;</t>
  </si>
  <si>
    <t>https://odysia-cruise-uk.client.prod.eu-west.dreamlake.io/cruise-lines/celebrity-cruises/celebrity-ascent/cruises</t>
  </si>
  <si>
    <t>&lt;loc&gt;https://odysia-cruise-uk.client.prod.eu-west.dreamlake.io/cruise-lines/msc-cruises/msc-preziosa&lt;/loc&gt;</t>
  </si>
  <si>
    <t>https://odysia-cruise-uk.client.prod.eu-west.dreamlake.io/cruise-lines/msc-cruises/msc-preziosa</t>
  </si>
  <si>
    <t>&lt;loc&gt;https://odysia-cruise-uk.client.prod.eu-west.dreamlake.io/cruise-lines/holland-america-line/volendam/cruises&lt;/loc&gt;</t>
  </si>
  <si>
    <t>https://odysia-cruise-uk.client.prod.eu-west.dreamlake.io/cruise-lines/holland-america-line/volendam/cruises</t>
  </si>
  <si>
    <t>&lt;loc&gt;https://odysia-cruise-uk.client.prod.eu-west.dreamlake.io/cruise-lines/virgin-voyages/resilient-lady/cruises&lt;/loc&gt;</t>
  </si>
  <si>
    <t>https://odysia-cruise-uk.client.prod.eu-west.dreamlake.io/cruise-lines/virgin-voyages/resilient-lady/cruises</t>
  </si>
  <si>
    <t>&lt;loc&gt;https://odysia-cruise-uk.client.prod.eu-west.dreamlake.io/cruise-lines/msc-cruises/msc-musica/cruises&lt;/loc&gt;</t>
  </si>
  <si>
    <t>https://odysia-cruise-uk.client.prod.eu-west.dreamlake.io/cruise-lines/msc-cruises/msc-musica/cruises</t>
  </si>
  <si>
    <t>&lt;loc&gt;https://odysia-cruise-uk.client.prod.eu-west.dreamlake.io/cruise-lines/norwegian-cruise-line&lt;/loc&gt;</t>
  </si>
  <si>
    <t>https://odysia-cruise-uk.client.prod.eu-west.dreamlake.io/cruise-lines/norwegian-cruise-line</t>
  </si>
  <si>
    <t>&lt;loc&gt;https://odysia-cruise-uk.client.prod.eu-west.dreamlake.io/cruise-deals/cruises-from-dover&lt;/loc&gt;</t>
  </si>
  <si>
    <t>https://odysia-cruise-uk.client.prod.eu-west.dreamlake.io/cruise-deals/cruises-from-dover</t>
  </si>
  <si>
    <t>&lt;loc&gt;https://odysia-cruise-uk.client.prod.eu-west.dreamlake.io/cruise-lines/ambassador-cruise-line/ambience&lt;/loc&gt;</t>
  </si>
  <si>
    <t>https://odysia-cruise-uk.client.prod.eu-west.dreamlake.io/cruise-lines/ambassador-cruise-line/ambience</t>
  </si>
  <si>
    <t>&lt;loc&gt;https://odysia-cruise-uk.client.prod.eu-west.dreamlake.io/cruise-lines/royal-caribbean/freedom-of-the-seas/cruises&lt;/loc&gt;</t>
  </si>
  <si>
    <t>https://odysia-cruise-uk.client.prod.eu-west.dreamlake.io/cruise-lines/royal-caribbean/freedom-of-the-seas/cruises</t>
  </si>
  <si>
    <t>&lt;loc&gt;https://odysia-cruise-uk.client.prod.eu-west.dreamlake.io/cruise-lines/explora-journeys/explora-iii&lt;/loc&gt;</t>
  </si>
  <si>
    <t>https://odysia-cruise-uk.client.prod.eu-west.dreamlake.io/cruise-lines/explora-journeys/explora-iii</t>
  </si>
  <si>
    <t>&lt;loc&gt;https://odysia-cruise-uk.client.prod.eu-west.dreamlake.io/cruise-lines/princess-cruises/sapphire-princess/cruises&lt;/loc&gt;</t>
  </si>
  <si>
    <t>https://odysia-cruise-uk.client.prod.eu-west.dreamlake.io/cruise-lines/princess-cruises/sapphire-princess/cruises</t>
  </si>
  <si>
    <t>&lt;loc&gt;https://odysia-cruise-uk.client.prod.eu-west.dreamlake.io/cruise-lines/costa-cruises/costa-pacifica/cruises&lt;/loc&gt;</t>
  </si>
  <si>
    <t>https://odysia-cruise-uk.client.prod.eu-west.dreamlake.io/cruise-lines/costa-cruises/costa-pacifica/cruises</t>
  </si>
  <si>
    <t>&lt;loc&gt;https://odysia-cruise-uk.client.prod.eu-west.dreamlake.io/cruise-lines/costa-cruises/costa-fascinosa&lt;/loc&gt;</t>
  </si>
  <si>
    <t>https://odysia-cruise-uk.client.prod.eu-west.dreamlake.io/cruise-lines/costa-cruises/costa-fascinosa</t>
  </si>
  <si>
    <t>&lt;loc&gt;https://odysia-cruise-uk.client.prod.eu-west.dreamlake.io/cruise-lines/celebrity-cruises/celebrity-solstice/cruises&lt;/loc&gt;</t>
  </si>
  <si>
    <t>https://odysia-cruise-uk.client.prod.eu-west.dreamlake.io/cruise-lines/celebrity-cruises/celebrity-solstice/cruises</t>
  </si>
  <si>
    <t>&lt;loc&gt;https://odysia-cruise-uk.client.prod.eu-west.dreamlake.io/cruise-lines/princess-cruises/diamond-princess&lt;/loc&gt;</t>
  </si>
  <si>
    <t>https://odysia-cruise-uk.client.prod.eu-west.dreamlake.io/cruise-lines/princess-cruises/diamond-princess</t>
  </si>
  <si>
    <t>&lt;loc&gt;https://odysia-cruise-uk.client.prod.eu-west.dreamlake.io/cruise-lines/norwegian-cruise-line/norwegian-jade&lt;/loc&gt;</t>
  </si>
  <si>
    <t>https://odysia-cruise-uk.client.prod.eu-west.dreamlake.io/cruise-lines/norwegian-cruise-line/norwegian-jade</t>
  </si>
  <si>
    <t>&lt;loc&gt;https://odysia-cruise-uk.client.prod.eu-west.dreamlake.io/cruise-lines/explora-journeys&lt;/loc&gt;</t>
  </si>
  <si>
    <t>https://odysia-cruise-uk.client.prod.eu-west.dreamlake.io/cruise-lines/explora-journeys</t>
  </si>
  <si>
    <t>&lt;loc&gt;https://odysia-cruise-uk.client.prod.eu-west.dreamlake.io/cruise-lines/royal-caribbean/wonder-of-the-seas/cruises&lt;/loc&gt;</t>
  </si>
  <si>
    <t>https://odysia-cruise-uk.client.prod.eu-west.dreamlake.io/cruise-lines/royal-caribbean/wonder-of-the-seas/cruises</t>
  </si>
  <si>
    <t>&lt;loc&gt;https://odysia-cruise-uk.client.prod.eu-west.dreamlake.io/cruise-lines/costa-cruises/costa-fortuna/cruises&lt;/loc&gt;</t>
  </si>
  <si>
    <t>https://odysia-cruise-uk.client.prod.eu-west.dreamlake.io/cruise-lines/costa-cruises/costa-fortuna/cruises</t>
  </si>
  <si>
    <t>&lt;loc&gt;https://odysia-cruise-uk.client.prod.eu-west.dreamlake.io/cruise-lines/virgin-voyages/brilliant-lady/cruises&lt;/loc&gt;</t>
  </si>
  <si>
    <t>https://odysia-cruise-uk.client.prod.eu-west.dreamlake.io/cruise-lines/virgin-voyages/brilliant-lady/cruises</t>
  </si>
  <si>
    <t>&lt;loc&gt;https://odysia-cruise-uk.client.prod.eu-west.dreamlake.io/cruise-lines/celebrity-cruises/celebrity-solstice&lt;/loc&gt;</t>
  </si>
  <si>
    <t>https://odysia-cruise-uk.client.prod.eu-west.dreamlake.io/cruise-lines/celebrity-cruises/celebrity-solstice</t>
  </si>
  <si>
    <t>&lt;loc&gt;https://odysia-cruise-uk.client.prod.eu-west.dreamlake.io/cruise-lines/princess-cruises/sky-princess/cruises&lt;/loc&gt;</t>
  </si>
  <si>
    <t>https://odysia-cruise-uk.client.prod.eu-west.dreamlake.io/cruise-lines/princess-cruises/sky-princess/cruises</t>
  </si>
  <si>
    <t>&lt;loc&gt;https://odysia-cruise-uk.client.prod.eu-west.dreamlake.io/cruise-lines/princess-cruises/grand-princess&lt;/loc&gt;</t>
  </si>
  <si>
    <t>https://odysia-cruise-uk.client.prod.eu-west.dreamlake.io/cruise-lines/princess-cruises/grand-princess</t>
  </si>
  <si>
    <t>&lt;loc&gt;https://odysia-cruise-uk.client.prod.eu-west.dreamlake.io/cruise-lines/costa-cruises/costa-deliziosa&lt;/loc&gt;</t>
  </si>
  <si>
    <t>https://odysia-cruise-uk.client.prod.eu-west.dreamlake.io/cruise-lines/costa-cruises/costa-deliziosa</t>
  </si>
  <si>
    <t>&lt;loc&gt;https://odysia-cruise-uk.client.prod.eu-west.dreamlake.io/cruise-lines/regent-seven-seas-cruises/seven-seas-voyager/cruises&lt;/loc&gt;</t>
  </si>
  <si>
    <t>https://odysia-cruise-uk.client.prod.eu-west.dreamlake.io/cruise-lines/regent-seven-seas-cruises/seven-seas-voyager/cruises</t>
  </si>
  <si>
    <t>&lt;loc&gt;https://odysia-cruise-uk.client.prod.eu-west.dreamlake.io/cruise-lines/norwegian-cruise-line/norwegian-pearl&lt;/loc&gt;</t>
  </si>
  <si>
    <t>https://odysia-cruise-uk.client.prod.eu-west.dreamlake.io/cruise-lines/norwegian-cruise-line/norwegian-pearl</t>
  </si>
  <si>
    <t>&lt;loc&gt;https://odysia-cruise-uk.client.prod.eu-west.dreamlake.io/cruise-lines/royal-caribbean/vision-of-the-seas/cruises&lt;/loc&gt;</t>
  </si>
  <si>
    <t>https://odysia-cruise-uk.client.prod.eu-west.dreamlake.io/cruise-lines/royal-caribbean/vision-of-the-seas/cruises</t>
  </si>
  <si>
    <t>&lt;loc&gt;https://odysia-cruise-uk.client.prod.eu-west.dreamlake.io/cruise-lines/royal-caribbean/star-of-the-seas/cruises&lt;/loc&gt;</t>
  </si>
  <si>
    <t>https://odysia-cruise-uk.client.prod.eu-west.dreamlake.io/cruise-lines/royal-caribbean/star-of-the-seas/cruises</t>
  </si>
  <si>
    <t>&lt;loc&gt;https://odysia-cruise-uk.client.prod.eu-west.dreamlake.io/cruise-calendar/mediterranean-cruise-dates&lt;/loc&gt;</t>
  </si>
  <si>
    <t>&lt;loc&gt;https://odysia-cruise-uk.client.prod.eu-west.dreamlake.io/cruise-lines/msc-cruises/msc-seascape/cruises&lt;/loc&gt;</t>
  </si>
  <si>
    <t>https://odysia-cruise-uk.client.prod.eu-west.dreamlake.io/cruise-lines/msc-cruises/msc-seascape/cruises</t>
  </si>
  <si>
    <t>&lt;loc&gt;https://odysia-cruise-uk.client.prod.eu-west.dreamlake.io/cruise-lines/princess-cruises/discovery-princess/cruises&lt;/loc&gt;</t>
  </si>
  <si>
    <t>https://odysia-cruise-uk.client.prod.eu-west.dreamlake.io/cruise-lines/princess-cruises/discovery-princess/cruises</t>
  </si>
  <si>
    <t>&lt;loc&gt;https://odysia-cruise-uk.client.prod.eu-west.dreamlake.io/cruise-lines/oceania-cruises/oceania-allura&lt;/loc&gt;</t>
  </si>
  <si>
    <t>https://odysia-cruise-uk.client.prod.eu-west.dreamlake.io/cruise-lines/oceania-cruises/oceania-allura</t>
  </si>
  <si>
    <t>&lt;loc&gt;https://odysia-cruise-uk.client.prod.eu-west.dreamlake.io/cruise-lines/po-cruises/azura&lt;/loc&gt;</t>
  </si>
  <si>
    <t>https://odysia-cruise-uk.client.prod.eu-west.dreamlake.io/cruise-lines/po-cruises/azura</t>
  </si>
  <si>
    <t>&lt;loc&gt;https://odysia-cruise-uk.client.prod.eu-west.dreamlake.io/cruise-lines/po-cruises/britannia&lt;/loc&gt;</t>
  </si>
  <si>
    <t>https://odysia-cruise-uk.client.prod.eu-west.dreamlake.io/cruise-lines/po-cruises/britannia</t>
  </si>
  <si>
    <t>&lt;loc&gt;https://odysia-cruise-uk.client.prod.eu-west.dreamlake.io/cruise-lines/explora-journeys/cruises&lt;/loc&gt;</t>
  </si>
  <si>
    <t>https://odysia-cruise-uk.client.prod.eu-west.dreamlake.io/cruise-lines/explora-journeys/cruises</t>
  </si>
  <si>
    <t>&lt;loc&gt;https://odysia-cruise-uk.client.prod.eu-west.dreamlake.io/cruise-lines/celebrity-cruises/celebrity-apex&lt;/loc&gt;</t>
  </si>
  <si>
    <t>https://odysia-cruise-uk.client.prod.eu-west.dreamlake.io/cruise-lines/celebrity-cruises/celebrity-apex</t>
  </si>
  <si>
    <t>&lt;loc&gt;https://odysia-cruise-uk.client.prod.eu-west.dreamlake.io/cruise-lines/po-cruises/ventura&lt;/loc&gt;</t>
  </si>
  <si>
    <t>https://odysia-cruise-uk.client.prod.eu-west.dreamlake.io/cruise-lines/po-cruises/ventura</t>
  </si>
  <si>
    <t>&lt;loc&gt;https://odysia-cruise-uk.client.prod.eu-west.dreamlake.io/destinations/canada-cruises&lt;/loc&gt;</t>
  </si>
  <si>
    <t>&lt;loc&gt;https://odysia-cruise-uk.client.prod.eu-west.dreamlake.io/cruise-lines/princess-cruises/enchanted-princess&lt;/loc&gt;</t>
  </si>
  <si>
    <t>https://odysia-cruise-uk.client.prod.eu-west.dreamlake.io/cruise-lines/princess-cruises/enchanted-princess</t>
  </si>
  <si>
    <t>&lt;loc&gt;https://odysia-cruise-uk.client.prod.eu-west.dreamlake.io/cruise-lines/oceania-cruises/oceania-sirena&lt;/loc&gt;</t>
  </si>
  <si>
    <t>https://odysia-cruise-uk.client.prod.eu-west.dreamlake.io/cruise-lines/oceania-cruises/oceania-sirena</t>
  </si>
  <si>
    <t>&lt;loc&gt;https://odysia-cruise-uk.client.prod.eu-west.dreamlake.io/cruise-lines/msc-cruises/msc-divina&lt;/loc&gt;</t>
  </si>
  <si>
    <t>https://odysia-cruise-uk.client.prod.eu-west.dreamlake.io/cruise-lines/msc-cruises/msc-divina</t>
  </si>
  <si>
    <t>&lt;loc&gt;https://odysia-cruise-uk.client.prod.eu-west.dreamlake.io/cruise-lines/princess-cruises/caribbean-princess&lt;/loc&gt;</t>
  </si>
  <si>
    <t>https://odysia-cruise-uk.client.prod.eu-west.dreamlake.io/cruise-lines/princess-cruises/caribbean-princess</t>
  </si>
  <si>
    <t>&lt;loc&gt;https://odysia-cruise-uk.client.prod.eu-west.dreamlake.io/cruise-lines/msc-cruises/msc-seaview&lt;/loc&gt;</t>
  </si>
  <si>
    <t>https://odysia-cruise-uk.client.prod.eu-west.dreamlake.io/cruise-lines/msc-cruises/msc-seaview</t>
  </si>
  <si>
    <t>&lt;loc&gt;https://odysia-cruise-uk.client.prod.eu-west.dreamlake.io/cruise-lines/royal-caribbean/adventure-of-the-seas&lt;/loc&gt;</t>
  </si>
  <si>
    <t>https://odysia-cruise-uk.client.prod.eu-west.dreamlake.io/cruise-lines/royal-caribbean/adventure-of-the-seas</t>
  </si>
  <si>
    <t>&lt;loc&gt;https://odysia-cruise-uk.client.prod.eu-west.dreamlake.io/cruise-lines/royal-caribbean/liberty-of-the-seas/cruises&lt;/loc&gt;</t>
  </si>
  <si>
    <t>https://odysia-cruise-uk.client.prod.eu-west.dreamlake.io/cruise-lines/royal-caribbean/liberty-of-the-seas/cruises</t>
  </si>
  <si>
    <t>&lt;loc&gt;https://odysia-cruise-uk.client.prod.eu-west.dreamlake.io/cruise-lines/msc-cruises/msc-grandiosa/cruises&lt;/loc&gt;</t>
  </si>
  <si>
    <t>https://odysia-cruise-uk.client.prod.eu-west.dreamlake.io/cruise-lines/msc-cruises/msc-grandiosa/cruises</t>
  </si>
  <si>
    <t>&lt;loc&gt;https://odysia-cruise-uk.client.prod.eu-west.dreamlake.io/cruise-lines/ambassador-cruise-line/ambience/cruises&lt;/loc&gt;</t>
  </si>
  <si>
    <t>https://odysia-cruise-uk.client.prod.eu-west.dreamlake.io/cruise-lines/ambassador-cruise-line/ambience/cruises</t>
  </si>
  <si>
    <t>&lt;loc&gt;https://odysia-cruise-uk.client.prod.eu-west.dreamlake.io/cruise-deals/cruises-from-scotland&lt;/loc&gt;</t>
  </si>
  <si>
    <t>https://odysia-cruise-uk.client.prod.eu-west.dreamlake.io/cruise-deals/cruises-from-scotland</t>
  </si>
  <si>
    <t>&lt;loc&gt;https://odysia-cruise-uk.client.prod.eu-west.dreamlake.io/cruise-lines/royal-caribbean/quantum-of-the-seas&lt;/loc&gt;</t>
  </si>
  <si>
    <t>https://odysia-cruise-uk.client.prod.eu-west.dreamlake.io/cruise-lines/royal-caribbean/quantum-of-the-seas</t>
  </si>
  <si>
    <t>&lt;loc&gt;https://odysia-cruise-uk.client.prod.eu-west.dreamlake.io/cruise-lines/po-cruises/aurora/cruises&lt;/loc&gt;</t>
  </si>
  <si>
    <t>https://odysia-cruise-uk.client.prod.eu-west.dreamlake.io/cruise-lines/po-cruises/aurora/cruises</t>
  </si>
  <si>
    <t>&lt;loc&gt;https://odysia-cruise-uk.client.prod.eu-west.dreamlake.io/cruise-lines/holland-america-line/noordam&lt;/loc&gt;</t>
  </si>
  <si>
    <t>https://odysia-cruise-uk.client.prod.eu-west.dreamlake.io/cruise-lines/holland-america-line/noordam</t>
  </si>
  <si>
    <t>&lt;loc&gt;https://odysia-cruise-uk.client.prod.eu-west.dreamlake.io/cruise-lines/po-cruises/britannia/cruises&lt;/loc&gt;</t>
  </si>
  <si>
    <t>https://odysia-cruise-uk.client.prod.eu-west.dreamlake.io/cruise-lines/po-cruises/britannia/cruises</t>
  </si>
  <si>
    <t>&lt;loc&gt;https://odysia-cruise-uk.client.prod.eu-west.dreamlake.io/cruise-lines/royal-caribbean/grandeur-of-the-seas/cruises&lt;/loc&gt;</t>
  </si>
  <si>
    <t>https://odysia-cruise-uk.client.prod.eu-west.dreamlake.io/cruise-lines/royal-caribbean/grandeur-of-the-seas/cruises</t>
  </si>
  <si>
    <t>&lt;loc&gt;https://odysia-cruise-uk.client.prod.eu-west.dreamlake.io/cruise-lines/costa-cruises/costa-favolosa&lt;/loc&gt;</t>
  </si>
  <si>
    <t>https://odysia-cruise-uk.client.prod.eu-west.dreamlake.io/cruise-lines/costa-cruises/costa-favolosa</t>
  </si>
  <si>
    <t>&lt;loc&gt;https://odysia-cruise-uk.client.prod.eu-west.dreamlake.io/cruise-lines/azamara/azamara-onward&lt;/loc&gt;</t>
  </si>
  <si>
    <t>&lt;loc&gt;https://odysia-cruise-uk.client.prod.eu-west.dreamlake.io/cruise-lines/celebrity-cruises/celebrity-reflection/cruises&lt;/loc&gt;</t>
  </si>
  <si>
    <t>https://odysia-cruise-uk.client.prod.eu-west.dreamlake.io/cruise-lines/celebrity-cruises/celebrity-reflection/cruises</t>
  </si>
  <si>
    <t>&lt;loc&gt;https://odysia-cruise-uk.client.prod.eu-west.dreamlake.io/cruise-lines/norwegian-cruise-line/norwegian-encore/cruises&lt;/loc&gt;</t>
  </si>
  <si>
    <t>https://odysia-cruise-uk.client.prod.eu-west.dreamlake.io/cruise-lines/norwegian-cruise-line/norwegian-encore/cruises</t>
  </si>
  <si>
    <t>&lt;loc&gt;https://odysia-cruise-uk.client.prod.eu-west.dreamlake.io/cruise-lines/royal-caribbean/utopia-of-the-seas&lt;/loc&gt;</t>
  </si>
  <si>
    <t>https://odysia-cruise-uk.client.prod.eu-west.dreamlake.io/cruise-lines/royal-caribbean/utopia-of-the-seas</t>
  </si>
  <si>
    <t>&lt;loc&gt;https://odysia-cruise-uk.client.prod.eu-west.dreamlake.io/cruise-lines/holland-america-line/volendam&lt;/loc&gt;</t>
  </si>
  <si>
    <t>https://odysia-cruise-uk.client.prod.eu-west.dreamlake.io/cruise-lines/holland-america-line/volendam</t>
  </si>
  <si>
    <t>&lt;loc&gt;https://odysia-cruise-uk.client.prod.eu-west.dreamlake.io/cruise-deals/cruises-from-liverpool&lt;/loc&gt;</t>
  </si>
  <si>
    <t>https://odysia-cruise-uk.client.prod.eu-west.dreamlake.io/cruise-deals/cruises-from-liverpool</t>
  </si>
  <si>
    <t>&lt;loc&gt;https://odysia-cruise-uk.client.prod.eu-west.dreamlake.io/cruise-lines/royal-caribbean/rhapsody-of-the-seas&lt;/loc&gt;</t>
  </si>
  <si>
    <t>https://odysia-cruise-uk.client.prod.eu-west.dreamlake.io/cruise-lines/royal-caribbean/rhapsody-of-the-seas</t>
  </si>
  <si>
    <t>&lt;loc&gt;https://odysia-cruise-uk.client.prod.eu-west.dreamlake.io/cruise-lines/po-cruises/arcadia/cruises&lt;/loc&gt;</t>
  </si>
  <si>
    <t>https://odysia-cruise-uk.client.prod.eu-west.dreamlake.io/cruise-lines/po-cruises/arcadia/cruises</t>
  </si>
  <si>
    <t>&lt;loc&gt;https://odysia-cruise-uk.client.prod.eu-west.dreamlake.io/cruise-lines/oceania-cruises/oceania-vista/cruises&lt;/loc&gt;</t>
  </si>
  <si>
    <t>https://odysia-cruise-uk.client.prod.eu-west.dreamlake.io/cruise-lines/oceania-cruises/oceania-vista/cruises</t>
  </si>
  <si>
    <t>&lt;loc&gt;https://odysia-cruise-uk.client.prod.eu-west.dreamlake.io/cruise-lines/seabourn/seabourn-quest/cruises&lt;/loc&gt;</t>
  </si>
  <si>
    <t>https://odysia-cruise-uk.client.prod.eu-west.dreamlake.io/cruise-lines/seabourn/seabourn-quest/cruises</t>
  </si>
  <si>
    <t>&lt;loc&gt;https://odysia-cruise-uk.client.prod.eu-west.dreamlake.io/cruise-calendar/caribbean-cruise-dates&lt;/loc&gt;</t>
  </si>
  <si>
    <t>&lt;loc&gt;https://odysia-cruise-uk.client.prod.eu-west.dreamlake.io/cruise-lines/msc-cruises/msc-sinfonia&lt;/loc&gt;</t>
  </si>
  <si>
    <t>https://odysia-cruise-uk.client.prod.eu-west.dreamlake.io/cruise-lines/msc-cruises/msc-sinfonia</t>
  </si>
  <si>
    <t>&lt;loc&gt;https://odysia-cruise-uk.client.prod.eu-west.dreamlake.io/cruise-lines/seabourn/seabourn-sojourn/cruises&lt;/loc&gt;</t>
  </si>
  <si>
    <t>https://odysia-cruise-uk.client.prod.eu-west.dreamlake.io/cruise-lines/seabourn/seabourn-sojourn/cruises</t>
  </si>
  <si>
    <t>&lt;loc&gt;https://odysia-cruise-uk.client.prod.eu-west.dreamlake.io/cruise-lines/norwegian-cruise-line/norwegian-star&lt;/loc&gt;</t>
  </si>
  <si>
    <t>https://odysia-cruise-uk.client.prod.eu-west.dreamlake.io/cruise-lines/norwegian-cruise-line/norwegian-star</t>
  </si>
  <si>
    <t>&lt;loc&gt;https://odysia-cruise-uk.client.prod.eu-west.dreamlake.io/cruise-lines/royal-caribbean/legend-of-the-seas&lt;/loc&gt;</t>
  </si>
  <si>
    <t>https://odysia-cruise-uk.client.prod.eu-west.dreamlake.io/cruise-lines/royal-caribbean/legend-of-the-seas</t>
  </si>
  <si>
    <t>&lt;loc&gt;https://odysia-cruise-uk.client.prod.eu-west.dreamlake.io/cruise-lines/msc-cruises/msc-opera&lt;/loc&gt;</t>
  </si>
  <si>
    <t>https://odysia-cruise-uk.client.prod.eu-west.dreamlake.io/cruise-lines/msc-cruises/msc-opera</t>
  </si>
  <si>
    <t>&lt;loc&gt;https://odysia-cruise-uk.client.prod.eu-west.dreamlake.io/cruise-lines/ambassador-cruise-line/ambition/cruises&lt;/loc&gt;</t>
  </si>
  <si>
    <t>https://odysia-cruise-uk.client.prod.eu-west.dreamlake.io/cruise-lines/ambassador-cruise-line/ambition/cruises</t>
  </si>
  <si>
    <t>&lt;loc&gt;https://odysia-cruise-uk.client.prod.eu-west.dreamlake.io/cruise-lines/princess-cruises/ruby-princess/cruises&lt;/loc&gt;</t>
  </si>
  <si>
    <t>https://odysia-cruise-uk.client.prod.eu-west.dreamlake.io/cruise-lines/princess-cruises/ruby-princess/cruises</t>
  </si>
  <si>
    <t>&lt;loc&gt;https://odysia-cruise-uk.client.prod.eu-west.dreamlake.io/cruises&lt;/loc&gt;</t>
  </si>
  <si>
    <t>&lt;loc&gt;https://odysia-cruise-uk.client.prod.eu-west.dreamlake.io/cruise-lines/cunard/queen-mary-2&lt;/loc&gt;</t>
  </si>
  <si>
    <t>https://odysia-cruise-uk.client.prod.eu-west.dreamlake.io/cruise-lines/cunard/queen-mary-2</t>
  </si>
  <si>
    <t>&lt;loc&gt;https://odysia-cruise-uk.client.prod.eu-west.dreamlake.io/cruise-lines/fred-olsen-cruises/bolette&lt;/loc&gt;</t>
  </si>
  <si>
    <t>https://odysia-cruise-uk.client.prod.eu-west.dreamlake.io/cruise-lines/fred-olsen-cruises/bolette</t>
  </si>
  <si>
    <t>&lt;loc&gt;https://odysia-cruise-uk.client.prod.eu-west.dreamlake.io/cruise-lines/norwegian-cruise-line/norwegian-spirit/cruises&lt;/loc&gt;</t>
  </si>
  <si>
    <t>https://odysia-cruise-uk.client.prod.eu-west.dreamlake.io/cruise-lines/norwegian-cruise-line/norwegian-spirit/cruises</t>
  </si>
  <si>
    <t>&lt;loc&gt;https://odysia-cruise-uk.client.prod.eu-west.dreamlake.io/cruise-lines/royal-caribbean/grandeur-of-the-seas&lt;/loc&gt;</t>
  </si>
  <si>
    <t>https://odysia-cruise-uk.client.prod.eu-west.dreamlake.io/cruise-lines/royal-caribbean/grandeur-of-the-seas</t>
  </si>
  <si>
    <t>&lt;loc&gt;https://odysia-cruise-uk.client.prod.eu-west.dreamlake.io/destinations/central-south-america-cruises&lt;/loc&gt;</t>
  </si>
  <si>
    <t>&lt;loc&gt;https://odysia-cruise-uk.client.prod.eu-west.dreamlake.io/cruise-lines/norwegian-cruise-line/norwegian-jewel/cruises&lt;/loc&gt;</t>
  </si>
  <si>
    <t>https://odysia-cruise-uk.client.prod.eu-west.dreamlake.io/cruise-lines/norwegian-cruise-line/norwegian-jewel/cruises</t>
  </si>
  <si>
    <t>&lt;loc&gt;https://odysia-cruise-uk.client.prod.eu-west.dreamlake.io/cruise-lines/regent-seven-seas-cruises/seven-seas-voyager&lt;/loc&gt;</t>
  </si>
  <si>
    <t>https://odysia-cruise-uk.client.prod.eu-west.dreamlake.io/cruise-lines/regent-seven-seas-cruises/seven-seas-voyager</t>
  </si>
  <si>
    <t>&lt;loc&gt;https://odysia-cruise-uk.client.prod.eu-west.dreamlake.io/cruise-lines/msc-cruises/msc-meraviglia&lt;/loc&gt;</t>
  </si>
  <si>
    <t>https://odysia-cruise-uk.client.prod.eu-west.dreamlake.io/cruise-lines/msc-cruises/msc-meraviglia</t>
  </si>
  <si>
    <t>&lt;loc&gt;https://odysia-cruise-uk.client.prod.eu-west.dreamlake.io/destinations/middle-east-cruises&lt;/loc&gt;</t>
  </si>
  <si>
    <t>&lt;loc&gt;https://odysia-cruise-uk.client.prod.eu-west.dreamlake.io/cruise-lines/norwegian-cruise-line/norwegian-sky&lt;/loc&gt;</t>
  </si>
  <si>
    <t>https://odysia-cruise-uk.client.prod.eu-west.dreamlake.io/cruise-lines/norwegian-cruise-line/norwegian-sky</t>
  </si>
  <si>
    <t>&lt;loc&gt;https://odysia-cruise-uk.client.prod.eu-west.dreamlake.io/cruise-lines/msc-cruises/msc-orchestra/cruises&lt;/loc&gt;</t>
  </si>
  <si>
    <t>https://odysia-cruise-uk.client.prod.eu-west.dreamlake.io/cruise-lines/msc-cruises/msc-orchestra/cruises</t>
  </si>
  <si>
    <t>&lt;loc&gt;https://odysia-cruise-uk.client.prod.eu-west.dreamlake.io/calendar/northern-europe-cruises&lt;/loc&gt;</t>
  </si>
  <si>
    <t>&lt;loc&gt;https://odysia-cruise-uk.client.prod.eu-west.dreamlake.io/destinations/caribbean-cruises&lt;/loc&gt;</t>
  </si>
  <si>
    <t>&lt;loc&gt;https://odysia-cruise-uk.client.prod.eu-west.dreamlake.io/cruise-deals/last-minute-cruises&lt;/loc&gt;</t>
  </si>
  <si>
    <t>https://odysia-cruise-uk.client.prod.eu-west.dreamlake.io/cruise-deals/last-minute-cruises</t>
  </si>
  <si>
    <t>&lt;loc&gt;https://odysia-cruise-uk.client.prod.eu-west.dreamlake.io/cruise-lines/po-cruises/ventura/cruises&lt;/loc&gt;</t>
  </si>
  <si>
    <t>https://odysia-cruise-uk.client.prod.eu-west.dreamlake.io/cruise-lines/po-cruises/ventura/cruises</t>
  </si>
  <si>
    <t>&lt;loc&gt;https://odysia-cruise-uk.client.prod.eu-west.dreamlake.io/cruise-lines/norwegian-cruise-line/pride-of-america/cruises&lt;/loc&gt;</t>
  </si>
  <si>
    <t>https://odysia-cruise-uk.client.prod.eu-west.dreamlake.io/cruise-lines/norwegian-cruise-line/pride-of-america/cruises</t>
  </si>
  <si>
    <t>&lt;loc&gt;https://odysia-cruise-uk.client.prod.eu-west.dreamlake.io/cruise-lines/royal-caribbean/serenade-of-the-seas/cruises&lt;/loc&gt;</t>
  </si>
  <si>
    <t>https://odysia-cruise-uk.client.prod.eu-west.dreamlake.io/cruise-lines/royal-caribbean/serenade-of-the-seas/cruises</t>
  </si>
  <si>
    <t>&lt;loc&gt;https://odysia-cruise-uk.client.prod.eu-west.dreamlake.io/cruise-lines/holland-america-line/nieuw-amsterdam&lt;/loc&gt;</t>
  </si>
  <si>
    <t>https://odysia-cruise-uk.client.prod.eu-west.dreamlake.io/cruise-lines/holland-america-line/nieuw-amsterdam</t>
  </si>
  <si>
    <t>&lt;loc&gt;https://odysia-cruise-uk.client.prod.eu-west.dreamlake.io/cruise-lines/norwegian-cruise-line/norwegian-luna&lt;/loc&gt;</t>
  </si>
  <si>
    <t>https://odysia-cruise-uk.client.prod.eu-west.dreamlake.io/cruise-lines/norwegian-cruise-line/norwegian-luna</t>
  </si>
  <si>
    <t>&lt;loc&gt;https://odysia-cruise-uk.client.prod.eu-west.dreamlake.io/cruise-lines/holland-america-line/zaandam/cruises&lt;/loc&gt;</t>
  </si>
  <si>
    <t>https://odysia-cruise-uk.client.prod.eu-west.dreamlake.io/cruise-lines/holland-america-line/zaandam/cruises</t>
  </si>
  <si>
    <t>&lt;loc&gt;https://odysia-cruise-uk.client.prod.eu-west.dreamlake.io/cruise-lines/fred-olsen-cruises/cruises&lt;/loc&gt;</t>
  </si>
  <si>
    <t>https://odysia-cruise-uk.client.prod.eu-west.dreamlake.io/cruise-lines/fred-olsen-cruises/cruises</t>
  </si>
  <si>
    <t>&lt;loc&gt;https://odysia-cruise-uk.client.prod.eu-west.dreamlake.io/cruise-lines/msc-cruises/msc-orchestra&lt;/loc&gt;</t>
  </si>
  <si>
    <t>https://odysia-cruise-uk.client.prod.eu-west.dreamlake.io/cruise-lines/msc-cruises/msc-orchestra</t>
  </si>
  <si>
    <t>&lt;loc&gt;https://odysia-cruise-uk.client.prod.eu-west.dreamlake.io/cruise-lines/costa-cruises/costa-toscana/cruises&lt;/loc&gt;</t>
  </si>
  <si>
    <t>https://odysia-cruise-uk.client.prod.eu-west.dreamlake.io/cruise-lines/costa-cruises/costa-toscana/cruises</t>
  </si>
  <si>
    <t>&lt;loc&gt;https://odysia-cruise-uk.client.prod.eu-west.dreamlake.io/cruise-lines/royal-caribbean/liberty-of-the-seas&lt;/loc&gt;</t>
  </si>
  <si>
    <t>https://odysia-cruise-uk.client.prod.eu-west.dreamlake.io/cruise-lines/royal-caribbean/liberty-of-the-seas</t>
  </si>
  <si>
    <t>&lt;loc&gt;https://odysia-cruise-uk.client.prod.eu-west.dreamlake.io/cruise-lines/norwegian-cruise-line/norwegian-viva&lt;/loc&gt;</t>
  </si>
  <si>
    <t>https://odysia-cruise-uk.client.prod.eu-west.dreamlake.io/cruise-lines/norwegian-cruise-line/norwegian-viva</t>
  </si>
  <si>
    <t>&lt;loc&gt;https://odysia-cruise-uk.client.prod.eu-west.dreamlake.io/cruise-lines/norwegian-cruise-line/cruises&lt;/loc&gt;</t>
  </si>
  <si>
    <t>https://odysia-cruise-uk.client.prod.eu-west.dreamlake.io/cruise-lines/norwegian-cruise-line/cruises</t>
  </si>
  <si>
    <t>&lt;loc&gt;https://odysia-cruise-uk.client.prod.eu-west.dreamlake.io/cruise-lines/msc-cruises/msc-seaside&lt;/loc&gt;</t>
  </si>
  <si>
    <t>https://odysia-cruise-uk.client.prod.eu-west.dreamlake.io/cruise-lines/msc-cruises/msc-seaside</t>
  </si>
  <si>
    <t>&lt;loc&gt;https://odysia-cruise-uk.client.prod.eu-west.dreamlake.io/cruise-lines/seabourn/cruises&lt;/loc&gt;</t>
  </si>
  <si>
    <t>https://odysia-cruise-uk.client.prod.eu-west.dreamlake.io/cruise-lines/seabourn/cruises</t>
  </si>
  <si>
    <t>&lt;loc&gt;https://odysia-cruise-uk.client.prod.eu-west.dreamlake.io/cruise-lines/celebrity-cruises/celebrity-summit&lt;/loc&gt;</t>
  </si>
  <si>
    <t>https://odysia-cruise-uk.client.prod.eu-west.dreamlake.io/cruise-lines/celebrity-cruises/celebrity-summit</t>
  </si>
  <si>
    <t>&lt;loc&gt;https://odysia-cruise-uk.client.prod.eu-west.dreamlake.io/cruise-lines/royal-caribbean/radiance-of-the-seas&lt;/loc&gt;</t>
  </si>
  <si>
    <t>https://odysia-cruise-uk.client.prod.eu-west.dreamlake.io/cruise-lines/royal-caribbean/radiance-of-the-seas</t>
  </si>
  <si>
    <t>&lt;loc&gt;https://odysia-cruise-uk.client.prod.eu-west.dreamlake.io/cruise-lines/oceania-cruises/oceania-nautica&lt;/loc&gt;</t>
  </si>
  <si>
    <t>https://odysia-cruise-uk.client.prod.eu-west.dreamlake.io/cruise-lines/oceania-cruises/oceania-nautica</t>
  </si>
  <si>
    <t>&lt;loc&gt;https://odysia-cruise-uk.client.prod.eu-west.dreamlake.io/cruise-lines/royal-caribbean/star-of-the-seas&lt;/loc&gt;</t>
  </si>
  <si>
    <t>https://odysia-cruise-uk.client.prod.eu-west.dreamlake.io/cruise-lines/royal-caribbean/star-of-the-seas</t>
  </si>
  <si>
    <t>&lt;loc&gt;https://odysia-cruise-uk.client.prod.eu-west.dreamlake.io/cruise-lines/celebrity-cruises/celebrity-equinox&lt;/loc&gt;</t>
  </si>
  <si>
    <t>https://odysia-cruise-uk.client.prod.eu-west.dreamlake.io/cruise-lines/celebrity-cruises/celebrity-equinox</t>
  </si>
  <si>
    <t>&lt;loc&gt;https://odysia-cruise-uk.client.prod.eu-west.dreamlake.io/cruise-lines/ambassador-cruise-line/renaissance/cruises&lt;/loc&gt;</t>
  </si>
  <si>
    <t>https://odysia-cruise-uk.client.prod.eu-west.dreamlake.io/cruise-lines/ambassador-cruise-line/renaissance/cruises</t>
  </si>
  <si>
    <t>&lt;loc&gt;https://odysia-cruise-uk.client.prod.eu-west.dreamlake.io/cruise-lines/princess-cruises/sky-princess&lt;/loc&gt;</t>
  </si>
  <si>
    <t>https://odysia-cruise-uk.client.prod.eu-west.dreamlake.io/cruise-lines/princess-cruises/sky-princess</t>
  </si>
  <si>
    <t>&lt;loc&gt;https://odysia-cruise-uk.client.prod.eu-west.dreamlake.io/cruise-lines/celebrity-cruises/celebrity-reflection&lt;/loc&gt;</t>
  </si>
  <si>
    <t>https://odysia-cruise-uk.client.prod.eu-west.dreamlake.io/cruise-lines/celebrity-cruises/celebrity-reflection</t>
  </si>
  <si>
    <t>&lt;loc&gt;https://odysia-cruise-uk.client.prod.eu-west.dreamlake.io/cruise-lines/celebrity-cruises/celebrity-edge/cruises&lt;/loc&gt;</t>
  </si>
  <si>
    <t>https://odysia-cruise-uk.client.prod.eu-west.dreamlake.io/cruise-lines/celebrity-cruises/celebrity-edge/cruises</t>
  </si>
  <si>
    <t>&lt;loc&gt;https://odysia-cruise-uk.client.prod.eu-west.dreamlake.io/cruise-lines/norwegian-cruise-line/norwegian-star/cruises&lt;/loc&gt;</t>
  </si>
  <si>
    <t>https://odysia-cruise-uk.client.prod.eu-west.dreamlake.io/cruise-lines/norwegian-cruise-line/norwegian-star/cruises</t>
  </si>
  <si>
    <t>&lt;loc&gt;https://odysia-cruise-uk.client.prod.eu-west.dreamlake.io/cruise-lines/royal-caribbean/mariner-of-the-seas/cruises&lt;/loc&gt;</t>
  </si>
  <si>
    <t>https://odysia-cruise-uk.client.prod.eu-west.dreamlake.io/cruise-lines/royal-caribbean/mariner-of-the-seas/cruises</t>
  </si>
  <si>
    <t>&lt;loc&gt;https://odysia-cruise-uk.client.prod.eu-west.dreamlake.io/cruise-lines/royal-caribbean/allure-of-the-seas/cruises&lt;/loc&gt;</t>
  </si>
  <si>
    <t>https://odysia-cruise-uk.client.prod.eu-west.dreamlake.io/cruise-lines/royal-caribbean/allure-of-the-seas/cruises</t>
  </si>
  <si>
    <t>&lt;loc&gt;https://odysia-cruise-uk.client.prod.eu-west.dreamlake.io/cruise-lines/po-cruises/cruises&lt;/loc&gt;</t>
  </si>
  <si>
    <t>https://odysia-cruise-uk.client.prod.eu-west.dreamlake.io/cruise-lines/po-cruises/cruises</t>
  </si>
  <si>
    <t>&lt;loc&gt;https://odysia-cruise-uk.client.prod.eu-west.dreamlake.io/cruise-lines/msc-cruises/msc-seaview/cruises&lt;/loc&gt;</t>
  </si>
  <si>
    <t>https://odysia-cruise-uk.client.prod.eu-west.dreamlake.io/cruise-lines/msc-cruises/msc-seaview/cruises</t>
  </si>
  <si>
    <t>&lt;loc&gt;https://odysia-cruise-uk.client.prod.eu-west.dreamlake.io/cruise-lines/norwegian-cruise-line/norwegian-sky/cruises&lt;/loc&gt;</t>
  </si>
  <si>
    <t>https://odysia-cruise-uk.client.prod.eu-west.dreamlake.io/cruise-lines/norwegian-cruise-line/norwegian-sky/cruises</t>
  </si>
  <si>
    <t>&lt;loc&gt;https://odysia-cruise-uk.client.prod.eu-west.dreamlake.io/cruise-lines/royal-caribbean/quantum-of-the-seas/cruises&lt;/loc&gt;</t>
  </si>
  <si>
    <t>https://odysia-cruise-uk.client.prod.eu-west.dreamlake.io/cruise-lines/royal-caribbean/quantum-of-the-seas/cruises</t>
  </si>
  <si>
    <t>&lt;loc&gt;https://odysia-cruise-uk.client.prod.eu-west.dreamlake.io/cruise-calendar/south-america-cruise-dates&lt;/loc&gt;</t>
  </si>
  <si>
    <t>&lt;loc&gt;https://odysia-cruise-uk.client.prod.eu-west.dreamlake.io/cruise-lines/royal-caribbean/independence-of-the-seas/cruises&lt;/loc&gt;</t>
  </si>
  <si>
    <t>https://odysia-cruise-uk.client.prod.eu-west.dreamlake.io/cruise-lines/royal-caribbean/independence-of-the-seas/cruises</t>
  </si>
  <si>
    <t>&lt;loc&gt;https://odysia-cruise-uk.client.prod.eu-west.dreamlake.io/cruise-lines/msc-cruises/msc-magnifica/cruises&lt;/loc&gt;</t>
  </si>
  <si>
    <t>https://odysia-cruise-uk.client.prod.eu-west.dreamlake.io/cruise-lines/msc-cruises/msc-magnifica/cruises</t>
  </si>
  <si>
    <t>&lt;loc&gt;https://odysia-cruise-uk.client.prod.eu-west.dreamlake.io/cruise-lines/regent-seven-seas-cruises/seven-seas-splendor&lt;/loc&gt;</t>
  </si>
  <si>
    <t>https://odysia-cruise-uk.client.prod.eu-west.dreamlake.io/cruise-lines/regent-seven-seas-cruises/seven-seas-splendor</t>
  </si>
  <si>
    <t>&lt;loc&gt;https://odysia-cruise-uk.client.prod.eu-west.dreamlake.io/cruise-lines/celebrity-cruises/celebrity-millennium&lt;/loc&gt;</t>
  </si>
  <si>
    <t>https://odysia-cruise-uk.client.prod.eu-west.dreamlake.io/cruise-lines/celebrity-cruises/celebrity-millennium</t>
  </si>
  <si>
    <t>&lt;loc&gt;https://odysia-cruise-uk.client.prod.eu-west.dreamlake.io/cruise-lines/oceania-cruises/oceania-riviera&lt;/loc&gt;</t>
  </si>
  <si>
    <t>https://odysia-cruise-uk.client.prod.eu-west.dreamlake.io/cruise-lines/oceania-cruises/oceania-riviera</t>
  </si>
  <si>
    <t>&lt;loc&gt;https://odysia-cruise-uk.client.prod.eu-west.dreamlake.io/cruise-lines/holland-america-line/zuiderdam&lt;/loc&gt;</t>
  </si>
  <si>
    <t>https://odysia-cruise-uk.client.prod.eu-west.dreamlake.io/cruise-lines/holland-america-line/zuiderdam</t>
  </si>
  <si>
    <t>&lt;loc&gt;https://odysia-cruise-uk.client.prod.eu-west.dreamlake.io/cruise-lines/royal-caribbean/brilliance-of-the-seas&lt;/loc&gt;</t>
  </si>
  <si>
    <t>https://odysia-cruise-uk.client.prod.eu-west.dreamlake.io/cruise-lines/royal-caribbean/brilliance-of-the-seas</t>
  </si>
  <si>
    <t>&lt;loc&gt;https://odysia-cruise-uk.client.prod.eu-west.dreamlake.io/cruise-lines/cunard/queen-anne&lt;/loc&gt;</t>
  </si>
  <si>
    <t>https://odysia-cruise-uk.client.prod.eu-west.dreamlake.io/cruise-lines/cunard/queen-anne</t>
  </si>
  <si>
    <t>&lt;loc&gt;https://odysia-cruise-uk.client.prod.eu-west.dreamlake.io/destinations/scandinavia-baltic-cruises&lt;/loc&gt;</t>
  </si>
  <si>
    <t>&lt;loc&gt;https://odysia-cruise-uk.client.prod.eu-west.dreamlake.io/cruise-lines/princess-cruises/majestic-princess/cruises&lt;/loc&gt;</t>
  </si>
  <si>
    <t>https://odysia-cruise-uk.client.prod.eu-west.dreamlake.io/cruise-lines/princess-cruises/majestic-princess/cruises</t>
  </si>
  <si>
    <t>&lt;loc&gt;https://odysia-cruise-uk.client.prod.eu-west.dreamlake.io/cruise-lines/msc-cruises/msc-seashore/cruises&lt;/loc&gt;</t>
  </si>
  <si>
    <t>https://odysia-cruise-uk.client.prod.eu-west.dreamlake.io/cruise-lines/msc-cruises/msc-seashore/cruises</t>
  </si>
  <si>
    <t>&lt;loc&gt;https://odysia-cruise-uk.client.prod.eu-west.dreamlake.io/cruise-lines/princess-cruises/ruby-princess&lt;/loc&gt;</t>
  </si>
  <si>
    <t>https://odysia-cruise-uk.client.prod.eu-west.dreamlake.io/cruise-lines/princess-cruises/ruby-princess</t>
  </si>
  <si>
    <t>&lt;loc&gt;https://odysia-cruise-uk.client.prod.eu-west.dreamlake.io/cruise-lines/holland-america-line/westerdam/cruises&lt;/loc&gt;</t>
  </si>
  <si>
    <t>https://odysia-cruise-uk.client.prod.eu-west.dreamlake.io/cruise-lines/holland-america-line/westerdam/cruises</t>
  </si>
  <si>
    <t>&lt;loc&gt;https://odysia-cruise-uk.client.prod.eu-west.dreamlake.io/cruise-lines/royal-caribbean/jewel-of-the-seas&lt;/loc&gt;</t>
  </si>
  <si>
    <t>https://odysia-cruise-uk.client.prod.eu-west.dreamlake.io/cruise-lines/royal-caribbean/jewel-of-the-seas</t>
  </si>
  <si>
    <t>&lt;loc&gt;https://odysia-cruise-uk.client.prod.eu-west.dreamlake.io/cruise-lines/azamara/azamara-journey&lt;/loc&gt;</t>
  </si>
  <si>
    <t>&lt;loc&gt;https://odysia-cruise-uk.client.prod.eu-west.dreamlake.io/cruise-lines/oceania-cruises/oceania-marina/cruises&lt;/loc&gt;</t>
  </si>
  <si>
    <t>https://odysia-cruise-uk.client.prod.eu-west.dreamlake.io/cruise-lines/oceania-cruises/oceania-marina/cruises</t>
  </si>
  <si>
    <t>&lt;loc&gt;https://odysia-cruise-uk.client.prod.eu-west.dreamlake.io/cruise-lines/norwegian-cruise-line/norwegian-joy&lt;/loc&gt;</t>
  </si>
  <si>
    <t>https://odysia-cruise-uk.client.prod.eu-west.dreamlake.io/cruise-lines/norwegian-cruise-line/norwegian-joy</t>
  </si>
  <si>
    <t>&lt;loc&gt;https://odysia-cruise-uk.client.prod.eu-west.dreamlake.io/cruise-lines/costa-cruises/costa-serena&lt;/loc&gt;</t>
  </si>
  <si>
    <t>https://odysia-cruise-uk.client.prod.eu-west.dreamlake.io/cruise-lines/costa-cruises/costa-serena</t>
  </si>
  <si>
    <t>&lt;loc&gt;https://odysia-cruise-uk.client.prod.eu-west.dreamlake.io/cruise-lines/royal-caribbean/cruises&lt;/loc&gt;</t>
  </si>
  <si>
    <t>https://odysia-cruise-uk.client.prod.eu-west.dreamlake.io/cruise-lines/royal-caribbean/cruises</t>
  </si>
  <si>
    <t>&lt;loc&gt;https://odysia-cruise-uk.client.prod.eu-west.dreamlake.io/cruise-lines/celebrity-cruises/celebrity-equinox/cruises&lt;/loc&gt;</t>
  </si>
  <si>
    <t>https://odysia-cruise-uk.client.prod.eu-west.dreamlake.io/cruise-lines/celebrity-cruises/celebrity-equinox/cruises</t>
  </si>
  <si>
    <t>&lt;loc&gt;https://odysia-cruise-uk.client.prod.eu-west.dreamlake.io/cruise-lines/msc-cruises/msc-world-america&lt;/loc&gt;</t>
  </si>
  <si>
    <t>https://odysia-cruise-uk.client.prod.eu-west.dreamlake.io/cruise-lines/msc-cruises/msc-world-america</t>
  </si>
  <si>
    <t>&lt;loc&gt;https://odysia-cruise-uk.client.prod.eu-west.dreamlake.io/cruise-lines/msc-cruises/msc-grandiosa&lt;/loc&gt;</t>
  </si>
  <si>
    <t>https://odysia-cruise-uk.client.prod.eu-west.dreamlake.io/cruise-lines/msc-cruises/msc-grandiosa</t>
  </si>
  <si>
    <t>&lt;loc&gt;https://odysia-cruise-uk.client.prod.eu-west.dreamlake.io/cruise-lines/celebrity-cruises/celebrity-summit/cruises&lt;/loc&gt;</t>
  </si>
  <si>
    <t>https://odysia-cruise-uk.client.prod.eu-west.dreamlake.io/cruise-lines/celebrity-cruises/celebrity-summit/cruises</t>
  </si>
  <si>
    <t>&lt;loc&gt;https://odysia-cruise-uk.client.prod.eu-west.dreamlake.io/cruise-lines/norwegian-cruise-line/norwegian-pearl/cruises&lt;/loc&gt;</t>
  </si>
  <si>
    <t>https://odysia-cruise-uk.client.prod.eu-west.dreamlake.io/cruise-lines/norwegian-cruise-line/norwegian-pearl/cruises</t>
  </si>
  <si>
    <t>&lt;loc&gt;https://odysia-cruise-uk.client.prod.eu-west.dreamlake.io/cruise-lines/princess-cruises/royal-princess&lt;/loc&gt;</t>
  </si>
  <si>
    <t>https://odysia-cruise-uk.client.prod.eu-west.dreamlake.io/cruise-lines/princess-cruises/royal-princess</t>
  </si>
  <si>
    <t>&lt;loc&gt;https://odysia-cruise-uk.client.prod.eu-west.dreamlake.io/cruise-lines/virgin-voyages/brilliant-lady&lt;/loc&gt;</t>
  </si>
  <si>
    <t>https://odysia-cruise-uk.client.prod.eu-west.dreamlake.io/cruise-lines/virgin-voyages/brilliant-lady</t>
  </si>
  <si>
    <t>&lt;loc&gt;https://odysia-cruise-uk.client.prod.eu-west.dreamlake.io/cruise-lines/royal-caribbean/wonder-of-the-seas&lt;/loc&gt;</t>
  </si>
  <si>
    <t>https://odysia-cruise-uk.client.prod.eu-west.dreamlake.io/cruise-lines/royal-caribbean/wonder-of-the-seas</t>
  </si>
  <si>
    <t>&lt;loc&gt;https://odysia-cruise-uk.client.prod.eu-west.dreamlake.io/cruise-lines/azamara/azamara-pursuit&lt;/loc&gt;</t>
  </si>
  <si>
    <t>&lt;loc&gt;https://odysia-cruise-uk.client.prod.eu-west.dreamlake.io/cruise-lines/po-cruises&lt;/loc&gt;</t>
  </si>
  <si>
    <t>https://odysia-cruise-uk.client.prod.eu-west.dreamlake.io/cruise-lines/po-cruises</t>
  </si>
  <si>
    <t>&lt;loc&gt;https://odysia-cruise-uk.client.prod.eu-west.dreamlake.io/cruise-lines/seabourn/seabourn-encore/cruises&lt;/loc&gt;</t>
  </si>
  <si>
    <t>https://odysia-cruise-uk.client.prod.eu-west.dreamlake.io/cruise-lines/seabourn/seabourn-encore/cruises</t>
  </si>
  <si>
    <t>&lt;loc&gt;https://odysia-cruise-uk.client.prod.eu-west.dreamlake.io/cruise-lines/regent-seven-seas-cruises/seven-seas-navigator&lt;/loc&gt;</t>
  </si>
  <si>
    <t>https://odysia-cruise-uk.client.prod.eu-west.dreamlake.io/cruise-lines/regent-seven-seas-cruises/seven-seas-navigator</t>
  </si>
  <si>
    <t>&lt;loc&gt;https://odysia-cruise-uk.client.prod.eu-west.dreamlake.io/cruise-deals&lt;/loc&gt;</t>
  </si>
  <si>
    <t>https://odysia-cruise-uk.client.prod.eu-west.dreamlake.io/cruise-deals</t>
  </si>
  <si>
    <t>&lt;loc&gt;https://odysia-cruise-uk.client.prod.eu-west.dreamlake.io/cruise-lines/princess-cruises/enchanted-princess/cruises&lt;/loc&gt;</t>
  </si>
  <si>
    <t>https://odysia-cruise-uk.client.prod.eu-west.dreamlake.io/cruise-lines/princess-cruises/enchanted-princess/cruises</t>
  </si>
  <si>
    <t>&lt;loc&gt;https://odysia-cruise-uk.client.prod.eu-west.dreamlake.io/cruise-lines/royal-caribbean/harmony-of-the-seas&lt;/loc&gt;</t>
  </si>
  <si>
    <t>https://odysia-cruise-uk.client.prod.eu-west.dreamlake.io/cruise-lines/royal-caribbean/harmony-of-the-seas</t>
  </si>
  <si>
    <t>&lt;loc&gt;https://odysia-cruise-uk.client.prod.eu-west.dreamlake.io/destinations/world-cruise&lt;/loc&gt;</t>
  </si>
  <si>
    <t>&lt;loc&gt;https://odysia-cruise-uk.client.prod.eu-west.dreamlake.io/cruise-lines/princess-cruises/cruises&lt;/loc&gt;</t>
  </si>
  <si>
    <t>https://odysia-cruise-uk.client.prod.eu-west.dreamlake.io/cruise-lines/princess-cruises/cruises</t>
  </si>
  <si>
    <t>&lt;loc&gt;https://odysia-cruise-uk.client.prod.eu-west.dreamlake.io/cruise-lines/msc-cruises/msc-lirica/cruises&lt;/loc&gt;</t>
  </si>
  <si>
    <t>https://odysia-cruise-uk.client.prod.eu-west.dreamlake.io/cruise-lines/msc-cruises/msc-lirica/cruises</t>
  </si>
  <si>
    <t>&lt;loc&gt;https://odysia-cruise-uk.client.prod.eu-west.dreamlake.io/cruise-lines/msc-cruises/msc-world-america/cruises&lt;/loc&gt;</t>
  </si>
  <si>
    <t>https://odysia-cruise-uk.client.prod.eu-west.dreamlake.io/cruise-lines/msc-cruises/msc-world-america/cruises</t>
  </si>
  <si>
    <t>&lt;loc&gt;https://odysia-cruise-uk.client.prod.eu-west.dreamlake.io/cruise-lines/holland-america-line/westerdam&lt;/loc&gt;</t>
  </si>
  <si>
    <t>https://odysia-cruise-uk.client.prod.eu-west.dreamlake.io/cruise-lines/holland-america-line/westerdam</t>
  </si>
  <si>
    <t>&lt;loc&gt;https://odysia-cruise-uk.client.prod.eu-west.dreamlake.io/cruise-lines/seabourn/seabourn-pursuit&lt;/loc&gt;</t>
  </si>
  <si>
    <t>https://odysia-cruise-uk.client.prod.eu-west.dreamlake.io/cruise-lines/seabourn/seabourn-pursuit</t>
  </si>
  <si>
    <t>&lt;loc&gt;https://odysia-cruise-uk.client.prod.eu-west.dreamlake.io/cruise-lines/explora-journeys/explora-ii/cruises&lt;/loc&gt;</t>
  </si>
  <si>
    <t>https://odysia-cruise-uk.client.prod.eu-west.dreamlake.io/cruise-lines/explora-journeys/explora-ii/cruises</t>
  </si>
  <si>
    <t>&lt;loc&gt;https://odysia-cruise-uk.client.prod.eu-west.dreamlake.io/cruise-lines/holland-america-line/oosterdam&lt;/loc&gt;</t>
  </si>
  <si>
    <t>https://odysia-cruise-uk.client.prod.eu-west.dreamlake.io/cruise-lines/holland-america-line/oosterdam</t>
  </si>
  <si>
    <t>&lt;loc&gt;https://odysia-cruise-uk.client.prod.eu-west.dreamlake.io/destinations/far-east-cruises&lt;/loc&gt;</t>
  </si>
  <si>
    <t>&lt;loc&gt;https://odysia-cruise-uk.client.prod.eu-west.dreamlake.io/cruise-lines/costa-cruises/costa-fortuna&lt;/loc&gt;</t>
  </si>
  <si>
    <t>https://odysia-cruise-uk.client.prod.eu-west.dreamlake.io/cruise-lines/costa-cruises/costa-fortuna</t>
  </si>
  <si>
    <t>https://prod.odysiacruise.com</t>
  </si>
  <si>
    <t>https://prod.odysiacruise.com/about-us</t>
  </si>
  <si>
    <t>https://prod.odysiacruise.com/cruise-calendar</t>
  </si>
  <si>
    <t>https://prod.odysiacruise.com/cruise-deals</t>
  </si>
  <si>
    <t>https://prod.odysiacruise.com/cruise-deals/2025</t>
  </si>
  <si>
    <t>https://prod.odysiacruise.com/cruise-deals/2026</t>
  </si>
  <si>
    <t>https://prod.odysiacruise.com/cruise-deals/2027</t>
  </si>
  <si>
    <t>https://prod.odysiacruise.com/cruise-deals/all-inclusive-cruise-deals</t>
  </si>
  <si>
    <t>https://prod.odysiacruise.com/cruise-deals/cruises-from-dover</t>
  </si>
  <si>
    <t>https://prod.odysiacruise.com/cruise-deals/cruises-from-liverpool</t>
  </si>
  <si>
    <t>https://prod.odysiacruise.com/cruise-deals/cruises-from-newcastle</t>
  </si>
  <si>
    <t>https://prod.odysiacruise.com/cruise-deals/cruises-from-portsmouth</t>
  </si>
  <si>
    <t>https://prod.odysiacruise.com/cruise-deals/cruises-from-scotland</t>
  </si>
  <si>
    <t>https://prod.odysiacruise.com/cruise-deals/cruises-from-southampton</t>
  </si>
  <si>
    <t>https://prod.odysiacruise.com/cruise-deals/cruises-from-the-uk</t>
  </si>
  <si>
    <t>https://prod.odysiacruise.com/cruise-deals/cruises-from-tilbury</t>
  </si>
  <si>
    <t>https://prod.odysiacruise.com/cruise-deals/family-cruise-deals</t>
  </si>
  <si>
    <t>https://prod.odysiacruise.com/cruise-deals/fly-cruise-deals</t>
  </si>
  <si>
    <t>https://prod.odysiacruise.com/cruise-deals/last-minute-cruises</t>
  </si>
  <si>
    <t>https://prod.odysiacruise.com/cruise-deals/mini-cruises</t>
  </si>
  <si>
    <t>https://prod.odysiacruise.com/cruise-lines</t>
  </si>
  <si>
    <t>https://prod.odysiacruise.com/cruise-lines/ambassador-cruise-line</t>
  </si>
  <si>
    <t>https://prod.odysiacruise.com/cruise-lines/ambassador-cruise-line/ambience</t>
  </si>
  <si>
    <t>https://prod.odysiacruise.com/cruise-lines/ambassador-cruise-line/ambience/cruises</t>
  </si>
  <si>
    <t>https://prod.odysiacruise.com/cruise-lines/ambassador-cruise-line/ambition</t>
  </si>
  <si>
    <t>https://prod.odysiacruise.com/cruise-lines/ambassador-cruise-line/ambition/cruises</t>
  </si>
  <si>
    <t>https://prod.odysiacruise.com/cruise-lines/ambassador-cruise-line/cruises</t>
  </si>
  <si>
    <t>https://prod.odysiacruise.com/cruise-lines/ambassador-cruise-line/renaissance</t>
  </si>
  <si>
    <t>https://prod.odysiacruise.com/cruise-lines/ambassador-cruise-line/renaissance/cruises</t>
  </si>
  <si>
    <t>https://prod.odysiacruise.com/cruise-lines/azamara</t>
  </si>
  <si>
    <t>https://prod.odysiacruise.com/cruise-lines/azamara/azamara-journey</t>
  </si>
  <si>
    <t>https://prod.odysiacruise.com/cruise-lines/azamara/azamara-journey/cruises</t>
  </si>
  <si>
    <t>https://prod.odysiacruise.com/cruise-lines/azamara/azamara-onward</t>
  </si>
  <si>
    <t>https://prod.odysiacruise.com/cruise-lines/azamara/azamara-pursuit</t>
  </si>
  <si>
    <t>https://prod.odysiacruise.com/cruise-lines/azamara/azamara-pursuit/cruises</t>
  </si>
  <si>
    <t>https://prod.odysiacruise.com/cruise-lines/azamara/azamara-quest</t>
  </si>
  <si>
    <t>https://prod.odysiacruise.com/cruise-lines/azamara/azamara-quest/cruises</t>
  </si>
  <si>
    <t>https://prod.odysiacruise.com/cruise-lines/azamara/cruises</t>
  </si>
  <si>
    <t>https://prod.odysiacruise.com/cruise-lines/celebrity-cruises</t>
  </si>
  <si>
    <t>https://prod.odysiacruise.com/cruise-lines/celebrity-cruises/celebrity-apex</t>
  </si>
  <si>
    <t>https://prod.odysiacruise.com/cruise-lines/celebrity-cruises/celebrity-apex/cruises</t>
  </si>
  <si>
    <t>https://prod.odysiacruise.com/cruise-lines/celebrity-cruises/celebrity-ascent</t>
  </si>
  <si>
    <t>https://prod.odysiacruise.com/cruise-lines/celebrity-cruises/celebrity-ascent/cruises</t>
  </si>
  <si>
    <t>https://prod.odysiacruise.com/cruise-lines/celebrity-cruises/celebrity-beyond</t>
  </si>
  <si>
    <t>https://prod.odysiacruise.com/cruise-lines/celebrity-cruises/celebrity-beyond/cruises</t>
  </si>
  <si>
    <t>https://prod.odysiacruise.com/cruise-lines/celebrity-cruises/celebrity-constellation</t>
  </si>
  <si>
    <t>https://prod.odysiacruise.com/cruise-lines/celebrity-cruises/celebrity-constellation/cruises</t>
  </si>
  <si>
    <t>https://prod.odysiacruise.com/cruise-lines/celebrity-cruises/celebrity-eclipse</t>
  </si>
  <si>
    <t>https://prod.odysiacruise.com/cruise-lines/celebrity-cruises/celebrity-eclipse/cruises</t>
  </si>
  <si>
    <t>https://prod.odysiacruise.com/cruise-lines/celebrity-cruises/celebrity-edge</t>
  </si>
  <si>
    <t>https://prod.odysiacruise.com/cruise-lines/celebrity-cruises/celebrity-edge/cruises</t>
  </si>
  <si>
    <t>https://prod.odysiacruise.com/cruise-lines/celebrity-cruises/celebrity-equinox</t>
  </si>
  <si>
    <t>https://prod.odysiacruise.com/cruise-lines/celebrity-cruises/celebrity-equinox/cruises</t>
  </si>
  <si>
    <t>https://prod.odysiacruise.com/cruise-lines/celebrity-cruises/celebrity-flora</t>
  </si>
  <si>
    <t>https://prod.odysiacruise.com/cruise-lines/celebrity-cruises/celebrity-flora/cruises</t>
  </si>
  <si>
    <t>https://prod.odysiacruise.com/cruise-lines/celebrity-cruises/celebrity-infinity</t>
  </si>
  <si>
    <t>https://prod.odysiacruise.com/cruise-lines/celebrity-cruises/celebrity-infinity/cruises</t>
  </si>
  <si>
    <t>https://prod.odysiacruise.com/cruise-lines/celebrity-cruises/celebrity-millennium</t>
  </si>
  <si>
    <t>https://prod.odysiacruise.com/cruise-lines/celebrity-cruises/celebrity-millennium/cruises</t>
  </si>
  <si>
    <t>https://prod.odysiacruise.com/cruise-lines/celebrity-cruises/celebrity-reflection</t>
  </si>
  <si>
    <t>https://prod.odysiacruise.com/cruise-lines/celebrity-cruises/celebrity-reflection/cruises</t>
  </si>
  <si>
    <t>https://prod.odysiacruise.com/cruise-lines/celebrity-cruises/celebrity-silhouette</t>
  </si>
  <si>
    <t>https://prod.odysiacruise.com/cruise-lines/celebrity-cruises/celebrity-silhouette/cruises</t>
  </si>
  <si>
    <t>https://prod.odysiacruise.com/cruise-lines/celebrity-cruises/celebrity-solstice</t>
  </si>
  <si>
    <t>https://prod.odysiacruise.com/cruise-lines/celebrity-cruises/celebrity-solstice/cruises</t>
  </si>
  <si>
    <t>https://prod.odysiacruise.com/cruise-lines/celebrity-cruises/celebrity-summit</t>
  </si>
  <si>
    <t>https://prod.odysiacruise.com/cruise-lines/celebrity-cruises/celebrity-summit/cruises</t>
  </si>
  <si>
    <t>https://prod.odysiacruise.com/cruise-lines/celebrity-cruises/celebrity-xcel</t>
  </si>
  <si>
    <t>https://prod.odysiacruise.com/cruise-lines/celebrity-cruises/celebrity-xcel/cruises</t>
  </si>
  <si>
    <t>https://prod.odysiacruise.com/cruise-lines/celebrity-cruises/cruises</t>
  </si>
  <si>
    <t>https://prod.odysiacruise.com/cruise-lines/costa-cruises</t>
  </si>
  <si>
    <t>https://prod.odysiacruise.com/cruise-lines/costa-cruises/costa-deliziosa</t>
  </si>
  <si>
    <t>https://prod.odysiacruise.com/cruise-lines/costa-cruises/costa-deliziosa/cruises</t>
  </si>
  <si>
    <t>https://prod.odysiacruise.com/cruise-lines/costa-cruises/costa-diadema</t>
  </si>
  <si>
    <t>https://prod.odysiacruise.com/cruise-lines/costa-cruises/costa-diadema/cruises</t>
  </si>
  <si>
    <t>https://prod.odysiacruise.com/cruise-lines/costa-cruises/costa-fascinosa</t>
  </si>
  <si>
    <t>https://prod.odysiacruise.com/cruise-lines/costa-cruises/costa-fascinosa/cruises</t>
  </si>
  <si>
    <t>https://prod.odysiacruise.com/cruise-lines/costa-cruises/costa-favolosa</t>
  </si>
  <si>
    <t>https://prod.odysiacruise.com/cruise-lines/costa-cruises/costa-favolosa/cruises</t>
  </si>
  <si>
    <t>https://prod.odysiacruise.com/cruise-lines/costa-cruises/costa-fortuna</t>
  </si>
  <si>
    <t>https://prod.odysiacruise.com/cruise-lines/costa-cruises/costa-fortuna/cruises</t>
  </si>
  <si>
    <t>https://prod.odysiacruise.com/cruise-lines/costa-cruises/costa-pacifica</t>
  </si>
  <si>
    <t>https://prod.odysiacruise.com/cruise-lines/costa-cruises/costa-pacifica/cruises</t>
  </si>
  <si>
    <t>https://prod.odysiacruise.com/cruise-lines/costa-cruises/costa-serena</t>
  </si>
  <si>
    <t>https://prod.odysiacruise.com/cruise-lines/costa-cruises/costa-serena/cruises</t>
  </si>
  <si>
    <t>https://prod.odysiacruise.com/cruise-lines/costa-cruises/costa-smeralda</t>
  </si>
  <si>
    <t>https://prod.odysiacruise.com/cruise-lines/costa-cruises/costa-smeralda/cruises</t>
  </si>
  <si>
    <t>https://prod.odysiacruise.com/cruise-lines/costa-cruises/costa-toscana</t>
  </si>
  <si>
    <t>https://prod.odysiacruise.com/cruise-lines/costa-cruises/costa-toscana/cruises</t>
  </si>
  <si>
    <t>https://prod.odysiacruise.com/cruise-lines/costa-cruises/cruises</t>
  </si>
  <si>
    <t>https://prod.odysiacruise.com/cruise-lines/cunard</t>
  </si>
  <si>
    <t>https://prod.odysiacruise.com/cruise-lines/cunard/cruises</t>
  </si>
  <si>
    <t>https://prod.odysiacruise.com/cruise-lines/cunard/queen-anne</t>
  </si>
  <si>
    <t>https://prod.odysiacruise.com/cruise-lines/cunard/queen-anne/cruises</t>
  </si>
  <si>
    <t>https://prod.odysiacruise.com/cruise-lines/cunard/queen-elizabeth</t>
  </si>
  <si>
    <t>https://prod.odysiacruise.com/cruise-lines/cunard/queen-elizabeth/cruises</t>
  </si>
  <si>
    <t>https://prod.odysiacruise.com/cruise-lines/cunard/queen-mary-2</t>
  </si>
  <si>
    <t>https://prod.odysiacruise.com/cruise-lines/cunard/queen-mary-2/cruises</t>
  </si>
  <si>
    <t>https://prod.odysiacruise.com/cruise-lines/cunard/queen-victoria</t>
  </si>
  <si>
    <t>https://prod.odysiacruise.com/cruise-lines/cunard/queen-victoria/cruises</t>
  </si>
  <si>
    <t>https://prod.odysiacruise.com/cruise-lines/explora-journeys</t>
  </si>
  <si>
    <t>https://prod.odysiacruise.com/cruise-lines/explora-journeys/cruises</t>
  </si>
  <si>
    <t>https://prod.odysiacruise.com/cruise-lines/explora-journeys/explora-i</t>
  </si>
  <si>
    <t>https://prod.odysiacruise.com/cruise-lines/explora-journeys/explora-i/cruises</t>
  </si>
  <si>
    <t>https://prod.odysiacruise.com/cruise-lines/explora-journeys/explora-ii</t>
  </si>
  <si>
    <t>https://prod.odysiacruise.com/cruise-lines/explora-journeys/explora-ii/cruises</t>
  </si>
  <si>
    <t>https://prod.odysiacruise.com/cruise-lines/explora-journeys/explora-iii</t>
  </si>
  <si>
    <t>https://prod.odysiacruise.com/cruise-lines/explora-journeys/explora-iii/cruises</t>
  </si>
  <si>
    <t>https://prod.odysiacruise.com/cruise-lines/fred-olsen-cruises</t>
  </si>
  <si>
    <t>https://prod.odysiacruise.com/cruise-lines/fred-olsen-cruises/balmoral</t>
  </si>
  <si>
    <t>https://prod.odysiacruise.com/cruise-lines/fred-olsen-cruises/balmoral/cruises</t>
  </si>
  <si>
    <t>https://prod.odysiacruise.com/cruise-lines/fred-olsen-cruises/bolette</t>
  </si>
  <si>
    <t>https://prod.odysiacruise.com/cruise-lines/fred-olsen-cruises/bolette/cruises</t>
  </si>
  <si>
    <t>https://prod.odysiacruise.com/cruise-lines/fred-olsen-cruises/borealis</t>
  </si>
  <si>
    <t>https://prod.odysiacruise.com/cruise-lines/fred-olsen-cruises/borealis/cruises</t>
  </si>
  <si>
    <t>https://prod.odysiacruise.com/cruise-lines/fred-olsen-cruises/cruises</t>
  </si>
  <si>
    <t>https://prod.odysiacruise.com/cruise-lines/holland-america-line</t>
  </si>
  <si>
    <t>https://prod.odysiacruise.com/cruise-lines/holland-america-line/eurodam</t>
  </si>
  <si>
    <t>https://prod.odysiacruise.com/cruise-lines/holland-america-line/eurodam/cruises</t>
  </si>
  <si>
    <t>https://prod.odysiacruise.com/cruise-lines/holland-america-line/koningsdam</t>
  </si>
  <si>
    <t>https://prod.odysiacruise.com/cruise-lines/holland-america-line/koningsdam/cruises</t>
  </si>
  <si>
    <t>https://prod.odysiacruise.com/cruise-lines/holland-america-line/nieuw-amsterdam</t>
  </si>
  <si>
    <t>https://prod.odysiacruise.com/cruise-lines/holland-america-line/nieuw-amsterdam/cruises</t>
  </si>
  <si>
    <t>https://prod.odysiacruise.com/cruise-lines/holland-america-line/nieuw-statendam</t>
  </si>
  <si>
    <t>https://prod.odysiacruise.com/cruise-lines/holland-america-line/nieuw-statendam/cruises</t>
  </si>
  <si>
    <t>https://prod.odysiacruise.com/cruise-lines/holland-america-line/noordam</t>
  </si>
  <si>
    <t>https://prod.odysiacruise.com/cruise-lines/holland-america-line/noordam/cruises</t>
  </si>
  <si>
    <t>https://prod.odysiacruise.com/cruise-lines/holland-america-line/oosterdam</t>
  </si>
  <si>
    <t>https://prod.odysiacruise.com/cruise-lines/holland-america-line/oosterdam/cruises</t>
  </si>
  <si>
    <t>https://prod.odysiacruise.com/cruise-lines/holland-america-line/rotterdam</t>
  </si>
  <si>
    <t>https://prod.odysiacruise.com/cruise-lines/holland-america-line/rotterdam/cruises</t>
  </si>
  <si>
    <t>https://prod.odysiacruise.com/cruise-lines/holland-america-line/volendam</t>
  </si>
  <si>
    <t>https://prod.odysiacruise.com/cruise-lines/holland-america-line/volendam/cruises</t>
  </si>
  <si>
    <t>https://prod.odysiacruise.com/cruise-lines/holland-america-line/westerdam</t>
  </si>
  <si>
    <t>https://prod.odysiacruise.com/cruise-lines/holland-america-line/westerdam/cruises</t>
  </si>
  <si>
    <t>https://prod.odysiacruise.com/cruise-lines/holland-america-line/zaandam</t>
  </si>
  <si>
    <t>https://prod.odysiacruise.com/cruise-lines/holland-america-line/zaandam/cruises</t>
  </si>
  <si>
    <t>https://prod.odysiacruise.com/cruise-lines/holland-america-line/zuiderdam</t>
  </si>
  <si>
    <t>https://prod.odysiacruise.com/cruise-lines/holland-america-line/zuiderdam/cruises</t>
  </si>
  <si>
    <t>https://prod.odysiacruise.com/cruise-lines/msc-cruises</t>
  </si>
  <si>
    <t>https://prod.odysiacruise.com/cruise-lines/msc-cruises/cruises</t>
  </si>
  <si>
    <t>https://prod.odysiacruise.com/cruise-lines/msc-cruises/msc-armonia</t>
  </si>
  <si>
    <t>https://prod.odysiacruise.com/cruise-lines/msc-cruises/msc-armonia/cruises</t>
  </si>
  <si>
    <t>https://prod.odysiacruise.com/cruise-lines/msc-cruises/msc-bellissima</t>
  </si>
  <si>
    <t>https://prod.odysiacruise.com/cruise-lines/msc-cruises/msc-bellissima/cruises</t>
  </si>
  <si>
    <t>https://prod.odysiacruise.com/cruise-lines/msc-cruises/msc-divina</t>
  </si>
  <si>
    <t>https://prod.odysiacruise.com/cruise-lines/msc-cruises/msc-divina/cruises</t>
  </si>
  <si>
    <t>https://prod.odysiacruise.com/cruise-lines/msc-cruises/msc-euribia</t>
  </si>
  <si>
    <t>https://prod.odysiacruise.com/cruise-lines/msc-cruises/msc-euribia/cruises</t>
  </si>
  <si>
    <t>https://prod.odysiacruise.com/cruise-lines/msc-cruises/msc-fantasia</t>
  </si>
  <si>
    <t>https://prod.odysiacruise.com/cruise-lines/msc-cruises/msc-fantasia/cruises</t>
  </si>
  <si>
    <t>https://prod.odysiacruise.com/cruise-lines/msc-cruises/msc-grandiosa</t>
  </si>
  <si>
    <t>https://prod.odysiacruise.com/cruise-lines/msc-cruises/msc-grandiosa/cruises</t>
  </si>
  <si>
    <t>https://prod.odysiacruise.com/cruise-lines/msc-cruises/msc-lirica</t>
  </si>
  <si>
    <t>https://prod.odysiacruise.com/cruise-lines/msc-cruises/msc-lirica/cruises</t>
  </si>
  <si>
    <t>https://prod.odysiacruise.com/cruise-lines/msc-cruises/msc-magnifica</t>
  </si>
  <si>
    <t>https://prod.odysiacruise.com/cruise-lines/msc-cruises/msc-magnifica/cruises</t>
  </si>
  <si>
    <t>https://prod.odysiacruise.com/cruise-lines/msc-cruises/msc-meraviglia</t>
  </si>
  <si>
    <t>https://prod.odysiacruise.com/cruise-lines/msc-cruises/msc-meraviglia/cruises</t>
  </si>
  <si>
    <t>https://prod.odysiacruise.com/cruise-lines/msc-cruises/msc-musica</t>
  </si>
  <si>
    <t>https://prod.odysiacruise.com/cruise-lines/msc-cruises/msc-musica/cruises</t>
  </si>
  <si>
    <t>https://prod.odysiacruise.com/cruise-lines/msc-cruises/msc-opera</t>
  </si>
  <si>
    <t>https://prod.odysiacruise.com/cruise-lines/msc-cruises/msc-opera/cruises</t>
  </si>
  <si>
    <t>https://prod.odysiacruise.com/cruise-lines/msc-cruises/msc-orchestra</t>
  </si>
  <si>
    <t>https://prod.odysiacruise.com/cruise-lines/msc-cruises/msc-orchestra/cruises</t>
  </si>
  <si>
    <t>https://prod.odysiacruise.com/cruise-lines/msc-cruises/msc-poesia</t>
  </si>
  <si>
    <t>https://prod.odysiacruise.com/cruise-lines/msc-cruises/msc-poesia/cruises</t>
  </si>
  <si>
    <t>https://prod.odysiacruise.com/cruise-lines/msc-cruises/msc-preziosa</t>
  </si>
  <si>
    <t>https://prod.odysiacruise.com/cruise-lines/msc-cruises/msc-preziosa/cruises</t>
  </si>
  <si>
    <t>https://prod.odysiacruise.com/cruise-lines/msc-cruises/msc-seascape</t>
  </si>
  <si>
    <t>https://prod.odysiacruise.com/cruise-lines/msc-cruises/msc-seascape/cruises</t>
  </si>
  <si>
    <t>https://prod.odysiacruise.com/cruise-lines/msc-cruises/msc-seashore</t>
  </si>
  <si>
    <t>https://prod.odysiacruise.com/cruise-lines/msc-cruises/msc-seashore/cruises</t>
  </si>
  <si>
    <t>https://prod.odysiacruise.com/cruise-lines/msc-cruises/msc-seaside</t>
  </si>
  <si>
    <t>https://prod.odysiacruise.com/cruise-lines/msc-cruises/msc-seaside/cruises</t>
  </si>
  <si>
    <t>https://prod.odysiacruise.com/cruise-lines/msc-cruises/msc-seaview</t>
  </si>
  <si>
    <t>https://prod.odysiacruise.com/cruise-lines/msc-cruises/msc-seaview/cruises</t>
  </si>
  <si>
    <t>https://prod.odysiacruise.com/cruise-lines/msc-cruises/msc-sinfonia</t>
  </si>
  <si>
    <t>https://prod.odysiacruise.com/cruise-lines/msc-cruises/msc-sinfonia/cruises</t>
  </si>
  <si>
    <t>https://prod.odysiacruise.com/cruise-lines/msc-cruises/msc-splendida</t>
  </si>
  <si>
    <t>https://prod.odysiacruise.com/cruise-lines/msc-cruises/msc-splendida/cruises</t>
  </si>
  <si>
    <t>https://prod.odysiacruise.com/cruise-lines/msc-cruises/msc-virtuosa</t>
  </si>
  <si>
    <t>https://prod.odysiacruise.com/cruise-lines/msc-cruises/msc-virtuosa/cruises</t>
  </si>
  <si>
    <t>https://prod.odysiacruise.com/cruise-lines/msc-cruises/msc-world-america</t>
  </si>
  <si>
    <t>https://prod.odysiacruise.com/cruise-lines/msc-cruises/msc-world-america/cruises</t>
  </si>
  <si>
    <t>https://prod.odysiacruise.com/cruise-lines/msc-cruises/msc-world-europa</t>
  </si>
  <si>
    <t>https://prod.odysiacruise.com/cruise-lines/msc-cruises/msc-world-europa/cruises</t>
  </si>
  <si>
    <t>https://prod.odysiacruise.com/cruise-lines/norwegian-cruise-line</t>
  </si>
  <si>
    <t>https://prod.odysiacruise.com/cruise-lines/norwegian-cruise-line/cruises</t>
  </si>
  <si>
    <t>https://prod.odysiacruise.com/cruise-lines/norwegian-cruise-line/norwegian-aqua</t>
  </si>
  <si>
    <t>https://prod.odysiacruise.com/cruise-lines/norwegian-cruise-line/norwegian-aqua/cruises</t>
  </si>
  <si>
    <t>https://prod.odysiacruise.com/cruise-lines/norwegian-cruise-line/norwegian-bliss</t>
  </si>
  <si>
    <t>https://prod.odysiacruise.com/cruise-lines/norwegian-cruise-line/norwegian-bliss/cruises</t>
  </si>
  <si>
    <t>https://prod.odysiacruise.com/cruise-lines/norwegian-cruise-line/norwegian-breakaway</t>
  </si>
  <si>
    <t>https://prod.odysiacruise.com/cruise-lines/norwegian-cruise-line/norwegian-breakaway/cruises</t>
  </si>
  <si>
    <t>https://prod.odysiacruise.com/cruise-lines/norwegian-cruise-line/norwegian-dawn</t>
  </si>
  <si>
    <t>https://prod.odysiacruise.com/cruise-lines/norwegian-cruise-line/norwegian-dawn/cruises</t>
  </si>
  <si>
    <t>https://prod.odysiacruise.com/cruise-lines/norwegian-cruise-line/norwegian-encore</t>
  </si>
  <si>
    <t>https://prod.odysiacruise.com/cruise-lines/norwegian-cruise-line/norwegian-encore/cruises</t>
  </si>
  <si>
    <t>https://prod.odysiacruise.com/cruise-lines/norwegian-cruise-line/norwegian-epic</t>
  </si>
  <si>
    <t>https://prod.odysiacruise.com/cruise-lines/norwegian-cruise-line/norwegian-epic/cruises</t>
  </si>
  <si>
    <t>https://prod.odysiacruise.com/cruise-lines/norwegian-cruise-line/norwegian-escape</t>
  </si>
  <si>
    <t>https://prod.odysiacruise.com/cruise-lines/norwegian-cruise-line/norwegian-escape/cruises</t>
  </si>
  <si>
    <t>https://prod.odysiacruise.com/cruise-lines/norwegian-cruise-line/norwegian-gem</t>
  </si>
  <si>
    <t>https://prod.odysiacruise.com/cruise-lines/norwegian-cruise-line/norwegian-gem/cruises</t>
  </si>
  <si>
    <t>https://prod.odysiacruise.com/cruise-lines/norwegian-cruise-line/norwegian-getaway</t>
  </si>
  <si>
    <t>https://prod.odysiacruise.com/cruise-lines/norwegian-cruise-line/norwegian-getaway/cruises</t>
  </si>
  <si>
    <t>https://prod.odysiacruise.com/cruise-lines/norwegian-cruise-line/norwegian-jade</t>
  </si>
  <si>
    <t>https://prod.odysiacruise.com/cruise-lines/norwegian-cruise-line/norwegian-jade/cruises</t>
  </si>
  <si>
    <t>https://prod.odysiacruise.com/cruise-lines/norwegian-cruise-line/norwegian-jewel</t>
  </si>
  <si>
    <t>https://prod.odysiacruise.com/cruise-lines/norwegian-cruise-line/norwegian-jewel/cruises</t>
  </si>
  <si>
    <t>https://prod.odysiacruise.com/cruise-lines/norwegian-cruise-line/norwegian-joy</t>
  </si>
  <si>
    <t>https://prod.odysiacruise.com/cruise-lines/norwegian-cruise-line/norwegian-joy/cruises</t>
  </si>
  <si>
    <t>https://prod.odysiacruise.com/cruise-lines/norwegian-cruise-line/norwegian-luna</t>
  </si>
  <si>
    <t>https://prod.odysiacruise.com/cruise-lines/norwegian-cruise-line/norwegian-luna/cruises</t>
  </si>
  <si>
    <t>https://prod.odysiacruise.com/cruise-lines/norwegian-cruise-line/norwegian-pearl</t>
  </si>
  <si>
    <t>https://prod.odysiacruise.com/cruise-lines/norwegian-cruise-line/norwegian-pearl/cruises</t>
  </si>
  <si>
    <t>https://prod.odysiacruise.com/cruise-lines/norwegian-cruise-line/norwegian-prima</t>
  </si>
  <si>
    <t>https://prod.odysiacruise.com/cruise-lines/norwegian-cruise-line/norwegian-prima/cruises</t>
  </si>
  <si>
    <t>https://prod.odysiacruise.com/cruise-lines/norwegian-cruise-line/norwegian-sky</t>
  </si>
  <si>
    <t>https://prod.odysiacruise.com/cruise-lines/norwegian-cruise-line/norwegian-sky/cruises</t>
  </si>
  <si>
    <t>https://prod.odysiacruise.com/cruise-lines/norwegian-cruise-line/norwegian-spirit</t>
  </si>
  <si>
    <t>https://prod.odysiacruise.com/cruise-lines/norwegian-cruise-line/norwegian-spirit/cruises</t>
  </si>
  <si>
    <t>https://prod.odysiacruise.com/cruise-lines/norwegian-cruise-line/norwegian-star</t>
  </si>
  <si>
    <t>https://prod.odysiacruise.com/cruise-lines/norwegian-cruise-line/norwegian-star/cruises</t>
  </si>
  <si>
    <t>https://prod.odysiacruise.com/cruise-lines/norwegian-cruise-line/norwegian-sun</t>
  </si>
  <si>
    <t>https://prod.odysiacruise.com/cruise-lines/norwegian-cruise-line/norwegian-sun/cruises</t>
  </si>
  <si>
    <t>https://prod.odysiacruise.com/cruise-lines/norwegian-cruise-line/norwegian-viva</t>
  </si>
  <si>
    <t>https://prod.odysiacruise.com/cruise-lines/norwegian-cruise-line/norwegian-viva/cruises</t>
  </si>
  <si>
    <t>https://prod.odysiacruise.com/cruise-lines/norwegian-cruise-line/pride-of-america</t>
  </si>
  <si>
    <t>https://prod.odysiacruise.com/cruise-lines/norwegian-cruise-line/pride-of-america/cruises</t>
  </si>
  <si>
    <t>https://prod.odysiacruise.com/cruise-lines/oceania-cruises</t>
  </si>
  <si>
    <t>https://prod.odysiacruise.com/cruise-lines/oceania-cruises/cruises</t>
  </si>
  <si>
    <t>https://prod.odysiacruise.com/cruise-lines/oceania-cruises/oceania-allura</t>
  </si>
  <si>
    <t>https://prod.odysiacruise.com/cruise-lines/oceania-cruises/oceania-allura/cruises</t>
  </si>
  <si>
    <t>https://prod.odysiacruise.com/cruise-lines/oceania-cruises/oceania-insignia</t>
  </si>
  <si>
    <t>https://prod.odysiacruise.com/cruise-lines/oceania-cruises/oceania-insignia/cruises</t>
  </si>
  <si>
    <t>https://prod.odysiacruise.com/cruise-lines/oceania-cruises/oceania-marina</t>
  </si>
  <si>
    <t>https://prod.odysiacruise.com/cruise-lines/oceania-cruises/oceania-marina/cruises</t>
  </si>
  <si>
    <t>https://prod.odysiacruise.com/cruise-lines/oceania-cruises/oceania-nautica</t>
  </si>
  <si>
    <t>https://prod.odysiacruise.com/cruise-lines/oceania-cruises/oceania-nautica/cruises</t>
  </si>
  <si>
    <t>https://prod.odysiacruise.com/cruise-lines/oceania-cruises/oceania-regatta</t>
  </si>
  <si>
    <t>https://prod.odysiacruise.com/cruise-lines/oceania-cruises/oceania-regatta/cruises</t>
  </si>
  <si>
    <t>https://prod.odysiacruise.com/cruise-lines/oceania-cruises/oceania-riviera</t>
  </si>
  <si>
    <t>https://prod.odysiacruise.com/cruise-lines/oceania-cruises/oceania-riviera/cruises</t>
  </si>
  <si>
    <t>https://prod.odysiacruise.com/cruise-lines/oceania-cruises/oceania-sirena</t>
  </si>
  <si>
    <t>https://prod.odysiacruise.com/cruise-lines/oceania-cruises/oceania-sirena/cruises</t>
  </si>
  <si>
    <t>https://prod.odysiacruise.com/cruise-lines/oceania-cruises/oceania-vista</t>
  </si>
  <si>
    <t>https://prod.odysiacruise.com/cruise-lines/oceania-cruises/oceania-vista/cruises</t>
  </si>
  <si>
    <t>https://prod.odysiacruise.com/cruise-lines/po-cruises</t>
  </si>
  <si>
    <t>https://prod.odysiacruise.com/cruise-lines/po-cruises/arcadia</t>
  </si>
  <si>
    <t>https://prod.odysiacruise.com/cruise-lines/po-cruises/arcadia/cruises</t>
  </si>
  <si>
    <t>https://prod.odysiacruise.com/cruise-lines/po-cruises/arvia</t>
  </si>
  <si>
    <t>https://prod.odysiacruise.com/cruise-lines/po-cruises/arvia/cruises</t>
  </si>
  <si>
    <t>https://prod.odysiacruise.com/cruise-lines/po-cruises/aurora</t>
  </si>
  <si>
    <t>https://prod.odysiacruise.com/cruise-lines/po-cruises/aurora/cruises</t>
  </si>
  <si>
    <t>https://prod.odysiacruise.com/cruise-lines/po-cruises/azura</t>
  </si>
  <si>
    <t>https://prod.odysiacruise.com/cruise-lines/po-cruises/azura/cruises</t>
  </si>
  <si>
    <t>https://prod.odysiacruise.com/cruise-lines/po-cruises/britannia</t>
  </si>
  <si>
    <t>https://prod.odysiacruise.com/cruise-lines/po-cruises/britannia/cruises</t>
  </si>
  <si>
    <t>https://prod.odysiacruise.com/cruise-lines/po-cruises/cruises</t>
  </si>
  <si>
    <t>https://prod.odysiacruise.com/cruise-lines/po-cruises/iona</t>
  </si>
  <si>
    <t>https://prod.odysiacruise.com/cruise-lines/po-cruises/iona/cruises</t>
  </si>
  <si>
    <t>https://prod.odysiacruise.com/cruise-lines/po-cruises/ventura</t>
  </si>
  <si>
    <t>https://prod.odysiacruise.com/cruise-lines/po-cruises/ventura/cruises</t>
  </si>
  <si>
    <t>https://prod.odysiacruise.com/cruise-lines/princess-cruises</t>
  </si>
  <si>
    <t>https://prod.odysiacruise.com/cruise-lines/princess-cruises/caribbean-princess</t>
  </si>
  <si>
    <t>https://prod.odysiacruise.com/cruise-lines/princess-cruises/caribbean-princess/cruises</t>
  </si>
  <si>
    <t>https://prod.odysiacruise.com/cruise-lines/princess-cruises/coral-princess</t>
  </si>
  <si>
    <t>https://prod.odysiacruise.com/cruise-lines/princess-cruises/coral-princess/cruises</t>
  </si>
  <si>
    <t>https://prod.odysiacruise.com/cruise-lines/princess-cruises/crown-princess</t>
  </si>
  <si>
    <t>https://prod.odysiacruise.com/cruise-lines/princess-cruises/crown-princess/cruises</t>
  </si>
  <si>
    <t>https://prod.odysiacruise.com/cruise-lines/princess-cruises/cruises</t>
  </si>
  <si>
    <t>https://prod.odysiacruise.com/cruise-lines/princess-cruises/diamond-princess</t>
  </si>
  <si>
    <t>https://prod.odysiacruise.com/cruise-lines/princess-cruises/diamond-princess/cruises</t>
  </si>
  <si>
    <t>https://prod.odysiacruise.com/cruise-lines/princess-cruises/discovery-princess</t>
  </si>
  <si>
    <t>https://prod.odysiacruise.com/cruise-lines/princess-cruises/discovery-princess/cruises</t>
  </si>
  <si>
    <t>https://prod.odysiacruise.com/cruise-lines/princess-cruises/emerald-princess</t>
  </si>
  <si>
    <t>https://prod.odysiacruise.com/cruise-lines/princess-cruises/emerald-princess/cruises</t>
  </si>
  <si>
    <t>https://prod.odysiacruise.com/cruise-lines/princess-cruises/enchanted-princess</t>
  </si>
  <si>
    <t>https://prod.odysiacruise.com/cruise-lines/princess-cruises/enchanted-princess/cruises</t>
  </si>
  <si>
    <t>https://prod.odysiacruise.com/cruise-lines/princess-cruises/grand-princess</t>
  </si>
  <si>
    <t>https://prod.odysiacruise.com/cruise-lines/princess-cruises/grand-princess/cruises</t>
  </si>
  <si>
    <t>https://prod.odysiacruise.com/cruise-lines/princess-cruises/island-princess</t>
  </si>
  <si>
    <t>https://prod.odysiacruise.com/cruise-lines/princess-cruises/island-princess/cruises</t>
  </si>
  <si>
    <t>https://prod.odysiacruise.com/cruise-lines/princess-cruises/majestic-princess</t>
  </si>
  <si>
    <t>https://prod.odysiacruise.com/cruise-lines/princess-cruises/majestic-princess/cruises</t>
  </si>
  <si>
    <t>https://prod.odysiacruise.com/cruise-lines/princess-cruises/regal-princess</t>
  </si>
  <si>
    <t>https://prod.odysiacruise.com/cruise-lines/princess-cruises/regal-princess/cruises</t>
  </si>
  <si>
    <t>https://prod.odysiacruise.com/cruise-lines/princess-cruises/royal-princess</t>
  </si>
  <si>
    <t>https://prod.odysiacruise.com/cruise-lines/princess-cruises/royal-princess/cruises</t>
  </si>
  <si>
    <t>https://prod.odysiacruise.com/cruise-lines/princess-cruises/ruby-princess</t>
  </si>
  <si>
    <t>https://prod.odysiacruise.com/cruise-lines/princess-cruises/ruby-princess/cruises</t>
  </si>
  <si>
    <t>https://prod.odysiacruise.com/cruise-lines/princess-cruises/sapphire-princess</t>
  </si>
  <si>
    <t>https://prod.odysiacruise.com/cruise-lines/princess-cruises/sapphire-princess/cruises</t>
  </si>
  <si>
    <t>https://prod.odysiacruise.com/cruise-lines/princess-cruises/sky-princess</t>
  </si>
  <si>
    <t>https://prod.odysiacruise.com/cruise-lines/princess-cruises/sky-princess/cruises</t>
  </si>
  <si>
    <t>https://prod.odysiacruise.com/cruise-lines/princess-cruises/star-princess</t>
  </si>
  <si>
    <t>https://prod.odysiacruise.com/cruise-lines/princess-cruises/star-princess/cruises</t>
  </si>
  <si>
    <t>https://prod.odysiacruise.com/cruise-lines/princess-cruises/sun-princess</t>
  </si>
  <si>
    <t>https://prod.odysiacruise.com/cruise-lines/princess-cruises/sun-princess/cruises</t>
  </si>
  <si>
    <t>https://prod.odysiacruise.com/cruise-lines/regent-seven-seas-cruises</t>
  </si>
  <si>
    <t>https://prod.odysiacruise.com/cruise-lines/regent-seven-seas-cruises/cruises</t>
  </si>
  <si>
    <t>https://prod.odysiacruise.com/cruise-lines/regent-seven-seas-cruises/seven-seas-explorer</t>
  </si>
  <si>
    <t>https://prod.odysiacruise.com/cruise-lines/regent-seven-seas-cruises/seven-seas-explorer/cruises</t>
  </si>
  <si>
    <t>https://prod.odysiacruise.com/cruise-lines/regent-seven-seas-cruises/seven-seas-grandeur</t>
  </si>
  <si>
    <t>https://prod.odysiacruise.com/cruise-lines/regent-seven-seas-cruises/seven-seas-grandeur/cruises</t>
  </si>
  <si>
    <t>https://prod.odysiacruise.com/cruise-lines/regent-seven-seas-cruises/seven-seas-mariner</t>
  </si>
  <si>
    <t>https://prod.odysiacruise.com/cruise-lines/regent-seven-seas-cruises/seven-seas-mariner/cruises</t>
  </si>
  <si>
    <t>https://prod.odysiacruise.com/cruise-lines/regent-seven-seas-cruises/seven-seas-navigator</t>
  </si>
  <si>
    <t>https://prod.odysiacruise.com/cruise-lines/regent-seven-seas-cruises/seven-seas-splendor</t>
  </si>
  <si>
    <t>https://prod.odysiacruise.com/cruise-lines/regent-seven-seas-cruises/seven-seas-splendor/cruises</t>
  </si>
  <si>
    <t>https://prod.odysiacruise.com/cruise-lines/regent-seven-seas-cruises/seven-seas-voyager</t>
  </si>
  <si>
    <t>https://prod.odysiacruise.com/cruise-lines/regent-seven-seas-cruises/seven-seas-voyager/cruises</t>
  </si>
  <si>
    <t>https://prod.odysiacruise.com/cruise-lines/royal-caribbean</t>
  </si>
  <si>
    <t>https://prod.odysiacruise.com/cruise-lines/royal-caribbean/adventure-of-the-seas</t>
  </si>
  <si>
    <t>https://prod.odysiacruise.com/cruise-lines/royal-caribbean/adventure-of-the-seas/cruises</t>
  </si>
  <si>
    <t>https://prod.odysiacruise.com/cruise-lines/royal-caribbean/allure-of-the-seas</t>
  </si>
  <si>
    <t>https://prod.odysiacruise.com/cruise-lines/royal-caribbean/allure-of-the-seas/cruises</t>
  </si>
  <si>
    <t>https://prod.odysiacruise.com/cruise-lines/royal-caribbean/anthem-of-the-seas</t>
  </si>
  <si>
    <t>https://prod.odysiacruise.com/cruise-lines/royal-caribbean/anthem-of-the-seas/cruises</t>
  </si>
  <si>
    <t>https://prod.odysiacruise.com/cruise-lines/royal-caribbean/brilliance-of-the-seas</t>
  </si>
  <si>
    <t>https://prod.odysiacruise.com/cruise-lines/royal-caribbean/brilliance-of-the-seas/cruises</t>
  </si>
  <si>
    <t>https://prod.odysiacruise.com/cruise-lines/royal-caribbean/cruises</t>
  </si>
  <si>
    <t>https://prod.odysiacruise.com/cruise-lines/royal-caribbean/enchantment-of-the-seas</t>
  </si>
  <si>
    <t>https://prod.odysiacruise.com/cruise-lines/royal-caribbean/enchantment-of-the-seas/cruises</t>
  </si>
  <si>
    <t>https://prod.odysiacruise.com/cruise-lines/royal-caribbean/explorer-of-the-seas</t>
  </si>
  <si>
    <t>https://prod.odysiacruise.com/cruise-lines/royal-caribbean/explorer-of-the-seas/cruises</t>
  </si>
  <si>
    <t>https://prod.odysiacruise.com/cruise-lines/royal-caribbean/freedom-of-the-seas</t>
  </si>
  <si>
    <t>https://prod.odysiacruise.com/cruise-lines/royal-caribbean/freedom-of-the-seas/cruises</t>
  </si>
  <si>
    <t>https://prod.odysiacruise.com/cruise-lines/royal-caribbean/grandeur-of-the-seas</t>
  </si>
  <si>
    <t>https://prod.odysiacruise.com/cruise-lines/royal-caribbean/grandeur-of-the-seas/cruises</t>
  </si>
  <si>
    <t>https://prod.odysiacruise.com/cruise-lines/royal-caribbean/harmony-of-the-seas</t>
  </si>
  <si>
    <t>https://prod.odysiacruise.com/cruise-lines/royal-caribbean/harmony-of-the-seas/cruises</t>
  </si>
  <si>
    <t>https://prod.odysiacruise.com/cruise-lines/royal-caribbean/icon-of-the-seas</t>
  </si>
  <si>
    <t>https://prod.odysiacruise.com/cruise-lines/royal-caribbean/icon-of-the-seas/cruises</t>
  </si>
  <si>
    <t>https://prod.odysiacruise.com/cruise-lines/royal-caribbean/independence-of-the-seas</t>
  </si>
  <si>
    <t>https://prod.odysiacruise.com/cruise-lines/royal-caribbean/independence-of-the-seas/cruises</t>
  </si>
  <si>
    <t>https://prod.odysiacruise.com/cruise-lines/royal-caribbean/jewel-of-the-seas</t>
  </si>
  <si>
    <t>https://prod.odysiacruise.com/cruise-lines/royal-caribbean/jewel-of-the-seas/cruises</t>
  </si>
  <si>
    <t>https://prod.odysiacruise.com/cruise-lines/royal-caribbean/legend-of-the-seas</t>
  </si>
  <si>
    <t>https://prod.odysiacruise.com/cruise-lines/royal-caribbean/legend-of-the-seas/cruises</t>
  </si>
  <si>
    <t>https://prod.odysiacruise.com/cruise-lines/royal-caribbean/liberty-of-the-seas</t>
  </si>
  <si>
    <t>https://prod.odysiacruise.com/cruise-lines/royal-caribbean/liberty-of-the-seas/cruises</t>
  </si>
  <si>
    <t>https://prod.odysiacruise.com/cruise-lines/royal-caribbean/mariner-of-the-seas</t>
  </si>
  <si>
    <t>https://prod.odysiacruise.com/cruise-lines/royal-caribbean/mariner-of-the-seas/cruises</t>
  </si>
  <si>
    <t>https://prod.odysiacruise.com/cruise-lines/royal-caribbean/navigator-of-the-seas</t>
  </si>
  <si>
    <t>https://prod.odysiacruise.com/cruise-lines/royal-caribbean/navigator-of-the-seas/cruises</t>
  </si>
  <si>
    <t>https://prod.odysiacruise.com/cruise-lines/royal-caribbean/oasis-of-the-seas</t>
  </si>
  <si>
    <t>https://prod.odysiacruise.com/cruise-lines/royal-caribbean/oasis-of-the-seas/cruises</t>
  </si>
  <si>
    <t>https://prod.odysiacruise.com/cruise-lines/royal-caribbean/odyssey-of-the-seas</t>
  </si>
  <si>
    <t>https://prod.odysiacruise.com/cruise-lines/royal-caribbean/odyssey-of-the-seas/cruises</t>
  </si>
  <si>
    <t>https://prod.odysiacruise.com/cruise-lines/royal-caribbean/ovation-of-the-seas</t>
  </si>
  <si>
    <t>https://prod.odysiacruise.com/cruise-lines/royal-caribbean/ovation-of-the-seas/cruises</t>
  </si>
  <si>
    <t>https://prod.odysiacruise.com/cruise-lines/royal-caribbean/quantum-of-the-seas</t>
  </si>
  <si>
    <t>https://prod.odysiacruise.com/cruise-lines/royal-caribbean/quantum-of-the-seas/cruises</t>
  </si>
  <si>
    <t>https://prod.odysiacruise.com/cruise-lines/royal-caribbean/radiance-of-the-seas</t>
  </si>
  <si>
    <t>https://prod.odysiacruise.com/cruise-lines/royal-caribbean/radiance-of-the-seas/cruises</t>
  </si>
  <si>
    <t>https://prod.odysiacruise.com/cruise-lines/royal-caribbean/rhapsody-of-the-seas</t>
  </si>
  <si>
    <t>https://prod.odysiacruise.com/cruise-lines/royal-caribbean/rhapsody-of-the-seas/cruises</t>
  </si>
  <si>
    <t>https://prod.odysiacruise.com/cruise-lines/royal-caribbean/serenade-of-the-seas</t>
  </si>
  <si>
    <t>https://prod.odysiacruise.com/cruise-lines/royal-caribbean/serenade-of-the-seas/cruises</t>
  </si>
  <si>
    <t>https://prod.odysiacruise.com/cruise-lines/royal-caribbean/spectrum-of-the-seas</t>
  </si>
  <si>
    <t>https://prod.odysiacruise.com/cruise-lines/royal-caribbean/spectrum-of-the-seas/cruises</t>
  </si>
  <si>
    <t>https://prod.odysiacruise.com/cruise-lines/royal-caribbean/star-of-the-seas</t>
  </si>
  <si>
    <t>https://prod.odysiacruise.com/cruise-lines/royal-caribbean/star-of-the-seas/cruises</t>
  </si>
  <si>
    <t>https://prod.odysiacruise.com/cruise-lines/royal-caribbean/symphony-of-the-seas</t>
  </si>
  <si>
    <t>https://prod.odysiacruise.com/cruise-lines/royal-caribbean/symphony-of-the-seas/cruises</t>
  </si>
  <si>
    <t>https://prod.odysiacruise.com/cruise-lines/royal-caribbean/utopia-of-the-seas</t>
  </si>
  <si>
    <t>https://prod.odysiacruise.com/cruise-lines/royal-caribbean/utopia-of-the-seas/cruises</t>
  </si>
  <si>
    <t>https://prod.odysiacruise.com/cruise-lines/royal-caribbean/vision-of-the-seas</t>
  </si>
  <si>
    <t>https://prod.odysiacruise.com/cruise-lines/royal-caribbean/vision-of-the-seas/cruises</t>
  </si>
  <si>
    <t>https://prod.odysiacruise.com/cruise-lines/royal-caribbean/voyager-of-the-seas</t>
  </si>
  <si>
    <t>https://prod.odysiacruise.com/cruise-lines/royal-caribbean/wonder-of-the-seas</t>
  </si>
  <si>
    <t>https://prod.odysiacruise.com/cruise-lines/royal-caribbean/wonder-of-the-seas/cruises</t>
  </si>
  <si>
    <t>https://prod.odysiacruise.com/cruise-lines/seabourn</t>
  </si>
  <si>
    <t>https://prod.odysiacruise.com/cruise-lines/seabourn/cruises</t>
  </si>
  <si>
    <t>https://prod.odysiacruise.com/cruise-lines/seabourn/seabourn-encore</t>
  </si>
  <si>
    <t>https://prod.odysiacruise.com/cruise-lines/seabourn/seabourn-encore/cruises</t>
  </si>
  <si>
    <t>https://prod.odysiacruise.com/cruise-lines/seabourn/seabourn-ovation</t>
  </si>
  <si>
    <t>https://prod.odysiacruise.com/cruise-lines/seabourn/seabourn-ovation/cruises</t>
  </si>
  <si>
    <t>https://prod.odysiacruise.com/cruise-lines/seabourn/seabourn-pursuit</t>
  </si>
  <si>
    <t>https://prod.odysiacruise.com/cruise-lines/seabourn/seabourn-pursuit/cruises</t>
  </si>
  <si>
    <t>https://prod.odysiacruise.com/cruise-lines/seabourn/seabourn-quest</t>
  </si>
  <si>
    <t>https://prod.odysiacruise.com/cruise-lines/seabourn/seabourn-quest/cruises</t>
  </si>
  <si>
    <t>https://prod.odysiacruise.com/cruise-lines/seabourn/seabourn-sojourn</t>
  </si>
  <si>
    <t>https://prod.odysiacruise.com/cruise-lines/seabourn/seabourn-sojourn/cruises</t>
  </si>
  <si>
    <t>https://prod.odysiacruise.com/cruise-lines/seabourn/seabourn-venture</t>
  </si>
  <si>
    <t>https://prod.odysiacruise.com/cruise-lines/seabourn/seabourn-venture/cruises</t>
  </si>
  <si>
    <t>https://prod.odysiacruise.com/cruise-lines/virgin-voyages</t>
  </si>
  <si>
    <t>https://prod.odysiacruise.com/cruise-lines/virgin-voyages/brilliant-lady</t>
  </si>
  <si>
    <t>https://prod.odysiacruise.com/cruise-lines/virgin-voyages/brilliant-lady/cruises</t>
  </si>
  <si>
    <t>https://prod.odysiacruise.com/cruise-lines/virgin-voyages/cruises</t>
  </si>
  <si>
    <t>https://prod.odysiacruise.com/cruise-lines/virgin-voyages/resilient-lady</t>
  </si>
  <si>
    <t>https://prod.odysiacruise.com/cruise-lines/virgin-voyages/resilient-lady/cruises</t>
  </si>
  <si>
    <t>https://prod.odysiacruise.com/cruise-lines/virgin-voyages/scarlet-lady</t>
  </si>
  <si>
    <t>https://prod.odysiacruise.com/cruise-lines/virgin-voyages/scarlet-lady/cruises</t>
  </si>
  <si>
    <t>https://prod.odysiacruise.com/cruise-lines/virgin-voyages/valiant-lady</t>
  </si>
  <si>
    <t>https://prod.odysiacruise.com/cruise-lines/virgin-voyages/valiant-lady/cruises</t>
  </si>
  <si>
    <t>https://prod.odysiacruise.com/cruises</t>
  </si>
  <si>
    <t>https://prod.odysiacruise.com/destinations</t>
  </si>
  <si>
    <t>https://prod.odysiacruise.com/destinations/africa</t>
  </si>
  <si>
    <t>https://prod.odysiacruise.com/destinations/africa/cruises</t>
  </si>
  <si>
    <t>https://prod.odysiacruise.com/destinations/australasia</t>
  </si>
  <si>
    <t>https://prod.odysiacruise.com/destinations/australasia/cruises</t>
  </si>
  <si>
    <t>https://prod.odysiacruise.com/destinations/british-isles</t>
  </si>
  <si>
    <t>https://prod.odysiacruise.com/destinations/british-isles/cruises</t>
  </si>
  <si>
    <t>https://prod.odysiacruise.com/destinations/canada</t>
  </si>
  <si>
    <t>https://prod.odysiacruise.com/destinations/canary-islands</t>
  </si>
  <si>
    <t>https://prod.odysiacruise.com/destinations/canary-islands/cruises</t>
  </si>
  <si>
    <t>https://prod.odysiacruise.com/destinations/caribbean</t>
  </si>
  <si>
    <t>https://prod.odysiacruise.com/destinations/caribbean/cruises</t>
  </si>
  <si>
    <t>https://prod.odysiacruise.com/destinations/central-south-america</t>
  </si>
  <si>
    <t>https://prod.odysiacruise.com/destinations/central-south-america/cruises</t>
  </si>
  <si>
    <t>https://prod.odysiacruise.com/destinations/far-east</t>
  </si>
  <si>
    <t>https://prod.odysiacruise.com/destinations/far-east/cruises</t>
  </si>
  <si>
    <t>https://prod.odysiacruise.com/destinations/mediterranean</t>
  </si>
  <si>
    <t>https://prod.odysiacruise.com/destinations/mediterranean/cruises</t>
  </si>
  <si>
    <t>https://prod.odysiacruise.com/destinations/middle-east</t>
  </si>
  <si>
    <t>https://prod.odysiacruise.com/destinations/middle-east/cruises</t>
  </si>
  <si>
    <t>https://prod.odysiacruise.com/destinations/north-america</t>
  </si>
  <si>
    <t>https://prod.odysiacruise.com/destinations/north-america/cruises</t>
  </si>
  <si>
    <t>https://prod.odysiacruise.com/destinations/northern-europe</t>
  </si>
  <si>
    <t>https://prod.odysiacruise.com/destinations/northern-europe/cruises</t>
  </si>
  <si>
    <t>https://prod.odysiacruise.com/destinations/norway-norwegian-fjords</t>
  </si>
  <si>
    <t>https://prod.odysiacruise.com/destinations/norway-norwegian-fjords/cruises</t>
  </si>
  <si>
    <t>https://prod.odysiacruise.com/destinations/pacific-island-cruises</t>
  </si>
  <si>
    <t>https://prod.odysiacruise.com/destinations/polar-regions</t>
  </si>
  <si>
    <t>https://prod.odysiacruise.com/destinations/polar-regions/cruises</t>
  </si>
  <si>
    <t>https://prod.odysiacruise.com/destinations/scandinavia-baltic</t>
  </si>
  <si>
    <t>https://prod.odysiacruise.com/destinations/transatlantic</t>
  </si>
  <si>
    <t>https://prod.odysiacruise.com/destinations/transatlantic/cruises</t>
  </si>
  <si>
    <t>https://prod.odysiacruise.com/destinations/world</t>
  </si>
  <si>
    <t>https://prod.odysiacruise.com/destinations/world/cruises</t>
  </si>
  <si>
    <t>/cruise-lines/virgin-voyages/resilient-lady</t>
  </si>
  <si>
    <t>/cruises</t>
  </si>
  <si>
    <t>/cruise-lines/virgin-voyages/scarlet-lady</t>
  </si>
  <si>
    <t>/cruise-lines/virgin-voyages/valiant-lady</t>
  </si>
  <si>
    <t>/cruise-lines/virgin-voyages/brilliant-lady</t>
  </si>
  <si>
    <t>/cruise-lines/seabourn/seabourn-sojourn</t>
  </si>
  <si>
    <t>/cruise-lines/seabourn/seabourn-venture</t>
  </si>
  <si>
    <t>/cruise-lines/royal-caribbean/freedom-of-the-seas</t>
  </si>
  <si>
    <t>/cruise-lines/royal-caribbean/grandeur-of-the-seas</t>
  </si>
  <si>
    <t>/cruise-lines/royal-caribbean/harmony-of-the-seas</t>
  </si>
  <si>
    <t>/cruise-lines/royal-caribbean/icon-of-the-seas</t>
  </si>
  <si>
    <t>/cruise-lines/royal-caribbean/independence-of-the-seas</t>
  </si>
  <si>
    <t>/cruise-lines/royal-caribbean/jewel-of-the-seas</t>
  </si>
  <si>
    <t>/cruise-lines/royal-caribbean/legend-of-the-seas</t>
  </si>
  <si>
    <t>/cruise-lines/royal-caribbean/liberty-of-the-seas</t>
  </si>
  <si>
    <t>/cruise-lines/royal-caribbean/mariner-of-the-seas</t>
  </si>
  <si>
    <t>/cruise-lines/royal-caribbean/navigator-of-the-seas</t>
  </si>
  <si>
    <t>/cruise-lines/royal-caribbean/oasis-of-the-seas</t>
  </si>
  <si>
    <t>/cruise-lines/royal-caribbean/odyssey-of-the-seas</t>
  </si>
  <si>
    <t>/cruise-lines/royal-caribbean/ovation-of-the-seas</t>
  </si>
  <si>
    <t>/cruise-lines/royal-caribbean/quantum-of-the-seas</t>
  </si>
  <si>
    <t>/cruise-lines/royal-caribbean/radiance-of-the-seas</t>
  </si>
  <si>
    <t>/cruise-lines/royal-caribbean/rhapsody-of-the-seas</t>
  </si>
  <si>
    <t>/cruise-lines/royal-caribbean/serenade-of-the-seas</t>
  </si>
  <si>
    <t>/cruise-lines/royal-caribbean/spectrum-of-the-seas</t>
  </si>
  <si>
    <t>/cruise-lines/royal-caribbean/star-of-the-seas</t>
  </si>
  <si>
    <t>/cruise-lines/royal-caribbean/symphony-of-the-seas</t>
  </si>
  <si>
    <t>/cruise-lines/royal-caribbean/utopia-of-the-seas</t>
  </si>
  <si>
    <t>/cruise-lines/royal-caribbean/vision-of-the-seas</t>
  </si>
  <si>
    <t>/cruise-lines/royal-caribbean/voyager-of-the-seas</t>
  </si>
  <si>
    <t>/cruise-lines/royal-caribbean/wonder-of-the-seas</t>
  </si>
  <si>
    <t>Resilient Lady</t>
  </si>
  <si>
    <t xml:space="preserve"> Cruises</t>
  </si>
  <si>
    <t>Scarlet Lady</t>
  </si>
  <si>
    <t>Valiant Lady</t>
  </si>
  <si>
    <t>Brilliant Lady</t>
  </si>
  <si>
    <t>Seabourn Sojourn</t>
  </si>
  <si>
    <t>Seabourn Venture</t>
  </si>
  <si>
    <t>Freedom Of The Seas</t>
  </si>
  <si>
    <t>Grandeur Of The Seas</t>
  </si>
  <si>
    <t>Harmony Of The Seas</t>
  </si>
  <si>
    <t>Icon Of The Seas</t>
  </si>
  <si>
    <t>Independence Of The Seas</t>
  </si>
  <si>
    <t>Jewel Of The Seas</t>
  </si>
  <si>
    <t>Legend Of The Seas</t>
  </si>
  <si>
    <t>Liberty Of The Seas</t>
  </si>
  <si>
    <t>Mariner Of The Seas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</si>
  <si>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</si>
  <si>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</si>
  <si>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</si>
  <si>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</si>
  <si>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</si>
  <si>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</si>
  <si>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Rhapsody Of The Seas</t>
  </si>
  <si>
    <t>Serenade Of The Seas</t>
  </si>
  <si>
    <t>Spectrum Of The Seas</t>
  </si>
  <si>
    <t>Star Of The Seas</t>
  </si>
  <si>
    <t>Symphony Of The Seas</t>
  </si>
  <si>
    <t>Utopia Of The Seas</t>
  </si>
  <si>
    <t>Vision Of The Seas</t>
  </si>
  <si>
    <t>Voyager Of The Seas</t>
  </si>
  <si>
    <t>Wonder Of The Seas</t>
  </si>
  <si>
    <t>Cruise Lines</t>
  </si>
  <si>
    <t>resilient-lady</t>
  </si>
  <si>
    <t>scarlet-lady</t>
  </si>
  <si>
    <t>valiant-lady</t>
  </si>
  <si>
    <t>brilliant-lady</t>
  </si>
  <si>
    <t>ovation-of-the-seas</t>
  </si>
  <si>
    <t>quantum-of-the-seas</t>
  </si>
  <si>
    <t>radiance-of-the-seas</t>
  </si>
  <si>
    <t>rhapsody-of-the-seas</t>
  </si>
  <si>
    <t>serenade-of-the-seas</t>
  </si>
  <si>
    <t>spectrum-of-the-seas</t>
  </si>
  <si>
    <t>star-of-the-seas</t>
  </si>
  <si>
    <t>symphony-of-the-seas</t>
  </si>
  <si>
    <t>utopia-of-the-seas</t>
  </si>
  <si>
    <t>vision-of-the-seas</t>
  </si>
  <si>
    <t>voyager-of-the-seas</t>
  </si>
  <si>
    <t>wonder-of-the-seas</t>
  </si>
  <si>
    <t>/coming-soon</t>
  </si>
  <si>
    <t>/sustainable</t>
  </si>
  <si>
    <t>Monthly Edit</t>
  </si>
  <si>
    <t>/Edits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</si>
</sst>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0"/>
      <color theme="1"/>
      <name val="DM Sans"/>
    </font>
    <font>
      <b/>
      <sz val="11"/>
      <color rgb="FFFFFFFF"/>
      <name val="DM Sans"/>
    </font>
    <font>
      <b/>
      <sz val="10"/>
      <color rgb="FFFFFFFF"/>
      <name val="DM Sans"/>
    </font>
    <font>
      <b/>
      <sz val="10"/>
      <color theme="1"/>
      <name val="DM Sans"/>
    </font>
    <font>
      <b/>
      <sz val="10"/>
      <color rgb="FF000000"/>
      <name val="DM Sans"/>
    </font>
    <font>
      <sz val="10"/>
      <name val="Arial"/>
      <family val="2"/>
    </font>
    <font>
      <i/>
      <sz val="10"/>
      <color theme="1"/>
      <name val="DM Sans"/>
    </font>
    <font>
      <sz val="10"/>
      <color theme="1"/>
      <name val="Arial"/>
      <family val="2"/>
    </font>
    <font>
      <b/>
      <sz val="11"/>
      <color rgb="FFFFFFFF"/>
      <name val="&quot;DM Sans&quot;"/>
    </font>
    <font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sz val="10"/>
      <color rgb="FF000000"/>
      <name val="&quot;Arial Unicode MS&quot;"/>
    </font>
    <font>
      <sz val="10"/>
      <color rgb="FF000000"/>
      <name val="DM Sans"/>
    </font>
    <font>
      <u/>
      <sz val="10"/>
      <color rgb="FF1155CC"/>
      <name val="DM Sans"/>
    </font>
    <font>
      <u/>
      <sz val="10"/>
      <color rgb="FF0000FF"/>
      <name val="Arial"/>
      <family val="2"/>
    </font>
    <font>
      <u/>
      <sz val="10"/>
      <color rgb="FF1155CC"/>
      <name val="DM Sans"/>
    </font>
    <font>
      <sz val="10"/>
      <color rgb="FF000000"/>
      <name val="Arial"/>
      <family val="2"/>
    </font>
    <font>
      <sz val="10"/>
      <color rgb="FF000000"/>
      <name val="Monospace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CF7F0"/>
        <bgColor rgb="FFFCF7F0"/>
      </patternFill>
    </fill>
    <fill>
      <patternFill patternType="solid">
        <fgColor rgb="FF2F3D4D"/>
        <bgColor rgb="FF2F3D4D"/>
      </patternFill>
    </fill>
    <fill>
      <patternFill patternType="solid">
        <fgColor rgb="FFC5864A"/>
        <bgColor rgb="FFC5864A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FFFFFF"/>
      </bottom>
      <diagonal/>
    </border>
    <border>
      <left/>
      <right/>
      <top style="thick">
        <color rgb="FF000000"/>
      </top>
      <bottom style="thick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FFFFFF"/>
      </bottom>
      <diagonal/>
    </border>
    <border>
      <left style="thin">
        <color rgb="FF000000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0" xfId="0" applyFont="1" applyFill="1"/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8" fillId="2" borderId="0" xfId="0" applyFont="1" applyFill="1"/>
    <xf numFmtId="0" fontId="4" fillId="2" borderId="6" xfId="0" applyFont="1" applyFill="1" applyBorder="1" applyAlignment="1">
      <alignment horizontal="center"/>
    </xf>
    <xf numFmtId="0" fontId="8" fillId="3" borderId="19" xfId="0" applyFont="1" applyFill="1" applyBorder="1"/>
    <xf numFmtId="0" fontId="4" fillId="6" borderId="10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0" fontId="13" fillId="0" borderId="0" xfId="0" applyFont="1"/>
    <xf numFmtId="3" fontId="13" fillId="0" borderId="0" xfId="0" applyNumberFormat="1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2" fillId="0" borderId="0" xfId="0" applyNumberFormat="1" applyFont="1" applyAlignment="1">
      <alignment horizontal="center"/>
    </xf>
    <xf numFmtId="3" fontId="11" fillId="0" borderId="0" xfId="0" applyNumberFormat="1" applyFont="1"/>
    <xf numFmtId="0" fontId="8" fillId="3" borderId="2" xfId="0" applyFont="1" applyFill="1" applyBorder="1"/>
    <xf numFmtId="0" fontId="8" fillId="3" borderId="0" xfId="0" applyFont="1" applyFill="1"/>
    <xf numFmtId="0" fontId="9" fillId="4" borderId="0" xfId="0" applyFont="1" applyFill="1" applyAlignment="1">
      <alignment horizontal="center"/>
    </xf>
    <xf numFmtId="3" fontId="1" fillId="2" borderId="10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0" fillId="3" borderId="0" xfId="0" applyFont="1" applyFill="1"/>
    <xf numFmtId="0" fontId="16" fillId="2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wrapText="1"/>
    </xf>
    <xf numFmtId="0" fontId="4" fillId="6" borderId="10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6" borderId="9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3" fontId="17" fillId="2" borderId="0" xfId="0" applyNumberFormat="1" applyFont="1" applyFill="1"/>
    <xf numFmtId="0" fontId="1" fillId="2" borderId="9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3" fontId="8" fillId="2" borderId="0" xfId="0" applyNumberFormat="1" applyFont="1" applyFill="1"/>
    <xf numFmtId="3" fontId="11" fillId="0" borderId="0" xfId="0" applyNumberFormat="1" applyFont="1" applyAlignment="1">
      <alignment wrapText="1"/>
    </xf>
    <xf numFmtId="0" fontId="18" fillId="0" borderId="0" xfId="0" applyFont="1"/>
    <xf numFmtId="0" fontId="4" fillId="6" borderId="15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19" fillId="2" borderId="0" xfId="0" applyFont="1" applyFill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2" fillId="0" borderId="0" xfId="0" applyFont="1"/>
    <xf numFmtId="0" fontId="23" fillId="8" borderId="0" xfId="0" applyFont="1" applyFill="1"/>
    <xf numFmtId="0" fontId="24" fillId="5" borderId="0" xfId="0" applyFont="1" applyFill="1"/>
    <xf numFmtId="0" fontId="2" fillId="4" borderId="3" xfId="0" applyFont="1" applyFill="1" applyBorder="1" applyAlignment="1">
      <alignment horizontal="center"/>
    </xf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17" xfId="0" applyFont="1" applyBorder="1"/>
    <xf numFmtId="0" fontId="8" fillId="3" borderId="18" xfId="0" applyFont="1" applyFill="1" applyBorder="1"/>
    <xf numFmtId="0" fontId="6" fillId="0" borderId="19" xfId="0" applyFont="1" applyBorder="1"/>
    <xf numFmtId="0" fontId="9" fillId="4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10" fillId="3" borderId="19" xfId="0" applyFont="1" applyFill="1" applyBorder="1"/>
    <xf numFmtId="0" fontId="6" fillId="0" borderId="21" xfId="0" applyFont="1" applyBorder="1"/>
    <xf numFmtId="0" fontId="1" fillId="2" borderId="7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4" xfId="0" applyFont="1" applyBorder="1"/>
    <xf numFmtId="0" fontId="1" fillId="2" borderId="8" xfId="0" applyFont="1" applyFill="1" applyBorder="1" applyAlignment="1">
      <alignment horizontal="center" vertical="center"/>
    </xf>
    <xf numFmtId="0" fontId="6" fillId="0" borderId="12" xfId="0" applyFont="1" applyBorder="1"/>
    <xf numFmtId="3" fontId="1" fillId="2" borderId="20" xfId="0" applyNumberFormat="1" applyFont="1" applyFill="1" applyBorder="1" applyAlignment="1">
      <alignment horizontal="center" vertical="center"/>
    </xf>
    <xf numFmtId="0" fontId="6" fillId="0" borderId="11" xfId="0" applyFont="1" applyBorder="1"/>
    <xf numFmtId="0" fontId="1" fillId="2" borderId="20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20" xfId="0" applyFont="1" applyBorder="1"/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8" fillId="3" borderId="22" xfId="0" applyFont="1" applyFill="1" applyBorder="1"/>
    <xf numFmtId="0" fontId="6" fillId="0" borderId="2" xfId="0" applyFont="1" applyBorder="1"/>
    <xf numFmtId="0" fontId="9" fillId="4" borderId="0" xfId="0" applyFont="1" applyFill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8" fillId="3" borderId="19" xfId="0" applyFont="1" applyFill="1" applyBorder="1"/>
    <xf numFmtId="0" fontId="2" fillId="4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 wrapText="1"/>
    </xf>
    <xf numFmtId="0" fontId="2" fillId="4" borderId="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057525" cy="9048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D7EDA3A6-7116-F964-27D4-DAB3B6620429}"/>
            </a:ext>
          </a:extLst>
        </xdr:cNvPr>
        <xdr:cNvSpPr txBox="1">
          <a:spLocks noChangeArrowheads="1"/>
        </xdr:cNvSpPr>
      </xdr:nvSpPr>
      <xdr:spPr bwMode="auto">
        <a:xfrm>
          <a:off x="393700" y="317500"/>
          <a:ext cx="12280900" cy="1778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190500</xdr:colOff>
      <xdr:row>6</xdr:row>
      <xdr:rowOff>127000</xdr:rowOff>
    </xdr:from>
    <xdr:to>
      <xdr:col>9</xdr:col>
      <xdr:colOff>190500</xdr:colOff>
      <xdr:row>12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478EC82B-6673-FA92-FAE0-AEE4FC486F93}"/>
            </a:ext>
          </a:extLst>
        </xdr:cNvPr>
        <xdr:cNvSpPr txBox="1">
          <a:spLocks noChangeArrowheads="1"/>
        </xdr:cNvSpPr>
      </xdr:nvSpPr>
      <xdr:spPr bwMode="auto">
        <a:xfrm>
          <a:off x="12674600" y="1993900"/>
          <a:ext cx="11023600" cy="990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B5A3637-5B70-866A-C556-5ACF0907823C}"/>
            </a:ext>
          </a:extLst>
        </xdr:cNvPr>
        <xdr:cNvSpPr txBox="1">
          <a:spLocks noChangeArrowheads="1"/>
        </xdr:cNvSpPr>
      </xdr:nvSpPr>
      <xdr:spPr bwMode="auto">
        <a:xfrm>
          <a:off x="393700" y="317500"/>
          <a:ext cx="12280900" cy="1778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FAA1F733-53AD-DAAB-B951-4514E40FFFD5}"/>
            </a:ext>
          </a:extLst>
        </xdr:cNvPr>
        <xdr:cNvSpPr txBox="1">
          <a:spLocks noChangeArrowheads="1"/>
        </xdr:cNvSpPr>
      </xdr:nvSpPr>
      <xdr:spPr bwMode="auto">
        <a:xfrm>
          <a:off x="393700" y="317500"/>
          <a:ext cx="12280900" cy="1778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28900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382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63830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a Ward" id="{01A745C4-515F-4670-AF1E-EF756FB9BE7D}" userId="" providerId="google-sheets"/>
  <person displayName="Alex Knight" id="{99699B46-182B-45DA-AE81-6650CEBD7123}" userId="" providerId="google-sheets"/>
  <person displayName="Bethany Howard" id="{CA8B0163-76D7-42F0-B49A-2CAC3382477F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0T15:38:38.00" personId="{99699B46-182B-45DA-AE81-6650CEBD7123}" id="{2FFD3652-4F64-4BDE-8BE0-712F557072CC}" done="1">
    <text>Shop by Season</text>
  </threadedComment>
  <threadedComment ref="A1" dT="2026-01-21T10:59:02.00" personId="{99699B46-182B-45DA-AE81-6650CEBD7123}" id="{10E29941-F0D0-4F62-BFF9-9D873D01613E}" parentId="{2FFD3652-4F64-4BDE-8BE0-712F557072CC}">
    <text>Shop by collection isn't in the tabs? Is this still planned? 
Overlap with lookbooks</text>
  </threadedComment>
  <threadedComment ref="F4" dT="2026-02-12T17:07:27.00" personId="{99699B46-182B-45DA-AE81-6650CEBD7123}" id="{9FA8B0E5-17F1-4B21-88D9-EF4E0CBF11FE}">
    <text>Collections to go into the Product menu"</text>
  </threadedComment>
  <threadedComment ref="C5" dT="2026-01-30T09:02:20.00" personId="{99699B46-182B-45DA-AE81-6650CEBD7123}" id="{4EA60F6D-1967-4DC7-9679-33D1FFAF80E7}">
    <text>If these top tabs are non-clickable, do we need a "view all" under each of them?</text>
  </threadedComment>
  <threadedComment ref="C5" dT="2026-02-16T20:59:48.00" personId="{99699B46-182B-45DA-AE81-6650CEBD7123}" id="{503327BD-8EEB-4F1A-8F4E-8576014E6FA3}" parentId="{4EA60F6D-1967-4DC7-9679-33D1FFAF80E7}">
    <text>Featured Needs a new name</text>
  </threadedComment>
  <threadedComment ref="D5" dT="2026-01-20T15:38:29.00" personId="{99699B46-182B-45DA-AE81-6650CEBD7123}" id="{69F0C3CE-D9B7-4EC1-88D1-B05A6C98CAF6}" done="1">
    <text>Shop by Type</text>
  </threadedComment>
  <threadedComment ref="E6" dT="2026-01-20T15:56:05.00" personId="{99699B46-182B-45DA-AE81-6650CEBD7123}" id="{4FC40266-37B7-426E-B0D8-DE75C8A12327}" done="1">
    <text>Active</text>
  </threadedComment>
  <threadedComment ref="N8" dT="2026-01-22T12:09:21.00" personId="{99699B46-182B-45DA-AE81-6650CEBD7123}" id="{9829C94B-5CF3-4112-BD3E-1C21D3307563}" done="1">
    <text>Potentially another name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7" dT="2026-01-21T09:15:56.00" personId="{99699B46-182B-45DA-AE81-6650CEBD7123}" id="{2DE4EFA0-9F4A-4E26-880E-04E99C746EAB}" done="1">
    <text>All caps have panels. The differentiator is 5-panel caps or 6-panel caps.</text>
  </threadedComment>
  <threadedComment ref="G10" dT="2026-01-20T14:23:46.00" personId="{99699B46-182B-45DA-AE81-6650CEBD7123}" id="{7FBD70FE-09D9-4738-B90E-DFBBB2AF9FB1}" done="1">
    <text>Is this different from baseball caps? I would imagine there's a lot of volume for baseball caps</text>
  </threadedComment>
  <threadedComment ref="I14" dT="2026-01-21T09:15:04.00" personId="{99699B46-182B-45DA-AE81-6650CEBD7123}" id="{DDE75E3D-A937-471D-B972-8DDC2702DED7}" done="1">
    <text>Would Bobble Hat be better?</text>
  </threadedComment>
  <threadedComment ref="I19" dT="2026-01-07T11:28:47.00" personId="{CA8B0163-76D7-42F0-B49A-2CAC3382477F}" id="{5C696CA6-D937-4A8D-B969-CA127C7BDADC}" done="1">
    <text>No SV for this page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6-01-21T10:36:01.00" personId="{99699B46-182B-45DA-AE81-6650CEBD7123}" id="{7470D315-CB06-4A0B-90CB-E4DB2D2400AC}" done="1">
    <text>Active?</text>
  </threadedComment>
  <threadedComment ref="D12" dT="2026-01-20T15:35:13.00" personId="{99699B46-182B-45DA-AE81-6650CEBD7123}" id="{B4433417-6111-41A3-86AE-E983032C330F}">
    <text>This doesn't feel right to me.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9" dT="2026-01-21T10:54:05.00" personId="{99699B46-182B-45DA-AE81-6650CEBD7123}" id="{60E3EDD7-128E-44E3-B043-30E6E976DDE2}" done="1">
    <text>Not sure about this.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9" dT="2026-02-16T22:02:28.00" personId="{99699B46-182B-45DA-AE81-6650CEBD7123}" id="{9450DE45-2EE8-4865-B8EA-760C5A20F4BE}">
    <text>I don't think we want a specific one on Cap Colours. Let's stick to the all colours in the main nav.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7" dT="2026-01-15T11:57:48.00" personId="{01A745C4-515F-4670-AF1E-EF756FB9BE7D}" id="{ED76DBD7-0A8F-4475-B990-482CF7C4F236}" done="1">
    <text>Long-Form guides coming off this.</text>
  </threadedComment>
  <threadedComment ref="G8" dT="2026-01-29T15:45:51.00" personId="{01A745C4-515F-4670-AF1E-EF756FB9BE7D}" id="{859704A5-7C75-4F21-9877-614A1D95B663}" done="1">
    <text>Link to Media Hub with copy explaining you can find Placement Templates, Campaign Assets, Product Assets, Printability Notes here.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" dT="2026-01-30T10:19:51.00" personId="{CA8B0163-76D7-42F0-B49A-2CAC3382477F}" id="{3EFE2982-E0DF-407B-BED9-ECA21A66FC01}">
    <text>Include information on 1% of the planet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mediahub.beechfieldbrands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odysia-cruise-uk.client.prod.eu-west.dreamlake.io/cruise-lines/msc-cruises/msc-armonia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odysia-cruise-uk.client.prod.eu-west.dreamlake.io/cruise-lines/holland-america-line" TargetMode="External"/><Relationship Id="rId299" Type="http://schemas.openxmlformats.org/officeDocument/2006/relationships/hyperlink" Target="https://odysia-cruise-uk.client.prod.eu-west.dreamlake.io/cruise-lines/princess-cruises/star-princess/cruises" TargetMode="External"/><Relationship Id="rId21" Type="http://schemas.openxmlformats.org/officeDocument/2006/relationships/hyperlink" Target="https://odysia-cruise-uk.client.prod.eu-west.dreamlake.io/cruise-lines" TargetMode="External"/><Relationship Id="rId63" Type="http://schemas.openxmlformats.org/officeDocument/2006/relationships/hyperlink" Target="https://odysia-cruise-uk.client.prod.eu-west.dreamlake.io/cruise-lines/celebrity-cruises/celebrity-silhouette/cruises" TargetMode="External"/><Relationship Id="rId159" Type="http://schemas.openxmlformats.org/officeDocument/2006/relationships/hyperlink" Target="https://odysia-cruise-uk.client.prod.eu-west.dreamlake.io/cruise-lines/msc-cruises/msc-meraviglia/cruises" TargetMode="External"/><Relationship Id="rId324" Type="http://schemas.openxmlformats.org/officeDocument/2006/relationships/hyperlink" Target="https://odysia-cruise-uk.client.prod.eu-west.dreamlake.io/cruise-lines/royal-caribbean/cruises" TargetMode="External"/><Relationship Id="rId366" Type="http://schemas.openxmlformats.org/officeDocument/2006/relationships/hyperlink" Target="https://odysia-cruise-uk.client.prod.eu-west.dreamlake.io/cruise-lines/royal-caribbean/star-of-the-seas/cruises" TargetMode="External"/><Relationship Id="rId170" Type="http://schemas.openxmlformats.org/officeDocument/2006/relationships/hyperlink" Target="https://odysia-cruise-uk.client.prod.eu-west.dreamlake.io/cruise-lines/msc-cruises/msc-seascape" TargetMode="External"/><Relationship Id="rId226" Type="http://schemas.openxmlformats.org/officeDocument/2006/relationships/hyperlink" Target="https://odysia-cruise-uk.client.prod.eu-west.dreamlake.io/cruise-lines/norwegian-cruise-line/norwegian-sun" TargetMode="External"/><Relationship Id="rId433" Type="http://schemas.openxmlformats.org/officeDocument/2006/relationships/hyperlink" Target="https://odysia-cruise-uk.client.prod.eu-west.dreamlake.io/destinations/world" TargetMode="External"/><Relationship Id="rId268" Type="http://schemas.openxmlformats.org/officeDocument/2006/relationships/hyperlink" Target="https://odysia-cruise-uk.client.prod.eu-west.dreamlake.io/cruise-lines/princess-cruises/caribbean-princess/cruises" TargetMode="External"/><Relationship Id="rId32" Type="http://schemas.openxmlformats.org/officeDocument/2006/relationships/hyperlink" Target="https://odysia-cruise-uk.client.prod.eu-west.dreamlake.io/cruise-lines/azamara/azamara-journey/cruises" TargetMode="External"/><Relationship Id="rId74" Type="http://schemas.openxmlformats.org/officeDocument/2006/relationships/hyperlink" Target="https://odysia-cruise-uk.client.prod.eu-west.dreamlake.io/cruise-lines/costa-cruises/costa-diadema" TargetMode="External"/><Relationship Id="rId128" Type="http://schemas.openxmlformats.org/officeDocument/2006/relationships/hyperlink" Target="https://odysia-cruise-uk.client.prod.eu-west.dreamlake.io/cruise-lines/holland-america-line/oosterdam" TargetMode="External"/><Relationship Id="rId335" Type="http://schemas.openxmlformats.org/officeDocument/2006/relationships/hyperlink" Target="https://odysia-cruise-uk.client.prod.eu-west.dreamlake.io/cruise-lines/royal-caribbean/icon-of-the-seas" TargetMode="External"/><Relationship Id="rId377" Type="http://schemas.openxmlformats.org/officeDocument/2006/relationships/hyperlink" Target="https://odysia-cruise-uk.client.prod.eu-west.dreamlake.io/cruise-lines/seabourn/cruises" TargetMode="External"/><Relationship Id="rId5" Type="http://schemas.openxmlformats.org/officeDocument/2006/relationships/hyperlink" Target="https://odysia-cruise-uk.client.prod.eu-west.dreamlake.io/cruise-deals/2025" TargetMode="External"/><Relationship Id="rId181" Type="http://schemas.openxmlformats.org/officeDocument/2006/relationships/hyperlink" Target="https://odysia-cruise-uk.client.prod.eu-west.dreamlake.io/cruise-lines/msc-cruises/msc-splendida/cruises" TargetMode="External"/><Relationship Id="rId237" Type="http://schemas.openxmlformats.org/officeDocument/2006/relationships/hyperlink" Target="https://odysia-cruise-uk.client.prod.eu-west.dreamlake.io/cruise-lines/oceania-cruises/oceania-insignia/cruises" TargetMode="External"/><Relationship Id="rId402" Type="http://schemas.openxmlformats.org/officeDocument/2006/relationships/hyperlink" Target="https://odysia-cruise-uk.client.prod.eu-west.dreamlake.io/destinations/africa" TargetMode="External"/><Relationship Id="rId279" Type="http://schemas.openxmlformats.org/officeDocument/2006/relationships/hyperlink" Target="https://odysia-cruise-uk.client.prod.eu-west.dreamlake.io/cruise-lines/princess-cruises/emerald-princess/cruises" TargetMode="External"/><Relationship Id="rId43" Type="http://schemas.openxmlformats.org/officeDocument/2006/relationships/hyperlink" Target="https://odysia-cruise-uk.client.prod.eu-west.dreamlake.io/cruise-lines/celebrity-cruises/celebrity-ascent/cruises" TargetMode="External"/><Relationship Id="rId139" Type="http://schemas.openxmlformats.org/officeDocument/2006/relationships/hyperlink" Target="https://odysia-cruise-uk.client.prod.eu-west.dreamlake.io/cruise-lines/holland-america-line/zuiderdam/cruises" TargetMode="External"/><Relationship Id="rId290" Type="http://schemas.openxmlformats.org/officeDocument/2006/relationships/hyperlink" Target="https://odysia-cruise-uk.client.prod.eu-west.dreamlake.io/cruise-lines/princess-cruises/royal-princess" TargetMode="External"/><Relationship Id="rId304" Type="http://schemas.openxmlformats.org/officeDocument/2006/relationships/hyperlink" Target="https://odysia-cruise-uk.client.prod.eu-west.dreamlake.io/cruise-lines/regent-seven-seas-cruises/seven-seas-explorer" TargetMode="External"/><Relationship Id="rId346" Type="http://schemas.openxmlformats.org/officeDocument/2006/relationships/hyperlink" Target="https://odysia-cruise-uk.client.prod.eu-west.dreamlake.io/cruise-lines/royal-caribbean/mariner-of-the-seas/cruises" TargetMode="External"/><Relationship Id="rId388" Type="http://schemas.openxmlformats.org/officeDocument/2006/relationships/hyperlink" Target="https://odysia-cruise-uk.client.prod.eu-west.dreamlake.io/cruise-lines/seabourn/seabourn-venture" TargetMode="External"/><Relationship Id="rId85" Type="http://schemas.openxmlformats.org/officeDocument/2006/relationships/hyperlink" Target="https://odysia-cruise-uk.client.prod.eu-west.dreamlake.io/cruise-lines/costa-cruises/costa-serena/cruises" TargetMode="External"/><Relationship Id="rId150" Type="http://schemas.openxmlformats.org/officeDocument/2006/relationships/hyperlink" Target="https://odysia-cruise-uk.client.prod.eu-west.dreamlake.io/cruise-lines/msc-cruises/msc-fantasia" TargetMode="External"/><Relationship Id="rId192" Type="http://schemas.openxmlformats.org/officeDocument/2006/relationships/hyperlink" Target="https://odysia-cruise-uk.client.prod.eu-west.dreamlake.io/cruise-lines/norwegian-cruise-line/norwegian-bliss" TargetMode="External"/><Relationship Id="rId206" Type="http://schemas.openxmlformats.org/officeDocument/2006/relationships/hyperlink" Target="https://odysia-cruise-uk.client.prod.eu-west.dreamlake.io/cruise-lines/norwegian-cruise-line/norwegian-getaway" TargetMode="External"/><Relationship Id="rId413" Type="http://schemas.openxmlformats.org/officeDocument/2006/relationships/hyperlink" Target="https://odysia-cruise-uk.client.prod.eu-west.dreamlake.io/destinations/central-south-america" TargetMode="External"/><Relationship Id="rId248" Type="http://schemas.openxmlformats.org/officeDocument/2006/relationships/hyperlink" Target="https://odysia-cruise-uk.client.prod.eu-west.dreamlake.io/cruise-lines/oceania-cruises/oceania-vista" TargetMode="External"/><Relationship Id="rId12" Type="http://schemas.openxmlformats.org/officeDocument/2006/relationships/hyperlink" Target="https://odysia-cruise-uk.client.prod.eu-west.dreamlake.io/cruise-deals/cruises-from-portsmouth" TargetMode="External"/><Relationship Id="rId108" Type="http://schemas.openxmlformats.org/officeDocument/2006/relationships/hyperlink" Target="https://odysia-cruise-uk.client.prod.eu-west.dreamlake.io/cruise-lines/explora-journeys/explora-iii/cruises" TargetMode="External"/><Relationship Id="rId315" Type="http://schemas.openxmlformats.org/officeDocument/2006/relationships/hyperlink" Target="https://odysia-cruise-uk.client.prod.eu-west.dreamlake.io/cruise-lines/royal-caribbean" TargetMode="External"/><Relationship Id="rId357" Type="http://schemas.openxmlformats.org/officeDocument/2006/relationships/hyperlink" Target="https://odysia-cruise-uk.client.prod.eu-west.dreamlake.io/cruise-lines/royal-caribbean/radiance-of-the-seas" TargetMode="External"/><Relationship Id="rId54" Type="http://schemas.openxmlformats.org/officeDocument/2006/relationships/hyperlink" Target="https://odysia-cruise-uk.client.prod.eu-west.dreamlake.io/cruise-lines/celebrity-cruises/celebrity-flora" TargetMode="External"/><Relationship Id="rId96" Type="http://schemas.openxmlformats.org/officeDocument/2006/relationships/hyperlink" Target="https://odysia-cruise-uk.client.prod.eu-west.dreamlake.io/cruise-lines/cunard/queen-elizabeth/cruises" TargetMode="External"/><Relationship Id="rId161" Type="http://schemas.openxmlformats.org/officeDocument/2006/relationships/hyperlink" Target="https://odysia-cruise-uk.client.prod.eu-west.dreamlake.io/cruise-lines/msc-cruises/msc-musica/cruises" TargetMode="External"/><Relationship Id="rId217" Type="http://schemas.openxmlformats.org/officeDocument/2006/relationships/hyperlink" Target="https://odysia-cruise-uk.client.prod.eu-west.dreamlake.io/cruise-lines/norwegian-cruise-line/norwegian-pearl/cruises" TargetMode="External"/><Relationship Id="rId399" Type="http://schemas.openxmlformats.org/officeDocument/2006/relationships/hyperlink" Target="https://odysia-cruise-uk.client.prod.eu-west.dreamlake.io/cruise-lines/virgin-voyages/valiant-lady/cruises" TargetMode="External"/><Relationship Id="rId259" Type="http://schemas.openxmlformats.org/officeDocument/2006/relationships/hyperlink" Target="https://odysia-cruise-uk.client.prod.eu-west.dreamlake.io/cruise-lines/po-cruises/britannia" TargetMode="External"/><Relationship Id="rId424" Type="http://schemas.openxmlformats.org/officeDocument/2006/relationships/hyperlink" Target="https://odysia-cruise-uk.client.prod.eu-west.dreamlake.io/destinations/northern-europe/cruises" TargetMode="External"/><Relationship Id="rId23" Type="http://schemas.openxmlformats.org/officeDocument/2006/relationships/hyperlink" Target="https://odysia-cruise-uk.client.prod.eu-west.dreamlake.io/cruise-lines/ambassador-cruise-line/ambience" TargetMode="External"/><Relationship Id="rId119" Type="http://schemas.openxmlformats.org/officeDocument/2006/relationships/hyperlink" Target="https://odysia-cruise-uk.client.prod.eu-west.dreamlake.io/cruise-lines/holland-america-line/eurodam/cruises" TargetMode="External"/><Relationship Id="rId270" Type="http://schemas.openxmlformats.org/officeDocument/2006/relationships/hyperlink" Target="https://odysia-cruise-uk.client.prod.eu-west.dreamlake.io/cruise-lines/princess-cruises/coral-princess/cruises" TargetMode="External"/><Relationship Id="rId326" Type="http://schemas.openxmlformats.org/officeDocument/2006/relationships/hyperlink" Target="https://odysia-cruise-uk.client.prod.eu-west.dreamlake.io/cruise-lines/royal-caribbean/enchantment-of-the-seas/cruises" TargetMode="External"/><Relationship Id="rId65" Type="http://schemas.openxmlformats.org/officeDocument/2006/relationships/hyperlink" Target="https://odysia-cruise-uk.client.prod.eu-west.dreamlake.io/cruise-lines/celebrity-cruises/celebrity-solstice/cruises" TargetMode="External"/><Relationship Id="rId130" Type="http://schemas.openxmlformats.org/officeDocument/2006/relationships/hyperlink" Target="https://odysia-cruise-uk.client.prod.eu-west.dreamlake.io/cruise-lines/holland-america-line/rotterdam" TargetMode="External"/><Relationship Id="rId368" Type="http://schemas.openxmlformats.org/officeDocument/2006/relationships/hyperlink" Target="https://odysia-cruise-uk.client.prod.eu-west.dreamlake.io/cruise-lines/royal-caribbean/symphony-of-the-seas/cruises" TargetMode="External"/><Relationship Id="rId172" Type="http://schemas.openxmlformats.org/officeDocument/2006/relationships/hyperlink" Target="https://odysia-cruise-uk.client.prod.eu-west.dreamlake.io/cruise-lines/msc-cruises/msc-seashore" TargetMode="External"/><Relationship Id="rId228" Type="http://schemas.openxmlformats.org/officeDocument/2006/relationships/hyperlink" Target="https://odysia-cruise-uk.client.prod.eu-west.dreamlake.io/cruise-lines/norwegian-cruise-line/norwegian-viva" TargetMode="External"/><Relationship Id="rId281" Type="http://schemas.openxmlformats.org/officeDocument/2006/relationships/hyperlink" Target="https://odysia-cruise-uk.client.prod.eu-west.dreamlake.io/cruise-lines/princess-cruises/enchanted-princess/cruises" TargetMode="External"/><Relationship Id="rId337" Type="http://schemas.openxmlformats.org/officeDocument/2006/relationships/hyperlink" Target="https://odysia-cruise-uk.client.prod.eu-west.dreamlake.io/cruise-lines/royal-caribbean/independence-of-the-seas" TargetMode="External"/><Relationship Id="rId34" Type="http://schemas.openxmlformats.org/officeDocument/2006/relationships/hyperlink" Target="https://odysia-cruise-uk.client.prod.eu-west.dreamlake.io/cruise-lines/azamara/azamara-pursuit" TargetMode="External"/><Relationship Id="rId76" Type="http://schemas.openxmlformats.org/officeDocument/2006/relationships/hyperlink" Target="https://odysia-cruise-uk.client.prod.eu-west.dreamlake.io/cruise-lines/costa-cruises/costa-fascinosa" TargetMode="External"/><Relationship Id="rId141" Type="http://schemas.openxmlformats.org/officeDocument/2006/relationships/hyperlink" Target="https://odysia-cruise-uk.client.prod.eu-west.dreamlake.io/cruise-lines/msc-cruises/cruises" TargetMode="External"/><Relationship Id="rId379" Type="http://schemas.openxmlformats.org/officeDocument/2006/relationships/hyperlink" Target="https://odysia-cruise-uk.client.prod.eu-west.dreamlake.io/cruise-lines/seabourn/seabourn-encore/cruises" TargetMode="External"/><Relationship Id="rId7" Type="http://schemas.openxmlformats.org/officeDocument/2006/relationships/hyperlink" Target="https://odysia-cruise-uk.client.prod.eu-west.dreamlake.io/cruise-deals/2027" TargetMode="External"/><Relationship Id="rId183" Type="http://schemas.openxmlformats.org/officeDocument/2006/relationships/hyperlink" Target="https://odysia-cruise-uk.client.prod.eu-west.dreamlake.io/cruise-lines/msc-cruises/msc-virtuosa/cruises" TargetMode="External"/><Relationship Id="rId239" Type="http://schemas.openxmlformats.org/officeDocument/2006/relationships/hyperlink" Target="https://odysia-cruise-uk.client.prod.eu-west.dreamlake.io/cruise-lines/oceania-cruises/oceania-marina/cruises" TargetMode="External"/><Relationship Id="rId390" Type="http://schemas.openxmlformats.org/officeDocument/2006/relationships/hyperlink" Target="https://odysia-cruise-uk.client.prod.eu-west.dreamlake.io/cruise-lines/virgin-voyages" TargetMode="External"/><Relationship Id="rId404" Type="http://schemas.openxmlformats.org/officeDocument/2006/relationships/hyperlink" Target="https://odysia-cruise-uk.client.prod.eu-west.dreamlake.io/destinations/australasia" TargetMode="External"/><Relationship Id="rId250" Type="http://schemas.openxmlformats.org/officeDocument/2006/relationships/hyperlink" Target="https://odysia-cruise-uk.client.prod.eu-west.dreamlake.io/cruise-lines/po-cruises" TargetMode="External"/><Relationship Id="rId292" Type="http://schemas.openxmlformats.org/officeDocument/2006/relationships/hyperlink" Target="https://odysia-cruise-uk.client.prod.eu-west.dreamlake.io/cruise-lines/princess-cruises/ruby-princess" TargetMode="External"/><Relationship Id="rId306" Type="http://schemas.openxmlformats.org/officeDocument/2006/relationships/hyperlink" Target="https://odysia-cruise-uk.client.prod.eu-west.dreamlake.io/cruise-lines/regent-seven-seas-cruises/seven-seas-grandeur" TargetMode="External"/><Relationship Id="rId45" Type="http://schemas.openxmlformats.org/officeDocument/2006/relationships/hyperlink" Target="https://odysia-cruise-uk.client.prod.eu-west.dreamlake.io/cruise-lines/celebrity-cruises/celebrity-beyond/cruises" TargetMode="External"/><Relationship Id="rId87" Type="http://schemas.openxmlformats.org/officeDocument/2006/relationships/hyperlink" Target="https://odysia-cruise-uk.client.prod.eu-west.dreamlake.io/cruise-lines/costa-cruises/costa-smeralda/cruises" TargetMode="External"/><Relationship Id="rId110" Type="http://schemas.openxmlformats.org/officeDocument/2006/relationships/hyperlink" Target="https://odysia-cruise-uk.client.prod.eu-west.dreamlake.io/cruise-lines/fred-olsen-cruises/balmoral" TargetMode="External"/><Relationship Id="rId348" Type="http://schemas.openxmlformats.org/officeDocument/2006/relationships/hyperlink" Target="https://odysia-cruise-uk.client.prod.eu-west.dreamlake.io/cruise-lines/royal-caribbean/navigator-of-the-seas/cruises" TargetMode="External"/><Relationship Id="rId152" Type="http://schemas.openxmlformats.org/officeDocument/2006/relationships/hyperlink" Target="https://odysia-cruise-uk.client.prod.eu-west.dreamlake.io/cruise-lines/msc-cruises/msc-grandiosa" TargetMode="External"/><Relationship Id="rId194" Type="http://schemas.openxmlformats.org/officeDocument/2006/relationships/hyperlink" Target="https://odysia-cruise-uk.client.prod.eu-west.dreamlake.io/cruise-lines/norwegian-cruise-line/norwegian-breakaway" TargetMode="External"/><Relationship Id="rId208" Type="http://schemas.openxmlformats.org/officeDocument/2006/relationships/hyperlink" Target="https://odysia-cruise-uk.client.prod.eu-west.dreamlake.io/cruise-lines/norwegian-cruise-line/norwegian-jade" TargetMode="External"/><Relationship Id="rId415" Type="http://schemas.openxmlformats.org/officeDocument/2006/relationships/hyperlink" Target="https://odysia-cruise-uk.client.prod.eu-west.dreamlake.io/destinations/far-east" TargetMode="External"/><Relationship Id="rId261" Type="http://schemas.openxmlformats.org/officeDocument/2006/relationships/hyperlink" Target="https://odysia-cruise-uk.client.prod.eu-west.dreamlake.io/cruise-lines/po-cruises/cruises" TargetMode="External"/><Relationship Id="rId14" Type="http://schemas.openxmlformats.org/officeDocument/2006/relationships/hyperlink" Target="https://odysia-cruise-uk.client.prod.eu-west.dreamlake.io/cruise-deals/cruises-from-southampton" TargetMode="External"/><Relationship Id="rId56" Type="http://schemas.openxmlformats.org/officeDocument/2006/relationships/hyperlink" Target="https://odysia-cruise-uk.client.prod.eu-west.dreamlake.io/cruise-lines/celebrity-cruises/celebrity-infinity" TargetMode="External"/><Relationship Id="rId317" Type="http://schemas.openxmlformats.org/officeDocument/2006/relationships/hyperlink" Target="https://odysia-cruise-uk.client.prod.eu-west.dreamlake.io/cruise-lines/royal-caribbean/adventure-of-the-seas/cruises" TargetMode="External"/><Relationship Id="rId359" Type="http://schemas.openxmlformats.org/officeDocument/2006/relationships/hyperlink" Target="https://odysia-cruise-uk.client.prod.eu-west.dreamlake.io/cruise-lines/royal-caribbean/rhapsody-of-the-seas" TargetMode="External"/><Relationship Id="rId98" Type="http://schemas.openxmlformats.org/officeDocument/2006/relationships/hyperlink" Target="https://odysia-cruise-uk.client.prod.eu-west.dreamlake.io/cruise-lines/cunard/queen-mary-2/cruises" TargetMode="External"/><Relationship Id="rId121" Type="http://schemas.openxmlformats.org/officeDocument/2006/relationships/hyperlink" Target="https://odysia-cruise-uk.client.prod.eu-west.dreamlake.io/cruise-lines/holland-america-line/koningsdam/cruises" TargetMode="External"/><Relationship Id="rId163" Type="http://schemas.openxmlformats.org/officeDocument/2006/relationships/hyperlink" Target="https://odysia-cruise-uk.client.prod.eu-west.dreamlake.io/cruise-lines/msc-cruises/msc-opera/cruises" TargetMode="External"/><Relationship Id="rId219" Type="http://schemas.openxmlformats.org/officeDocument/2006/relationships/hyperlink" Target="https://odysia-cruise-uk.client.prod.eu-west.dreamlake.io/cruise-lines/norwegian-cruise-line/norwegian-prima/cruises" TargetMode="External"/><Relationship Id="rId370" Type="http://schemas.openxmlformats.org/officeDocument/2006/relationships/hyperlink" Target="https://odysia-cruise-uk.client.prod.eu-west.dreamlake.io/cruise-lines/royal-caribbean/utopia-of-the-seas/cruises" TargetMode="External"/><Relationship Id="rId426" Type="http://schemas.openxmlformats.org/officeDocument/2006/relationships/hyperlink" Target="https://odysia-cruise-uk.client.prod.eu-west.dreamlake.io/destinations/norway-norwegian-fjords/cruises" TargetMode="External"/><Relationship Id="rId230" Type="http://schemas.openxmlformats.org/officeDocument/2006/relationships/hyperlink" Target="https://odysia-cruise-uk.client.prod.eu-west.dreamlake.io/cruise-lines/norwegian-cruise-line/pride-of-america" TargetMode="External"/><Relationship Id="rId25" Type="http://schemas.openxmlformats.org/officeDocument/2006/relationships/hyperlink" Target="https://odysia-cruise-uk.client.prod.eu-west.dreamlake.io/cruise-lines/ambassador-cruise-line/ambition" TargetMode="External"/><Relationship Id="rId67" Type="http://schemas.openxmlformats.org/officeDocument/2006/relationships/hyperlink" Target="https://odysia-cruise-uk.client.prod.eu-west.dreamlake.io/cruise-lines/celebrity-cruises/celebrity-summit/cruises" TargetMode="External"/><Relationship Id="rId272" Type="http://schemas.openxmlformats.org/officeDocument/2006/relationships/hyperlink" Target="https://odysia-cruise-uk.client.prod.eu-west.dreamlake.io/cruise-lines/princess-cruises/crown-princess/cruises" TargetMode="External"/><Relationship Id="rId328" Type="http://schemas.openxmlformats.org/officeDocument/2006/relationships/hyperlink" Target="https://odysia-cruise-uk.client.prod.eu-west.dreamlake.io/cruise-lines/royal-caribbean/explorer-of-the-seas/cruises" TargetMode="External"/><Relationship Id="rId132" Type="http://schemas.openxmlformats.org/officeDocument/2006/relationships/hyperlink" Target="https://odysia-cruise-uk.client.prod.eu-west.dreamlake.io/cruise-lines/holland-america-line/volendam" TargetMode="External"/><Relationship Id="rId174" Type="http://schemas.openxmlformats.org/officeDocument/2006/relationships/hyperlink" Target="https://odysia-cruise-uk.client.prod.eu-west.dreamlake.io/cruise-lines/msc-cruises/msc-seaside" TargetMode="External"/><Relationship Id="rId381" Type="http://schemas.openxmlformats.org/officeDocument/2006/relationships/hyperlink" Target="https://odysia-cruise-uk.client.prod.eu-west.dreamlake.io/cruise-lines/seabourn/seabourn-ovation/cruises" TargetMode="External"/><Relationship Id="rId241" Type="http://schemas.openxmlformats.org/officeDocument/2006/relationships/hyperlink" Target="https://odysia-cruise-uk.client.prod.eu-west.dreamlake.io/cruise-lines/oceania-cruises/oceania-nautica/cruises" TargetMode="External"/><Relationship Id="rId36" Type="http://schemas.openxmlformats.org/officeDocument/2006/relationships/hyperlink" Target="https://odysia-cruise-uk.client.prod.eu-west.dreamlake.io/cruise-lines/azamara/azamara-quest" TargetMode="External"/><Relationship Id="rId283" Type="http://schemas.openxmlformats.org/officeDocument/2006/relationships/hyperlink" Target="https://odysia-cruise-uk.client.prod.eu-west.dreamlake.io/cruise-lines/princess-cruises/grand-princess/cruises" TargetMode="External"/><Relationship Id="rId339" Type="http://schemas.openxmlformats.org/officeDocument/2006/relationships/hyperlink" Target="https://odysia-cruise-uk.client.prod.eu-west.dreamlake.io/cruise-lines/royal-caribbean/jewel-of-the-seas" TargetMode="External"/><Relationship Id="rId78" Type="http://schemas.openxmlformats.org/officeDocument/2006/relationships/hyperlink" Target="https://odysia-cruise-uk.client.prod.eu-west.dreamlake.io/cruise-lines/costa-cruises/costa-favolosa" TargetMode="External"/><Relationship Id="rId101" Type="http://schemas.openxmlformats.org/officeDocument/2006/relationships/hyperlink" Target="https://odysia-cruise-uk.client.prod.eu-west.dreamlake.io/cruise-lines/explora-journeys" TargetMode="External"/><Relationship Id="rId143" Type="http://schemas.openxmlformats.org/officeDocument/2006/relationships/hyperlink" Target="https://odysia-cruise-uk.client.prod.eu-west.dreamlake.io/cruise-lines/msc-cruises/msc-armonia/cruises" TargetMode="External"/><Relationship Id="rId185" Type="http://schemas.openxmlformats.org/officeDocument/2006/relationships/hyperlink" Target="https://odysia-cruise-uk.client.prod.eu-west.dreamlake.io/cruise-lines/msc-cruises/msc-world-america/cruises" TargetMode="External"/><Relationship Id="rId350" Type="http://schemas.openxmlformats.org/officeDocument/2006/relationships/hyperlink" Target="https://odysia-cruise-uk.client.prod.eu-west.dreamlake.io/cruise-lines/royal-caribbean/oasis-of-the-seas/cruises" TargetMode="External"/><Relationship Id="rId406" Type="http://schemas.openxmlformats.org/officeDocument/2006/relationships/hyperlink" Target="https://odysia-cruise-uk.client.prod.eu-west.dreamlake.io/destinations/british-isles" TargetMode="External"/><Relationship Id="rId9" Type="http://schemas.openxmlformats.org/officeDocument/2006/relationships/hyperlink" Target="https://odysia-cruise-uk.client.prod.eu-west.dreamlake.io/cruise-deals/cruises-from-dover" TargetMode="External"/><Relationship Id="rId210" Type="http://schemas.openxmlformats.org/officeDocument/2006/relationships/hyperlink" Target="https://odysia-cruise-uk.client.prod.eu-west.dreamlake.io/cruise-lines/norwegian-cruise-line/norwegian-jewel" TargetMode="External"/><Relationship Id="rId392" Type="http://schemas.openxmlformats.org/officeDocument/2006/relationships/hyperlink" Target="https://odysia-cruise-uk.client.prod.eu-west.dreamlake.io/cruise-lines/virgin-voyages/brilliant-lady/cruises" TargetMode="External"/><Relationship Id="rId252" Type="http://schemas.openxmlformats.org/officeDocument/2006/relationships/hyperlink" Target="https://odysia-cruise-uk.client.prod.eu-west.dreamlake.io/cruise-lines/po-cruises/arcadia/cruises" TargetMode="External"/><Relationship Id="rId294" Type="http://schemas.openxmlformats.org/officeDocument/2006/relationships/hyperlink" Target="https://odysia-cruise-uk.client.prod.eu-west.dreamlake.io/cruise-lines/princess-cruises/sapphire-princess" TargetMode="External"/><Relationship Id="rId308" Type="http://schemas.openxmlformats.org/officeDocument/2006/relationships/hyperlink" Target="https://odysia-cruise-uk.client.prod.eu-west.dreamlake.io/cruise-lines/regent-seven-seas-cruises/seven-seas-mariner" TargetMode="External"/><Relationship Id="rId47" Type="http://schemas.openxmlformats.org/officeDocument/2006/relationships/hyperlink" Target="https://odysia-cruise-uk.client.prod.eu-west.dreamlake.io/cruise-lines/celebrity-cruises/celebrity-constellation/cruises" TargetMode="External"/><Relationship Id="rId89" Type="http://schemas.openxmlformats.org/officeDocument/2006/relationships/hyperlink" Target="https://odysia-cruise-uk.client.prod.eu-west.dreamlake.io/cruise-lines/costa-cruises/costa-toscana/cruises" TargetMode="External"/><Relationship Id="rId112" Type="http://schemas.openxmlformats.org/officeDocument/2006/relationships/hyperlink" Target="https://odysia-cruise-uk.client.prod.eu-west.dreamlake.io/cruise-lines/fred-olsen-cruises/bolette" TargetMode="External"/><Relationship Id="rId154" Type="http://schemas.openxmlformats.org/officeDocument/2006/relationships/hyperlink" Target="https://odysia-cruise-uk.client.prod.eu-west.dreamlake.io/cruise-lines/msc-cruises/msc-lirica" TargetMode="External"/><Relationship Id="rId361" Type="http://schemas.openxmlformats.org/officeDocument/2006/relationships/hyperlink" Target="https://odysia-cruise-uk.client.prod.eu-west.dreamlake.io/cruise-lines/royal-caribbean/serenade-of-the-seas" TargetMode="External"/><Relationship Id="rId196" Type="http://schemas.openxmlformats.org/officeDocument/2006/relationships/hyperlink" Target="https://odysia-cruise-uk.client.prod.eu-west.dreamlake.io/cruise-lines/norwegian-cruise-line/norwegian-dawn" TargetMode="External"/><Relationship Id="rId417" Type="http://schemas.openxmlformats.org/officeDocument/2006/relationships/hyperlink" Target="https://odysia-cruise-uk.client.prod.eu-west.dreamlake.io/destinations/mediterranean" TargetMode="External"/><Relationship Id="rId16" Type="http://schemas.openxmlformats.org/officeDocument/2006/relationships/hyperlink" Target="https://odysia-cruise-uk.client.prod.eu-west.dreamlake.io/cruise-deals/cruises-from-tilbury" TargetMode="External"/><Relationship Id="rId221" Type="http://schemas.openxmlformats.org/officeDocument/2006/relationships/hyperlink" Target="https://odysia-cruise-uk.client.prod.eu-west.dreamlake.io/cruise-lines/norwegian-cruise-line/norwegian-sky/cruises" TargetMode="External"/><Relationship Id="rId263" Type="http://schemas.openxmlformats.org/officeDocument/2006/relationships/hyperlink" Target="https://odysia-cruise-uk.client.prod.eu-west.dreamlake.io/cruise-lines/po-cruises/iona/cruises" TargetMode="External"/><Relationship Id="rId319" Type="http://schemas.openxmlformats.org/officeDocument/2006/relationships/hyperlink" Target="https://odysia-cruise-uk.client.prod.eu-west.dreamlake.io/cruise-lines/royal-caribbean/allure-of-the-seas/cruises" TargetMode="External"/><Relationship Id="rId58" Type="http://schemas.openxmlformats.org/officeDocument/2006/relationships/hyperlink" Target="https://odysia-cruise-uk.client.prod.eu-west.dreamlake.io/cruise-lines/celebrity-cruises/celebrity-millennium" TargetMode="External"/><Relationship Id="rId123" Type="http://schemas.openxmlformats.org/officeDocument/2006/relationships/hyperlink" Target="https://odysia-cruise-uk.client.prod.eu-west.dreamlake.io/cruise-lines/holland-america-line/nieuw-amsterdam/cruises" TargetMode="External"/><Relationship Id="rId330" Type="http://schemas.openxmlformats.org/officeDocument/2006/relationships/hyperlink" Target="https://odysia-cruise-uk.client.prod.eu-west.dreamlake.io/cruise-lines/royal-caribbean/freedom-of-the-seas/cruises" TargetMode="External"/><Relationship Id="rId165" Type="http://schemas.openxmlformats.org/officeDocument/2006/relationships/hyperlink" Target="https://odysia-cruise-uk.client.prod.eu-west.dreamlake.io/cruise-lines/msc-cruises/msc-orchestra/cruises" TargetMode="External"/><Relationship Id="rId372" Type="http://schemas.openxmlformats.org/officeDocument/2006/relationships/hyperlink" Target="https://odysia-cruise-uk.client.prod.eu-west.dreamlake.io/cruise-lines/royal-caribbean/vision-of-the-seas/cruises" TargetMode="External"/><Relationship Id="rId428" Type="http://schemas.openxmlformats.org/officeDocument/2006/relationships/hyperlink" Target="https://odysia-cruise-uk.client.prod.eu-west.dreamlake.io/destinations/polar-regions" TargetMode="External"/><Relationship Id="rId232" Type="http://schemas.openxmlformats.org/officeDocument/2006/relationships/hyperlink" Target="https://odysia-cruise-uk.client.prod.eu-west.dreamlake.io/cruise-lines/oceania-cruises" TargetMode="External"/><Relationship Id="rId274" Type="http://schemas.openxmlformats.org/officeDocument/2006/relationships/hyperlink" Target="https://odysia-cruise-uk.client.prod.eu-west.dreamlake.io/cruise-lines/princess-cruises/diamond-princess" TargetMode="External"/><Relationship Id="rId27" Type="http://schemas.openxmlformats.org/officeDocument/2006/relationships/hyperlink" Target="https://odysia-cruise-uk.client.prod.eu-west.dreamlake.io/cruise-lines/ambassador-cruise-line/cruises" TargetMode="External"/><Relationship Id="rId69" Type="http://schemas.openxmlformats.org/officeDocument/2006/relationships/hyperlink" Target="https://odysia-cruise-uk.client.prod.eu-west.dreamlake.io/cruise-lines/celebrity-cruises/celebrity-xcel/cruises" TargetMode="External"/><Relationship Id="rId134" Type="http://schemas.openxmlformats.org/officeDocument/2006/relationships/hyperlink" Target="https://odysia-cruise-uk.client.prod.eu-west.dreamlake.io/cruise-lines/holland-america-line/westerdam" TargetMode="External"/><Relationship Id="rId80" Type="http://schemas.openxmlformats.org/officeDocument/2006/relationships/hyperlink" Target="https://odysia-cruise-uk.client.prod.eu-west.dreamlake.io/cruise-lines/costa-cruises/costa-fortuna" TargetMode="External"/><Relationship Id="rId176" Type="http://schemas.openxmlformats.org/officeDocument/2006/relationships/hyperlink" Target="https://odysia-cruise-uk.client.prod.eu-west.dreamlake.io/cruise-lines/msc-cruises/msc-seaview" TargetMode="External"/><Relationship Id="rId341" Type="http://schemas.openxmlformats.org/officeDocument/2006/relationships/hyperlink" Target="https://odysia-cruise-uk.client.prod.eu-west.dreamlake.io/cruise-lines/royal-caribbean/legend-of-the-seas" TargetMode="External"/><Relationship Id="rId383" Type="http://schemas.openxmlformats.org/officeDocument/2006/relationships/hyperlink" Target="https://odysia-cruise-uk.client.prod.eu-west.dreamlake.io/cruise-lines/seabourn/seabourn-pursuit/cruises" TargetMode="External"/><Relationship Id="rId201" Type="http://schemas.openxmlformats.org/officeDocument/2006/relationships/hyperlink" Target="https://odysia-cruise-uk.client.prod.eu-west.dreamlake.io/cruise-lines/norwegian-cruise-line/norwegian-epic/cruises" TargetMode="External"/><Relationship Id="rId243" Type="http://schemas.openxmlformats.org/officeDocument/2006/relationships/hyperlink" Target="https://odysia-cruise-uk.client.prod.eu-west.dreamlake.io/cruise-lines/oceania-cruises/oceania-regatta/cruises" TargetMode="External"/><Relationship Id="rId285" Type="http://schemas.openxmlformats.org/officeDocument/2006/relationships/hyperlink" Target="https://odysia-cruise-uk.client.prod.eu-west.dreamlake.io/cruise-lines/princess-cruises/island-princess/cruises" TargetMode="External"/><Relationship Id="rId38" Type="http://schemas.openxmlformats.org/officeDocument/2006/relationships/hyperlink" Target="https://odysia-cruise-uk.client.prod.eu-west.dreamlake.io/cruise-lines/azamara/cruises" TargetMode="External"/><Relationship Id="rId103" Type="http://schemas.openxmlformats.org/officeDocument/2006/relationships/hyperlink" Target="https://odysia-cruise-uk.client.prod.eu-west.dreamlake.io/cruise-lines/explora-journeys/explora-i" TargetMode="External"/><Relationship Id="rId310" Type="http://schemas.openxmlformats.org/officeDocument/2006/relationships/hyperlink" Target="https://odysia-cruise-uk.client.prod.eu-west.dreamlake.io/cruise-lines/regent-seven-seas-cruises/seven-seas-navigator" TargetMode="External"/><Relationship Id="rId91" Type="http://schemas.openxmlformats.org/officeDocument/2006/relationships/hyperlink" Target="https://odysia-cruise-uk.client.prod.eu-west.dreamlake.io/cruise-lines/cunard" TargetMode="External"/><Relationship Id="rId145" Type="http://schemas.openxmlformats.org/officeDocument/2006/relationships/hyperlink" Target="https://odysia-cruise-uk.client.prod.eu-west.dreamlake.io/cruise-lines/msc-cruises/msc-bellissima/cruises" TargetMode="External"/><Relationship Id="rId187" Type="http://schemas.openxmlformats.org/officeDocument/2006/relationships/hyperlink" Target="https://odysia-cruise-uk.client.prod.eu-west.dreamlake.io/cruise-lines/msc-cruises/msc-world-europa/cruises" TargetMode="External"/><Relationship Id="rId352" Type="http://schemas.openxmlformats.org/officeDocument/2006/relationships/hyperlink" Target="https://odysia-cruise-uk.client.prod.eu-west.dreamlake.io/cruise-lines/royal-caribbean/odyssey-of-the-seas/cruises" TargetMode="External"/><Relationship Id="rId394" Type="http://schemas.openxmlformats.org/officeDocument/2006/relationships/hyperlink" Target="https://odysia-cruise-uk.client.prod.eu-west.dreamlake.io/cruise-lines/virgin-voyages/resilient-lady" TargetMode="External"/><Relationship Id="rId408" Type="http://schemas.openxmlformats.org/officeDocument/2006/relationships/hyperlink" Target="https://odysia-cruise-uk.client.prod.eu-west.dreamlake.io/destinations/canada" TargetMode="External"/><Relationship Id="rId212" Type="http://schemas.openxmlformats.org/officeDocument/2006/relationships/hyperlink" Target="https://odysia-cruise-uk.client.prod.eu-west.dreamlake.io/cruise-lines/norwegian-cruise-line/norwegian-joy" TargetMode="External"/><Relationship Id="rId254" Type="http://schemas.openxmlformats.org/officeDocument/2006/relationships/hyperlink" Target="https://odysia-cruise-uk.client.prod.eu-west.dreamlake.io/cruise-lines/po-cruises/arvia/cruises" TargetMode="External"/><Relationship Id="rId28" Type="http://schemas.openxmlformats.org/officeDocument/2006/relationships/hyperlink" Target="https://odysia-cruise-uk.client.prod.eu-west.dreamlake.io/cruise-lines/ambassador-cruise-line/renaissance" TargetMode="External"/><Relationship Id="rId49" Type="http://schemas.openxmlformats.org/officeDocument/2006/relationships/hyperlink" Target="https://odysia-cruise-uk.client.prod.eu-west.dreamlake.io/cruise-lines/celebrity-cruises/celebrity-eclipse/cruises" TargetMode="External"/><Relationship Id="rId114" Type="http://schemas.openxmlformats.org/officeDocument/2006/relationships/hyperlink" Target="https://odysia-cruise-uk.client.prod.eu-west.dreamlake.io/cruise-lines/fred-olsen-cruises/borealis" TargetMode="External"/><Relationship Id="rId275" Type="http://schemas.openxmlformats.org/officeDocument/2006/relationships/hyperlink" Target="https://odysia-cruise-uk.client.prod.eu-west.dreamlake.io/cruise-lines/princess-cruises/diamond-princess/cruises" TargetMode="External"/><Relationship Id="rId296" Type="http://schemas.openxmlformats.org/officeDocument/2006/relationships/hyperlink" Target="https://odysia-cruise-uk.client.prod.eu-west.dreamlake.io/cruise-lines/princess-cruises/sky-princess" TargetMode="External"/><Relationship Id="rId300" Type="http://schemas.openxmlformats.org/officeDocument/2006/relationships/hyperlink" Target="https://odysia-cruise-uk.client.prod.eu-west.dreamlake.io/cruise-lines/princess-cruises/sun-princess" TargetMode="External"/><Relationship Id="rId60" Type="http://schemas.openxmlformats.org/officeDocument/2006/relationships/hyperlink" Target="https://odysia-cruise-uk.client.prod.eu-west.dreamlake.io/cruise-lines/celebrity-cruises/celebrity-reflection" TargetMode="External"/><Relationship Id="rId81" Type="http://schemas.openxmlformats.org/officeDocument/2006/relationships/hyperlink" Target="https://odysia-cruise-uk.client.prod.eu-west.dreamlake.io/cruise-lines/costa-cruises/costa-fortuna/cruises" TargetMode="External"/><Relationship Id="rId135" Type="http://schemas.openxmlformats.org/officeDocument/2006/relationships/hyperlink" Target="https://odysia-cruise-uk.client.prod.eu-west.dreamlake.io/cruise-lines/holland-america-line/westerdam/cruises" TargetMode="External"/><Relationship Id="rId156" Type="http://schemas.openxmlformats.org/officeDocument/2006/relationships/hyperlink" Target="https://odysia-cruise-uk.client.prod.eu-west.dreamlake.io/cruise-lines/msc-cruises/msc-magnifica" TargetMode="External"/><Relationship Id="rId177" Type="http://schemas.openxmlformats.org/officeDocument/2006/relationships/hyperlink" Target="https://odysia-cruise-uk.client.prod.eu-west.dreamlake.io/cruise-lines/msc-cruises/msc-seaview/cruises" TargetMode="External"/><Relationship Id="rId198" Type="http://schemas.openxmlformats.org/officeDocument/2006/relationships/hyperlink" Target="https://odysia-cruise-uk.client.prod.eu-west.dreamlake.io/cruise-lines/norwegian-cruise-line/norwegian-encore" TargetMode="External"/><Relationship Id="rId321" Type="http://schemas.openxmlformats.org/officeDocument/2006/relationships/hyperlink" Target="https://odysia-cruise-uk.client.prod.eu-west.dreamlake.io/cruise-lines/royal-caribbean/anthem-of-the-seas/cruises" TargetMode="External"/><Relationship Id="rId342" Type="http://schemas.openxmlformats.org/officeDocument/2006/relationships/hyperlink" Target="https://odysia-cruise-uk.client.prod.eu-west.dreamlake.io/cruise-lines/royal-caribbean/legend-of-the-seas/cruises" TargetMode="External"/><Relationship Id="rId363" Type="http://schemas.openxmlformats.org/officeDocument/2006/relationships/hyperlink" Target="https://odysia-cruise-uk.client.prod.eu-west.dreamlake.io/cruise-lines/royal-caribbean/spectrum-of-the-seas" TargetMode="External"/><Relationship Id="rId384" Type="http://schemas.openxmlformats.org/officeDocument/2006/relationships/hyperlink" Target="https://odysia-cruise-uk.client.prod.eu-west.dreamlake.io/cruise-lines/seabourn/seabourn-quest" TargetMode="External"/><Relationship Id="rId419" Type="http://schemas.openxmlformats.org/officeDocument/2006/relationships/hyperlink" Target="https://odysia-cruise-uk.client.prod.eu-west.dreamlake.io/destinations/middle-east" TargetMode="External"/><Relationship Id="rId202" Type="http://schemas.openxmlformats.org/officeDocument/2006/relationships/hyperlink" Target="https://odysia-cruise-uk.client.prod.eu-west.dreamlake.io/cruise-lines/norwegian-cruise-line/norwegian-escape" TargetMode="External"/><Relationship Id="rId223" Type="http://schemas.openxmlformats.org/officeDocument/2006/relationships/hyperlink" Target="https://odysia-cruise-uk.client.prod.eu-west.dreamlake.io/cruise-lines/norwegian-cruise-line/norwegian-spirit/cruises" TargetMode="External"/><Relationship Id="rId244" Type="http://schemas.openxmlformats.org/officeDocument/2006/relationships/hyperlink" Target="https://odysia-cruise-uk.client.prod.eu-west.dreamlake.io/cruise-lines/oceania-cruises/oceania-riviera" TargetMode="External"/><Relationship Id="rId430" Type="http://schemas.openxmlformats.org/officeDocument/2006/relationships/hyperlink" Target="https://odysia-cruise-uk.client.prod.eu-west.dreamlake.io/destinations/scandinavia-baltic" TargetMode="External"/><Relationship Id="rId18" Type="http://schemas.openxmlformats.org/officeDocument/2006/relationships/hyperlink" Target="https://odysia-cruise-uk.client.prod.eu-west.dreamlake.io/cruise-deals/fly-cruise-deals" TargetMode="External"/><Relationship Id="rId39" Type="http://schemas.openxmlformats.org/officeDocument/2006/relationships/hyperlink" Target="https://odysia-cruise-uk.client.prod.eu-west.dreamlake.io/cruise-lines/celebrity-cruises" TargetMode="External"/><Relationship Id="rId265" Type="http://schemas.openxmlformats.org/officeDocument/2006/relationships/hyperlink" Target="https://odysia-cruise-uk.client.prod.eu-west.dreamlake.io/cruise-lines/po-cruises/ventura/cruises" TargetMode="External"/><Relationship Id="rId286" Type="http://schemas.openxmlformats.org/officeDocument/2006/relationships/hyperlink" Target="https://odysia-cruise-uk.client.prod.eu-west.dreamlake.io/cruise-lines/princess-cruises/majestic-princess" TargetMode="External"/><Relationship Id="rId50" Type="http://schemas.openxmlformats.org/officeDocument/2006/relationships/hyperlink" Target="https://odysia-cruise-uk.client.prod.eu-west.dreamlake.io/cruise-lines/celebrity-cruises/celebrity-edge" TargetMode="External"/><Relationship Id="rId104" Type="http://schemas.openxmlformats.org/officeDocument/2006/relationships/hyperlink" Target="https://odysia-cruise-uk.client.prod.eu-west.dreamlake.io/cruise-lines/explora-journeys/explora-i/cruises" TargetMode="External"/><Relationship Id="rId125" Type="http://schemas.openxmlformats.org/officeDocument/2006/relationships/hyperlink" Target="https://odysia-cruise-uk.client.prod.eu-west.dreamlake.io/cruise-lines/holland-america-line/nieuw-statendam/cruises" TargetMode="External"/><Relationship Id="rId146" Type="http://schemas.openxmlformats.org/officeDocument/2006/relationships/hyperlink" Target="https://odysia-cruise-uk.client.prod.eu-west.dreamlake.io/cruise-lines/msc-cruises/msc-divina" TargetMode="External"/><Relationship Id="rId167" Type="http://schemas.openxmlformats.org/officeDocument/2006/relationships/hyperlink" Target="https://odysia-cruise-uk.client.prod.eu-west.dreamlake.io/cruise-lines/msc-cruises/msc-poesia/cruises" TargetMode="External"/><Relationship Id="rId188" Type="http://schemas.openxmlformats.org/officeDocument/2006/relationships/hyperlink" Target="https://odysia-cruise-uk.client.prod.eu-west.dreamlake.io/cruise-lines/norwegian-cruise-line" TargetMode="External"/><Relationship Id="rId311" Type="http://schemas.openxmlformats.org/officeDocument/2006/relationships/hyperlink" Target="https://odysia-cruise-uk.client.prod.eu-west.dreamlake.io/cruise-lines/regent-seven-seas-cruises/seven-seas-splendor" TargetMode="External"/><Relationship Id="rId332" Type="http://schemas.openxmlformats.org/officeDocument/2006/relationships/hyperlink" Target="https://odysia-cruise-uk.client.prod.eu-west.dreamlake.io/cruise-lines/royal-caribbean/grandeur-of-the-seas/cruises" TargetMode="External"/><Relationship Id="rId353" Type="http://schemas.openxmlformats.org/officeDocument/2006/relationships/hyperlink" Target="https://odysia-cruise-uk.client.prod.eu-west.dreamlake.io/cruise-lines/royal-caribbean/ovation-of-the-seas" TargetMode="External"/><Relationship Id="rId374" Type="http://schemas.openxmlformats.org/officeDocument/2006/relationships/hyperlink" Target="https://odysia-cruise-uk.client.prod.eu-west.dreamlake.io/cruise-lines/royal-caribbean/wonder-of-the-seas" TargetMode="External"/><Relationship Id="rId395" Type="http://schemas.openxmlformats.org/officeDocument/2006/relationships/hyperlink" Target="https://odysia-cruise-uk.client.prod.eu-west.dreamlake.io/cruise-lines/virgin-voyages/resilient-lady/cruises" TargetMode="External"/><Relationship Id="rId409" Type="http://schemas.openxmlformats.org/officeDocument/2006/relationships/hyperlink" Target="https://odysia-cruise-uk.client.prod.eu-west.dreamlake.io/destinations/canary-islands" TargetMode="External"/><Relationship Id="rId71" Type="http://schemas.openxmlformats.org/officeDocument/2006/relationships/hyperlink" Target="https://odysia-cruise-uk.client.prod.eu-west.dreamlake.io/cruise-lines/costa-cruises" TargetMode="External"/><Relationship Id="rId92" Type="http://schemas.openxmlformats.org/officeDocument/2006/relationships/hyperlink" Target="https://odysia-cruise-uk.client.prod.eu-west.dreamlake.io/cruise-lines/cunard/cruises" TargetMode="External"/><Relationship Id="rId213" Type="http://schemas.openxmlformats.org/officeDocument/2006/relationships/hyperlink" Target="https://odysia-cruise-uk.client.prod.eu-west.dreamlake.io/cruise-lines/norwegian-cruise-line/norwegian-joy/cruises" TargetMode="External"/><Relationship Id="rId234" Type="http://schemas.openxmlformats.org/officeDocument/2006/relationships/hyperlink" Target="https://odysia-cruise-uk.client.prod.eu-west.dreamlake.io/cruise-lines/oceania-cruises/oceania-allura" TargetMode="External"/><Relationship Id="rId420" Type="http://schemas.openxmlformats.org/officeDocument/2006/relationships/hyperlink" Target="https://odysia-cruise-uk.client.prod.eu-west.dreamlake.io/destinations/middle-east/cruises" TargetMode="External"/><Relationship Id="rId2" Type="http://schemas.openxmlformats.org/officeDocument/2006/relationships/hyperlink" Target="https://odysia-cruise-uk.client.prod.eu-west.dreamlake.io/about-us" TargetMode="External"/><Relationship Id="rId29" Type="http://schemas.openxmlformats.org/officeDocument/2006/relationships/hyperlink" Target="https://odysia-cruise-uk.client.prod.eu-west.dreamlake.io/cruise-lines/ambassador-cruise-line/renaissance/cruises" TargetMode="External"/><Relationship Id="rId255" Type="http://schemas.openxmlformats.org/officeDocument/2006/relationships/hyperlink" Target="https://odysia-cruise-uk.client.prod.eu-west.dreamlake.io/cruise-lines/po-cruises/aurora" TargetMode="External"/><Relationship Id="rId276" Type="http://schemas.openxmlformats.org/officeDocument/2006/relationships/hyperlink" Target="https://odysia-cruise-uk.client.prod.eu-west.dreamlake.io/cruise-lines/princess-cruises/discovery-princess" TargetMode="External"/><Relationship Id="rId297" Type="http://schemas.openxmlformats.org/officeDocument/2006/relationships/hyperlink" Target="https://odysia-cruise-uk.client.prod.eu-west.dreamlake.io/cruise-lines/princess-cruises/sky-princess/cruises" TargetMode="External"/><Relationship Id="rId40" Type="http://schemas.openxmlformats.org/officeDocument/2006/relationships/hyperlink" Target="https://odysia-cruise-uk.client.prod.eu-west.dreamlake.io/cruise-lines/celebrity-cruises/celebrity-apex" TargetMode="External"/><Relationship Id="rId115" Type="http://schemas.openxmlformats.org/officeDocument/2006/relationships/hyperlink" Target="https://odysia-cruise-uk.client.prod.eu-west.dreamlake.io/cruise-lines/fred-olsen-cruises/borealis/cruises" TargetMode="External"/><Relationship Id="rId136" Type="http://schemas.openxmlformats.org/officeDocument/2006/relationships/hyperlink" Target="https://odysia-cruise-uk.client.prod.eu-west.dreamlake.io/cruise-lines/holland-america-line/zaandam" TargetMode="External"/><Relationship Id="rId157" Type="http://schemas.openxmlformats.org/officeDocument/2006/relationships/hyperlink" Target="https://odysia-cruise-uk.client.prod.eu-west.dreamlake.io/cruise-lines/msc-cruises/msc-magnifica/cruises" TargetMode="External"/><Relationship Id="rId178" Type="http://schemas.openxmlformats.org/officeDocument/2006/relationships/hyperlink" Target="https://odysia-cruise-uk.client.prod.eu-west.dreamlake.io/cruise-lines/msc-cruises/msc-sinfonia" TargetMode="External"/><Relationship Id="rId301" Type="http://schemas.openxmlformats.org/officeDocument/2006/relationships/hyperlink" Target="https://odysia-cruise-uk.client.prod.eu-west.dreamlake.io/cruise-lines/princess-cruises/sun-princess/cruises" TargetMode="External"/><Relationship Id="rId322" Type="http://schemas.openxmlformats.org/officeDocument/2006/relationships/hyperlink" Target="https://odysia-cruise-uk.client.prod.eu-west.dreamlake.io/cruise-lines/royal-caribbean/brilliance-of-the-seas" TargetMode="External"/><Relationship Id="rId343" Type="http://schemas.openxmlformats.org/officeDocument/2006/relationships/hyperlink" Target="https://odysia-cruise-uk.client.prod.eu-west.dreamlake.io/cruise-lines/royal-caribbean/liberty-of-the-seas" TargetMode="External"/><Relationship Id="rId364" Type="http://schemas.openxmlformats.org/officeDocument/2006/relationships/hyperlink" Target="https://odysia-cruise-uk.client.prod.eu-west.dreamlake.io/cruise-lines/royal-caribbean/spectrum-of-the-seas/cruises" TargetMode="External"/><Relationship Id="rId61" Type="http://schemas.openxmlformats.org/officeDocument/2006/relationships/hyperlink" Target="https://odysia-cruise-uk.client.prod.eu-west.dreamlake.io/cruise-lines/celebrity-cruises/celebrity-reflection/cruises" TargetMode="External"/><Relationship Id="rId82" Type="http://schemas.openxmlformats.org/officeDocument/2006/relationships/hyperlink" Target="https://odysia-cruise-uk.client.prod.eu-west.dreamlake.io/cruise-lines/costa-cruises/costa-pacifica" TargetMode="External"/><Relationship Id="rId199" Type="http://schemas.openxmlformats.org/officeDocument/2006/relationships/hyperlink" Target="https://odysia-cruise-uk.client.prod.eu-west.dreamlake.io/cruise-lines/norwegian-cruise-line/norwegian-encore/cruises" TargetMode="External"/><Relationship Id="rId203" Type="http://schemas.openxmlformats.org/officeDocument/2006/relationships/hyperlink" Target="https://odysia-cruise-uk.client.prod.eu-west.dreamlake.io/cruise-lines/norwegian-cruise-line/norwegian-escape/cruises" TargetMode="External"/><Relationship Id="rId385" Type="http://schemas.openxmlformats.org/officeDocument/2006/relationships/hyperlink" Target="https://odysia-cruise-uk.client.prod.eu-west.dreamlake.io/cruise-lines/seabourn/seabourn-quest/cruises" TargetMode="External"/><Relationship Id="rId19" Type="http://schemas.openxmlformats.org/officeDocument/2006/relationships/hyperlink" Target="https://odysia-cruise-uk.client.prod.eu-west.dreamlake.io/cruise-deals/last-minute-cruises" TargetMode="External"/><Relationship Id="rId224" Type="http://schemas.openxmlformats.org/officeDocument/2006/relationships/hyperlink" Target="https://odysia-cruise-uk.client.prod.eu-west.dreamlake.io/cruise-lines/norwegian-cruise-line/norwegian-star" TargetMode="External"/><Relationship Id="rId245" Type="http://schemas.openxmlformats.org/officeDocument/2006/relationships/hyperlink" Target="https://odysia-cruise-uk.client.prod.eu-west.dreamlake.io/cruise-lines/oceania-cruises/oceania-riviera/cruises" TargetMode="External"/><Relationship Id="rId266" Type="http://schemas.openxmlformats.org/officeDocument/2006/relationships/hyperlink" Target="https://odysia-cruise-uk.client.prod.eu-west.dreamlake.io/cruise-lines/princess-cruises" TargetMode="External"/><Relationship Id="rId287" Type="http://schemas.openxmlformats.org/officeDocument/2006/relationships/hyperlink" Target="https://odysia-cruise-uk.client.prod.eu-west.dreamlake.io/cruise-lines/princess-cruises/majestic-princess/cruises" TargetMode="External"/><Relationship Id="rId410" Type="http://schemas.openxmlformats.org/officeDocument/2006/relationships/hyperlink" Target="https://odysia-cruise-uk.client.prod.eu-west.dreamlake.io/destinations/canary-islands/cruises" TargetMode="External"/><Relationship Id="rId431" Type="http://schemas.openxmlformats.org/officeDocument/2006/relationships/hyperlink" Target="https://odysia-cruise-uk.client.prod.eu-west.dreamlake.io/destinations/transatlantic" TargetMode="External"/><Relationship Id="rId30" Type="http://schemas.openxmlformats.org/officeDocument/2006/relationships/hyperlink" Target="https://odysia-cruise-uk.client.prod.eu-west.dreamlake.io/cruise-lines/azamara" TargetMode="External"/><Relationship Id="rId105" Type="http://schemas.openxmlformats.org/officeDocument/2006/relationships/hyperlink" Target="https://odysia-cruise-uk.client.prod.eu-west.dreamlake.io/cruise-lines/explora-journeys/explora-ii" TargetMode="External"/><Relationship Id="rId126" Type="http://schemas.openxmlformats.org/officeDocument/2006/relationships/hyperlink" Target="https://odysia-cruise-uk.client.prod.eu-west.dreamlake.io/cruise-lines/holland-america-line/noordam" TargetMode="External"/><Relationship Id="rId147" Type="http://schemas.openxmlformats.org/officeDocument/2006/relationships/hyperlink" Target="https://odysia-cruise-uk.client.prod.eu-west.dreamlake.io/cruise-lines/msc-cruises/msc-divina/cruises" TargetMode="External"/><Relationship Id="rId168" Type="http://schemas.openxmlformats.org/officeDocument/2006/relationships/hyperlink" Target="https://odysia-cruise-uk.client.prod.eu-west.dreamlake.io/cruise-lines/msc-cruises/msc-preziosa" TargetMode="External"/><Relationship Id="rId312" Type="http://schemas.openxmlformats.org/officeDocument/2006/relationships/hyperlink" Target="https://odysia-cruise-uk.client.prod.eu-west.dreamlake.io/cruise-lines/regent-seven-seas-cruises/seven-seas-splendor/cruises" TargetMode="External"/><Relationship Id="rId333" Type="http://schemas.openxmlformats.org/officeDocument/2006/relationships/hyperlink" Target="https://odysia-cruise-uk.client.prod.eu-west.dreamlake.io/cruise-lines/royal-caribbean/harmony-of-the-seas" TargetMode="External"/><Relationship Id="rId354" Type="http://schemas.openxmlformats.org/officeDocument/2006/relationships/hyperlink" Target="https://odysia-cruise-uk.client.prod.eu-west.dreamlake.io/cruise-lines/royal-caribbean/ovation-of-the-seas/cruises" TargetMode="External"/><Relationship Id="rId51" Type="http://schemas.openxmlformats.org/officeDocument/2006/relationships/hyperlink" Target="https://odysia-cruise-uk.client.prod.eu-west.dreamlake.io/cruise-lines/celebrity-cruises/celebrity-edge/cruises" TargetMode="External"/><Relationship Id="rId72" Type="http://schemas.openxmlformats.org/officeDocument/2006/relationships/hyperlink" Target="https://odysia-cruise-uk.client.prod.eu-west.dreamlake.io/cruise-lines/costa-cruises/costa-deliziosa" TargetMode="External"/><Relationship Id="rId93" Type="http://schemas.openxmlformats.org/officeDocument/2006/relationships/hyperlink" Target="https://odysia-cruise-uk.client.prod.eu-west.dreamlake.io/cruise-lines/cunard/queen-anne" TargetMode="External"/><Relationship Id="rId189" Type="http://schemas.openxmlformats.org/officeDocument/2006/relationships/hyperlink" Target="https://odysia-cruise-uk.client.prod.eu-west.dreamlake.io/cruise-lines/norwegian-cruise-line/cruises" TargetMode="External"/><Relationship Id="rId375" Type="http://schemas.openxmlformats.org/officeDocument/2006/relationships/hyperlink" Target="https://odysia-cruise-uk.client.prod.eu-west.dreamlake.io/cruise-lines/royal-caribbean/wonder-of-the-seas/cruises" TargetMode="External"/><Relationship Id="rId396" Type="http://schemas.openxmlformats.org/officeDocument/2006/relationships/hyperlink" Target="https://odysia-cruise-uk.client.prod.eu-west.dreamlake.io/cruise-lines/virgin-voyages/scarlet-lady" TargetMode="External"/><Relationship Id="rId3" Type="http://schemas.openxmlformats.org/officeDocument/2006/relationships/hyperlink" Target="https://odysia-cruise-uk.client.prod.eu-west.dreamlake.io/cruise-calendar" TargetMode="External"/><Relationship Id="rId214" Type="http://schemas.openxmlformats.org/officeDocument/2006/relationships/hyperlink" Target="https://odysia-cruise-uk.client.prod.eu-west.dreamlake.io/cruise-lines/norwegian-cruise-line/norwegian-luna" TargetMode="External"/><Relationship Id="rId235" Type="http://schemas.openxmlformats.org/officeDocument/2006/relationships/hyperlink" Target="https://odysia-cruise-uk.client.prod.eu-west.dreamlake.io/cruise-lines/oceania-cruises/oceania-allura/cruises" TargetMode="External"/><Relationship Id="rId256" Type="http://schemas.openxmlformats.org/officeDocument/2006/relationships/hyperlink" Target="https://odysia-cruise-uk.client.prod.eu-west.dreamlake.io/cruise-lines/po-cruises/aurora/cruises" TargetMode="External"/><Relationship Id="rId277" Type="http://schemas.openxmlformats.org/officeDocument/2006/relationships/hyperlink" Target="https://odysia-cruise-uk.client.prod.eu-west.dreamlake.io/cruise-lines/princess-cruises/discovery-princess/cruises" TargetMode="External"/><Relationship Id="rId298" Type="http://schemas.openxmlformats.org/officeDocument/2006/relationships/hyperlink" Target="https://odysia-cruise-uk.client.prod.eu-west.dreamlake.io/cruise-lines/princess-cruises/star-princess" TargetMode="External"/><Relationship Id="rId400" Type="http://schemas.openxmlformats.org/officeDocument/2006/relationships/hyperlink" Target="https://odysia-cruise-uk.client.prod.eu-west.dreamlake.io/cruises" TargetMode="External"/><Relationship Id="rId421" Type="http://schemas.openxmlformats.org/officeDocument/2006/relationships/hyperlink" Target="https://odysia-cruise-uk.client.prod.eu-west.dreamlake.io/destinations/north-america" TargetMode="External"/><Relationship Id="rId116" Type="http://schemas.openxmlformats.org/officeDocument/2006/relationships/hyperlink" Target="https://odysia-cruise-uk.client.prod.eu-west.dreamlake.io/cruise-lines/fred-olsen-cruises/cruises" TargetMode="External"/><Relationship Id="rId137" Type="http://schemas.openxmlformats.org/officeDocument/2006/relationships/hyperlink" Target="https://odysia-cruise-uk.client.prod.eu-west.dreamlake.io/cruise-lines/holland-america-line/zaandam/cruises" TargetMode="External"/><Relationship Id="rId158" Type="http://schemas.openxmlformats.org/officeDocument/2006/relationships/hyperlink" Target="https://odysia-cruise-uk.client.prod.eu-west.dreamlake.io/cruise-lines/msc-cruises/msc-meraviglia" TargetMode="External"/><Relationship Id="rId302" Type="http://schemas.openxmlformats.org/officeDocument/2006/relationships/hyperlink" Target="https://odysia-cruise-uk.client.prod.eu-west.dreamlake.io/cruise-lines/regent-seven-seas-cruises" TargetMode="External"/><Relationship Id="rId323" Type="http://schemas.openxmlformats.org/officeDocument/2006/relationships/hyperlink" Target="https://odysia-cruise-uk.client.prod.eu-west.dreamlake.io/cruise-lines/royal-caribbean/brilliance-of-the-seas/cruises" TargetMode="External"/><Relationship Id="rId344" Type="http://schemas.openxmlformats.org/officeDocument/2006/relationships/hyperlink" Target="https://odysia-cruise-uk.client.prod.eu-west.dreamlake.io/cruise-lines/royal-caribbean/liberty-of-the-seas/cruises" TargetMode="External"/><Relationship Id="rId20" Type="http://schemas.openxmlformats.org/officeDocument/2006/relationships/hyperlink" Target="https://odysia-cruise-uk.client.prod.eu-west.dreamlake.io/cruise-deals/mini-cruises" TargetMode="External"/><Relationship Id="rId41" Type="http://schemas.openxmlformats.org/officeDocument/2006/relationships/hyperlink" Target="https://odysia-cruise-uk.client.prod.eu-west.dreamlake.io/cruise-lines/celebrity-cruises/celebrity-apex/cruises" TargetMode="External"/><Relationship Id="rId62" Type="http://schemas.openxmlformats.org/officeDocument/2006/relationships/hyperlink" Target="https://odysia-cruise-uk.client.prod.eu-west.dreamlake.io/cruise-lines/celebrity-cruises/celebrity-silhouette" TargetMode="External"/><Relationship Id="rId83" Type="http://schemas.openxmlformats.org/officeDocument/2006/relationships/hyperlink" Target="https://odysia-cruise-uk.client.prod.eu-west.dreamlake.io/cruise-lines/costa-cruises/costa-pacifica/cruises" TargetMode="External"/><Relationship Id="rId179" Type="http://schemas.openxmlformats.org/officeDocument/2006/relationships/hyperlink" Target="https://odysia-cruise-uk.client.prod.eu-west.dreamlake.io/cruise-lines/msc-cruises/msc-sinfonia/cruises" TargetMode="External"/><Relationship Id="rId365" Type="http://schemas.openxmlformats.org/officeDocument/2006/relationships/hyperlink" Target="https://odysia-cruise-uk.client.prod.eu-west.dreamlake.io/cruise-lines/royal-caribbean/star-of-the-seas" TargetMode="External"/><Relationship Id="rId386" Type="http://schemas.openxmlformats.org/officeDocument/2006/relationships/hyperlink" Target="https://odysia-cruise-uk.client.prod.eu-west.dreamlake.io/cruise-lines/seabourn/seabourn-sojourn" TargetMode="External"/><Relationship Id="rId190" Type="http://schemas.openxmlformats.org/officeDocument/2006/relationships/hyperlink" Target="https://odysia-cruise-uk.client.prod.eu-west.dreamlake.io/cruise-lines/norwegian-cruise-line/norwegian-aqua" TargetMode="External"/><Relationship Id="rId204" Type="http://schemas.openxmlformats.org/officeDocument/2006/relationships/hyperlink" Target="https://odysia-cruise-uk.client.prod.eu-west.dreamlake.io/cruise-lines/norwegian-cruise-line/norwegian-gem" TargetMode="External"/><Relationship Id="rId225" Type="http://schemas.openxmlformats.org/officeDocument/2006/relationships/hyperlink" Target="https://odysia-cruise-uk.client.prod.eu-west.dreamlake.io/cruise-lines/norwegian-cruise-line/norwegian-star/cruises" TargetMode="External"/><Relationship Id="rId246" Type="http://schemas.openxmlformats.org/officeDocument/2006/relationships/hyperlink" Target="https://odysia-cruise-uk.client.prod.eu-west.dreamlake.io/cruise-lines/oceania-cruises/oceania-sirena" TargetMode="External"/><Relationship Id="rId267" Type="http://schemas.openxmlformats.org/officeDocument/2006/relationships/hyperlink" Target="https://odysia-cruise-uk.client.prod.eu-west.dreamlake.io/cruise-lines/princess-cruises/caribbean-princess" TargetMode="External"/><Relationship Id="rId288" Type="http://schemas.openxmlformats.org/officeDocument/2006/relationships/hyperlink" Target="https://odysia-cruise-uk.client.prod.eu-west.dreamlake.io/cruise-lines/princess-cruises/regal-princess" TargetMode="External"/><Relationship Id="rId411" Type="http://schemas.openxmlformats.org/officeDocument/2006/relationships/hyperlink" Target="https://odysia-cruise-uk.client.prod.eu-west.dreamlake.io/destinations/caribbean" TargetMode="External"/><Relationship Id="rId432" Type="http://schemas.openxmlformats.org/officeDocument/2006/relationships/hyperlink" Target="https://odysia-cruise-uk.client.prod.eu-west.dreamlake.io/destinations/transatlantic/cruises" TargetMode="External"/><Relationship Id="rId106" Type="http://schemas.openxmlformats.org/officeDocument/2006/relationships/hyperlink" Target="https://odysia-cruise-uk.client.prod.eu-west.dreamlake.io/cruise-lines/explora-journeys/explora-ii/cruises" TargetMode="External"/><Relationship Id="rId127" Type="http://schemas.openxmlformats.org/officeDocument/2006/relationships/hyperlink" Target="https://odysia-cruise-uk.client.prod.eu-west.dreamlake.io/cruise-lines/holland-america-line/noordam/cruises" TargetMode="External"/><Relationship Id="rId313" Type="http://schemas.openxmlformats.org/officeDocument/2006/relationships/hyperlink" Target="https://odysia-cruise-uk.client.prod.eu-west.dreamlake.io/cruise-lines/regent-seven-seas-cruises/seven-seas-voyager" TargetMode="External"/><Relationship Id="rId10" Type="http://schemas.openxmlformats.org/officeDocument/2006/relationships/hyperlink" Target="https://odysia-cruise-uk.client.prod.eu-west.dreamlake.io/cruise-deals/cruises-from-liverpool" TargetMode="External"/><Relationship Id="rId31" Type="http://schemas.openxmlformats.org/officeDocument/2006/relationships/hyperlink" Target="https://odysia-cruise-uk.client.prod.eu-west.dreamlake.io/cruise-lines/azamara/azamara-journey" TargetMode="External"/><Relationship Id="rId52" Type="http://schemas.openxmlformats.org/officeDocument/2006/relationships/hyperlink" Target="https://odysia-cruise-uk.client.prod.eu-west.dreamlake.io/cruise-lines/celebrity-cruises/celebrity-equinox" TargetMode="External"/><Relationship Id="rId73" Type="http://schemas.openxmlformats.org/officeDocument/2006/relationships/hyperlink" Target="https://odysia-cruise-uk.client.prod.eu-west.dreamlake.io/cruise-lines/costa-cruises/costa-deliziosa/cruises" TargetMode="External"/><Relationship Id="rId94" Type="http://schemas.openxmlformats.org/officeDocument/2006/relationships/hyperlink" Target="https://odysia-cruise-uk.client.prod.eu-west.dreamlake.io/cruise-lines/cunard/queen-anne/cruises" TargetMode="External"/><Relationship Id="rId148" Type="http://schemas.openxmlformats.org/officeDocument/2006/relationships/hyperlink" Target="https://odysia-cruise-uk.client.prod.eu-west.dreamlake.io/cruise-lines/msc-cruises/msc-euribia" TargetMode="External"/><Relationship Id="rId169" Type="http://schemas.openxmlformats.org/officeDocument/2006/relationships/hyperlink" Target="https://odysia-cruise-uk.client.prod.eu-west.dreamlake.io/cruise-lines/msc-cruises/msc-preziosa/cruises" TargetMode="External"/><Relationship Id="rId334" Type="http://schemas.openxmlformats.org/officeDocument/2006/relationships/hyperlink" Target="https://odysia-cruise-uk.client.prod.eu-west.dreamlake.io/cruise-lines/royal-caribbean/harmony-of-the-seas/cruises" TargetMode="External"/><Relationship Id="rId355" Type="http://schemas.openxmlformats.org/officeDocument/2006/relationships/hyperlink" Target="https://odysia-cruise-uk.client.prod.eu-west.dreamlake.io/cruise-lines/royal-caribbean/quantum-of-the-seas" TargetMode="External"/><Relationship Id="rId376" Type="http://schemas.openxmlformats.org/officeDocument/2006/relationships/hyperlink" Target="https://odysia-cruise-uk.client.prod.eu-west.dreamlake.io/cruise-lines/seabourn" TargetMode="External"/><Relationship Id="rId397" Type="http://schemas.openxmlformats.org/officeDocument/2006/relationships/hyperlink" Target="https://odysia-cruise-uk.client.prod.eu-west.dreamlake.io/cruise-lines/virgin-voyages/scarlet-lady/cruises" TargetMode="External"/><Relationship Id="rId4" Type="http://schemas.openxmlformats.org/officeDocument/2006/relationships/hyperlink" Target="https://odysia-cruise-uk.client.prod.eu-west.dreamlake.io/cruise-deals" TargetMode="External"/><Relationship Id="rId180" Type="http://schemas.openxmlformats.org/officeDocument/2006/relationships/hyperlink" Target="https://odysia-cruise-uk.client.prod.eu-west.dreamlake.io/cruise-lines/msc-cruises/msc-splendida" TargetMode="External"/><Relationship Id="rId215" Type="http://schemas.openxmlformats.org/officeDocument/2006/relationships/hyperlink" Target="https://odysia-cruise-uk.client.prod.eu-west.dreamlake.io/cruise-lines/norwegian-cruise-line/norwegian-luna/cruises" TargetMode="External"/><Relationship Id="rId236" Type="http://schemas.openxmlformats.org/officeDocument/2006/relationships/hyperlink" Target="https://odysia-cruise-uk.client.prod.eu-west.dreamlake.io/cruise-lines/oceania-cruises/oceania-insignia" TargetMode="External"/><Relationship Id="rId257" Type="http://schemas.openxmlformats.org/officeDocument/2006/relationships/hyperlink" Target="https://odysia-cruise-uk.client.prod.eu-west.dreamlake.io/cruise-lines/po-cruises/azura" TargetMode="External"/><Relationship Id="rId278" Type="http://schemas.openxmlformats.org/officeDocument/2006/relationships/hyperlink" Target="https://odysia-cruise-uk.client.prod.eu-west.dreamlake.io/cruise-lines/princess-cruises/emerald-princess" TargetMode="External"/><Relationship Id="rId401" Type="http://schemas.openxmlformats.org/officeDocument/2006/relationships/hyperlink" Target="https://odysia-cruise-uk.client.prod.eu-west.dreamlake.io/destinations" TargetMode="External"/><Relationship Id="rId422" Type="http://schemas.openxmlformats.org/officeDocument/2006/relationships/hyperlink" Target="https://odysia-cruise-uk.client.prod.eu-west.dreamlake.io/destinations/north-america/cruises" TargetMode="External"/><Relationship Id="rId303" Type="http://schemas.openxmlformats.org/officeDocument/2006/relationships/hyperlink" Target="https://odysia-cruise-uk.client.prod.eu-west.dreamlake.io/cruise-lines/regent-seven-seas-cruises/cruises" TargetMode="External"/><Relationship Id="rId42" Type="http://schemas.openxmlformats.org/officeDocument/2006/relationships/hyperlink" Target="https://odysia-cruise-uk.client.prod.eu-west.dreamlake.io/cruise-lines/celebrity-cruises/celebrity-ascent" TargetMode="External"/><Relationship Id="rId84" Type="http://schemas.openxmlformats.org/officeDocument/2006/relationships/hyperlink" Target="https://odysia-cruise-uk.client.prod.eu-west.dreamlake.io/cruise-lines/costa-cruises/costa-serena" TargetMode="External"/><Relationship Id="rId138" Type="http://schemas.openxmlformats.org/officeDocument/2006/relationships/hyperlink" Target="https://odysia-cruise-uk.client.prod.eu-west.dreamlake.io/cruise-lines/holland-america-line/zuiderdam" TargetMode="External"/><Relationship Id="rId345" Type="http://schemas.openxmlformats.org/officeDocument/2006/relationships/hyperlink" Target="https://odysia-cruise-uk.client.prod.eu-west.dreamlake.io/cruise-lines/royal-caribbean/mariner-of-the-seas" TargetMode="External"/><Relationship Id="rId387" Type="http://schemas.openxmlformats.org/officeDocument/2006/relationships/hyperlink" Target="https://odysia-cruise-uk.client.prod.eu-west.dreamlake.io/cruise-lines/seabourn/seabourn-sojourn/cruises" TargetMode="External"/><Relationship Id="rId191" Type="http://schemas.openxmlformats.org/officeDocument/2006/relationships/hyperlink" Target="https://odysia-cruise-uk.client.prod.eu-west.dreamlake.io/cruise-lines/norwegian-cruise-line/norwegian-aqua/cruises" TargetMode="External"/><Relationship Id="rId205" Type="http://schemas.openxmlformats.org/officeDocument/2006/relationships/hyperlink" Target="https://odysia-cruise-uk.client.prod.eu-west.dreamlake.io/cruise-lines/norwegian-cruise-line/norwegian-gem/cruises" TargetMode="External"/><Relationship Id="rId247" Type="http://schemas.openxmlformats.org/officeDocument/2006/relationships/hyperlink" Target="https://odysia-cruise-uk.client.prod.eu-west.dreamlake.io/cruise-lines/oceania-cruises/oceania-sirena/cruises" TargetMode="External"/><Relationship Id="rId412" Type="http://schemas.openxmlformats.org/officeDocument/2006/relationships/hyperlink" Target="https://odysia-cruise-uk.client.prod.eu-west.dreamlake.io/destinations/caribbean/cruises" TargetMode="External"/><Relationship Id="rId107" Type="http://schemas.openxmlformats.org/officeDocument/2006/relationships/hyperlink" Target="https://odysia-cruise-uk.client.prod.eu-west.dreamlake.io/cruise-lines/explora-journeys/explora-iii" TargetMode="External"/><Relationship Id="rId289" Type="http://schemas.openxmlformats.org/officeDocument/2006/relationships/hyperlink" Target="https://odysia-cruise-uk.client.prod.eu-west.dreamlake.io/cruise-lines/princess-cruises/regal-princess/cruises" TargetMode="External"/><Relationship Id="rId11" Type="http://schemas.openxmlformats.org/officeDocument/2006/relationships/hyperlink" Target="https://odysia-cruise-uk.client.prod.eu-west.dreamlake.io/cruise-deals/cruises-from-newcastle" TargetMode="External"/><Relationship Id="rId53" Type="http://schemas.openxmlformats.org/officeDocument/2006/relationships/hyperlink" Target="https://odysia-cruise-uk.client.prod.eu-west.dreamlake.io/cruise-lines/celebrity-cruises/celebrity-equinox/cruises" TargetMode="External"/><Relationship Id="rId149" Type="http://schemas.openxmlformats.org/officeDocument/2006/relationships/hyperlink" Target="https://odysia-cruise-uk.client.prod.eu-west.dreamlake.io/cruise-lines/msc-cruises/msc-euribia/cruises" TargetMode="External"/><Relationship Id="rId314" Type="http://schemas.openxmlformats.org/officeDocument/2006/relationships/hyperlink" Target="https://odysia-cruise-uk.client.prod.eu-west.dreamlake.io/cruise-lines/regent-seven-seas-cruises/seven-seas-voyager/cruises" TargetMode="External"/><Relationship Id="rId356" Type="http://schemas.openxmlformats.org/officeDocument/2006/relationships/hyperlink" Target="https://odysia-cruise-uk.client.prod.eu-west.dreamlake.io/cruise-lines/royal-caribbean/quantum-of-the-seas/cruises" TargetMode="External"/><Relationship Id="rId398" Type="http://schemas.openxmlformats.org/officeDocument/2006/relationships/hyperlink" Target="https://odysia-cruise-uk.client.prod.eu-west.dreamlake.io/cruise-lines/virgin-voyages/valiant-lady" TargetMode="External"/><Relationship Id="rId95" Type="http://schemas.openxmlformats.org/officeDocument/2006/relationships/hyperlink" Target="https://odysia-cruise-uk.client.prod.eu-west.dreamlake.io/cruise-lines/cunard/queen-elizabeth" TargetMode="External"/><Relationship Id="rId160" Type="http://schemas.openxmlformats.org/officeDocument/2006/relationships/hyperlink" Target="https://odysia-cruise-uk.client.prod.eu-west.dreamlake.io/cruise-lines/msc-cruises/msc-musica" TargetMode="External"/><Relationship Id="rId216" Type="http://schemas.openxmlformats.org/officeDocument/2006/relationships/hyperlink" Target="https://odysia-cruise-uk.client.prod.eu-west.dreamlake.io/cruise-lines/norwegian-cruise-line/norwegian-pearl" TargetMode="External"/><Relationship Id="rId423" Type="http://schemas.openxmlformats.org/officeDocument/2006/relationships/hyperlink" Target="https://odysia-cruise-uk.client.prod.eu-west.dreamlake.io/destinations/northern-europe" TargetMode="External"/><Relationship Id="rId258" Type="http://schemas.openxmlformats.org/officeDocument/2006/relationships/hyperlink" Target="https://odysia-cruise-uk.client.prod.eu-west.dreamlake.io/cruise-lines/po-cruises/azura/cruises" TargetMode="External"/><Relationship Id="rId22" Type="http://schemas.openxmlformats.org/officeDocument/2006/relationships/hyperlink" Target="https://odysia-cruise-uk.client.prod.eu-west.dreamlake.io/cruise-lines/ambassador-cruise-line" TargetMode="External"/><Relationship Id="rId64" Type="http://schemas.openxmlformats.org/officeDocument/2006/relationships/hyperlink" Target="https://odysia-cruise-uk.client.prod.eu-west.dreamlake.io/cruise-lines/celebrity-cruises/celebrity-solstice" TargetMode="External"/><Relationship Id="rId118" Type="http://schemas.openxmlformats.org/officeDocument/2006/relationships/hyperlink" Target="https://odysia-cruise-uk.client.prod.eu-west.dreamlake.io/cruise-lines/holland-america-line/eurodam" TargetMode="External"/><Relationship Id="rId325" Type="http://schemas.openxmlformats.org/officeDocument/2006/relationships/hyperlink" Target="https://odysia-cruise-uk.client.prod.eu-west.dreamlake.io/cruise-lines/royal-caribbean/enchantment-of-the-seas" TargetMode="External"/><Relationship Id="rId367" Type="http://schemas.openxmlformats.org/officeDocument/2006/relationships/hyperlink" Target="https://odysia-cruise-uk.client.prod.eu-west.dreamlake.io/cruise-lines/royal-caribbean/symphony-of-the-seas" TargetMode="External"/><Relationship Id="rId171" Type="http://schemas.openxmlformats.org/officeDocument/2006/relationships/hyperlink" Target="https://odysia-cruise-uk.client.prod.eu-west.dreamlake.io/cruise-lines/msc-cruises/msc-seascape/cruises" TargetMode="External"/><Relationship Id="rId227" Type="http://schemas.openxmlformats.org/officeDocument/2006/relationships/hyperlink" Target="https://odysia-cruise-uk.client.prod.eu-west.dreamlake.io/cruise-lines/norwegian-cruise-line/norwegian-sun/cruises" TargetMode="External"/><Relationship Id="rId269" Type="http://schemas.openxmlformats.org/officeDocument/2006/relationships/hyperlink" Target="https://odysia-cruise-uk.client.prod.eu-west.dreamlake.io/cruise-lines/princess-cruises/coral-princess" TargetMode="External"/><Relationship Id="rId434" Type="http://schemas.openxmlformats.org/officeDocument/2006/relationships/hyperlink" Target="https://odysia-cruise-uk.client.prod.eu-west.dreamlake.io/destinations/world/cruises" TargetMode="External"/><Relationship Id="rId33" Type="http://schemas.openxmlformats.org/officeDocument/2006/relationships/hyperlink" Target="https://odysia-cruise-uk.client.prod.eu-west.dreamlake.io/cruise-lines/azamara/azamara-onward" TargetMode="External"/><Relationship Id="rId129" Type="http://schemas.openxmlformats.org/officeDocument/2006/relationships/hyperlink" Target="https://odysia-cruise-uk.client.prod.eu-west.dreamlake.io/cruise-lines/holland-america-line/oosterdam/cruises" TargetMode="External"/><Relationship Id="rId280" Type="http://schemas.openxmlformats.org/officeDocument/2006/relationships/hyperlink" Target="https://odysia-cruise-uk.client.prod.eu-west.dreamlake.io/cruise-lines/princess-cruises/enchanted-princess" TargetMode="External"/><Relationship Id="rId336" Type="http://schemas.openxmlformats.org/officeDocument/2006/relationships/hyperlink" Target="https://odysia-cruise-uk.client.prod.eu-west.dreamlake.io/cruise-lines/royal-caribbean/icon-of-the-seas/cruises" TargetMode="External"/><Relationship Id="rId75" Type="http://schemas.openxmlformats.org/officeDocument/2006/relationships/hyperlink" Target="https://odysia-cruise-uk.client.prod.eu-west.dreamlake.io/cruise-lines/costa-cruises/costa-diadema/cruises" TargetMode="External"/><Relationship Id="rId140" Type="http://schemas.openxmlformats.org/officeDocument/2006/relationships/hyperlink" Target="https://odysia-cruise-uk.client.prod.eu-west.dreamlake.io/cruise-lines/msc-cruises" TargetMode="External"/><Relationship Id="rId182" Type="http://schemas.openxmlformats.org/officeDocument/2006/relationships/hyperlink" Target="https://odysia-cruise-uk.client.prod.eu-west.dreamlake.io/cruise-lines/msc-cruises/msc-virtuosa" TargetMode="External"/><Relationship Id="rId378" Type="http://schemas.openxmlformats.org/officeDocument/2006/relationships/hyperlink" Target="https://odysia-cruise-uk.client.prod.eu-west.dreamlake.io/cruise-lines/seabourn/seabourn-encore" TargetMode="External"/><Relationship Id="rId403" Type="http://schemas.openxmlformats.org/officeDocument/2006/relationships/hyperlink" Target="https://odysia-cruise-uk.client.prod.eu-west.dreamlake.io/destinations/africa/cruises" TargetMode="External"/><Relationship Id="rId6" Type="http://schemas.openxmlformats.org/officeDocument/2006/relationships/hyperlink" Target="https://odysia-cruise-uk.client.prod.eu-west.dreamlake.io/cruise-deals/2026" TargetMode="External"/><Relationship Id="rId238" Type="http://schemas.openxmlformats.org/officeDocument/2006/relationships/hyperlink" Target="https://odysia-cruise-uk.client.prod.eu-west.dreamlake.io/cruise-lines/oceania-cruises/oceania-marina" TargetMode="External"/><Relationship Id="rId291" Type="http://schemas.openxmlformats.org/officeDocument/2006/relationships/hyperlink" Target="https://odysia-cruise-uk.client.prod.eu-west.dreamlake.io/cruise-lines/princess-cruises/royal-princess/cruises" TargetMode="External"/><Relationship Id="rId305" Type="http://schemas.openxmlformats.org/officeDocument/2006/relationships/hyperlink" Target="https://odysia-cruise-uk.client.prod.eu-west.dreamlake.io/cruise-lines/regent-seven-seas-cruises/seven-seas-explorer/cruises" TargetMode="External"/><Relationship Id="rId347" Type="http://schemas.openxmlformats.org/officeDocument/2006/relationships/hyperlink" Target="https://odysia-cruise-uk.client.prod.eu-west.dreamlake.io/cruise-lines/royal-caribbean/navigator-of-the-seas" TargetMode="External"/><Relationship Id="rId44" Type="http://schemas.openxmlformats.org/officeDocument/2006/relationships/hyperlink" Target="https://odysia-cruise-uk.client.prod.eu-west.dreamlake.io/cruise-lines/celebrity-cruises/celebrity-beyond" TargetMode="External"/><Relationship Id="rId86" Type="http://schemas.openxmlformats.org/officeDocument/2006/relationships/hyperlink" Target="https://odysia-cruise-uk.client.prod.eu-west.dreamlake.io/cruise-lines/costa-cruises/costa-smeralda" TargetMode="External"/><Relationship Id="rId151" Type="http://schemas.openxmlformats.org/officeDocument/2006/relationships/hyperlink" Target="https://odysia-cruise-uk.client.prod.eu-west.dreamlake.io/cruise-lines/msc-cruises/msc-fantasia/cruises" TargetMode="External"/><Relationship Id="rId389" Type="http://schemas.openxmlformats.org/officeDocument/2006/relationships/hyperlink" Target="https://odysia-cruise-uk.client.prod.eu-west.dreamlake.io/cruise-lines/seabourn/seabourn-venture/cruises" TargetMode="External"/><Relationship Id="rId193" Type="http://schemas.openxmlformats.org/officeDocument/2006/relationships/hyperlink" Target="https://odysia-cruise-uk.client.prod.eu-west.dreamlake.io/cruise-lines/norwegian-cruise-line/norwegian-bliss/cruises" TargetMode="External"/><Relationship Id="rId207" Type="http://schemas.openxmlformats.org/officeDocument/2006/relationships/hyperlink" Target="https://odysia-cruise-uk.client.prod.eu-west.dreamlake.io/cruise-lines/norwegian-cruise-line/norwegian-getaway/cruises" TargetMode="External"/><Relationship Id="rId249" Type="http://schemas.openxmlformats.org/officeDocument/2006/relationships/hyperlink" Target="https://odysia-cruise-uk.client.prod.eu-west.dreamlake.io/cruise-lines/oceania-cruises/oceania-vista/cruises" TargetMode="External"/><Relationship Id="rId414" Type="http://schemas.openxmlformats.org/officeDocument/2006/relationships/hyperlink" Target="https://odysia-cruise-uk.client.prod.eu-west.dreamlake.io/destinations/central-south-america/cruises" TargetMode="External"/><Relationship Id="rId13" Type="http://schemas.openxmlformats.org/officeDocument/2006/relationships/hyperlink" Target="https://odysia-cruise-uk.client.prod.eu-west.dreamlake.io/cruise-deals/cruises-from-scotland" TargetMode="External"/><Relationship Id="rId109" Type="http://schemas.openxmlformats.org/officeDocument/2006/relationships/hyperlink" Target="https://odysia-cruise-uk.client.prod.eu-west.dreamlake.io/cruise-lines/fred-olsen-cruises" TargetMode="External"/><Relationship Id="rId260" Type="http://schemas.openxmlformats.org/officeDocument/2006/relationships/hyperlink" Target="https://odysia-cruise-uk.client.prod.eu-west.dreamlake.io/cruise-lines/po-cruises/britannia/cruises" TargetMode="External"/><Relationship Id="rId316" Type="http://schemas.openxmlformats.org/officeDocument/2006/relationships/hyperlink" Target="https://odysia-cruise-uk.client.prod.eu-west.dreamlake.io/cruise-lines/royal-caribbean/adventure-of-the-seas" TargetMode="External"/><Relationship Id="rId55" Type="http://schemas.openxmlformats.org/officeDocument/2006/relationships/hyperlink" Target="https://odysia-cruise-uk.client.prod.eu-west.dreamlake.io/cruise-lines/celebrity-cruises/celebrity-flora/cruises" TargetMode="External"/><Relationship Id="rId97" Type="http://schemas.openxmlformats.org/officeDocument/2006/relationships/hyperlink" Target="https://odysia-cruise-uk.client.prod.eu-west.dreamlake.io/cruise-lines/cunard/queen-mary-2" TargetMode="External"/><Relationship Id="rId120" Type="http://schemas.openxmlformats.org/officeDocument/2006/relationships/hyperlink" Target="https://odysia-cruise-uk.client.prod.eu-west.dreamlake.io/cruise-lines/holland-america-line/koningsdam" TargetMode="External"/><Relationship Id="rId358" Type="http://schemas.openxmlformats.org/officeDocument/2006/relationships/hyperlink" Target="https://odysia-cruise-uk.client.prod.eu-west.dreamlake.io/cruise-lines/royal-caribbean/radiance-of-the-seas/cruises" TargetMode="External"/><Relationship Id="rId162" Type="http://schemas.openxmlformats.org/officeDocument/2006/relationships/hyperlink" Target="https://odysia-cruise-uk.client.prod.eu-west.dreamlake.io/cruise-lines/msc-cruises/msc-opera" TargetMode="External"/><Relationship Id="rId218" Type="http://schemas.openxmlformats.org/officeDocument/2006/relationships/hyperlink" Target="https://odysia-cruise-uk.client.prod.eu-west.dreamlake.io/cruise-lines/norwegian-cruise-line/norwegian-prima" TargetMode="External"/><Relationship Id="rId425" Type="http://schemas.openxmlformats.org/officeDocument/2006/relationships/hyperlink" Target="https://odysia-cruise-uk.client.prod.eu-west.dreamlake.io/destinations/norway-norwegian-fjords" TargetMode="External"/><Relationship Id="rId271" Type="http://schemas.openxmlformats.org/officeDocument/2006/relationships/hyperlink" Target="https://odysia-cruise-uk.client.prod.eu-west.dreamlake.io/cruise-lines/princess-cruises/crown-princess" TargetMode="External"/><Relationship Id="rId24" Type="http://schemas.openxmlformats.org/officeDocument/2006/relationships/hyperlink" Target="https://odysia-cruise-uk.client.prod.eu-west.dreamlake.io/cruise-lines/ambassador-cruise-line/ambience/cruises" TargetMode="External"/><Relationship Id="rId66" Type="http://schemas.openxmlformats.org/officeDocument/2006/relationships/hyperlink" Target="https://odysia-cruise-uk.client.prod.eu-west.dreamlake.io/cruise-lines/celebrity-cruises/celebrity-summit" TargetMode="External"/><Relationship Id="rId131" Type="http://schemas.openxmlformats.org/officeDocument/2006/relationships/hyperlink" Target="https://odysia-cruise-uk.client.prod.eu-west.dreamlake.io/cruise-lines/holland-america-line/rotterdam/cruises" TargetMode="External"/><Relationship Id="rId327" Type="http://schemas.openxmlformats.org/officeDocument/2006/relationships/hyperlink" Target="https://odysia-cruise-uk.client.prod.eu-west.dreamlake.io/cruise-lines/royal-caribbean/explorer-of-the-seas" TargetMode="External"/><Relationship Id="rId369" Type="http://schemas.openxmlformats.org/officeDocument/2006/relationships/hyperlink" Target="https://odysia-cruise-uk.client.prod.eu-west.dreamlake.io/cruise-lines/royal-caribbean/utopia-of-the-seas" TargetMode="External"/><Relationship Id="rId173" Type="http://schemas.openxmlformats.org/officeDocument/2006/relationships/hyperlink" Target="https://odysia-cruise-uk.client.prod.eu-west.dreamlake.io/cruise-lines/msc-cruises/msc-seashore/cruises" TargetMode="External"/><Relationship Id="rId229" Type="http://schemas.openxmlformats.org/officeDocument/2006/relationships/hyperlink" Target="https://odysia-cruise-uk.client.prod.eu-west.dreamlake.io/cruise-lines/norwegian-cruise-line/norwegian-viva/cruises" TargetMode="External"/><Relationship Id="rId380" Type="http://schemas.openxmlformats.org/officeDocument/2006/relationships/hyperlink" Target="https://odysia-cruise-uk.client.prod.eu-west.dreamlake.io/cruise-lines/seabourn/seabourn-ovation" TargetMode="External"/><Relationship Id="rId240" Type="http://schemas.openxmlformats.org/officeDocument/2006/relationships/hyperlink" Target="https://odysia-cruise-uk.client.prod.eu-west.dreamlake.io/cruise-lines/oceania-cruises/oceania-nautica" TargetMode="External"/><Relationship Id="rId35" Type="http://schemas.openxmlformats.org/officeDocument/2006/relationships/hyperlink" Target="https://odysia-cruise-uk.client.prod.eu-west.dreamlake.io/cruise-lines/azamara/azamara-pursuit/cruises" TargetMode="External"/><Relationship Id="rId77" Type="http://schemas.openxmlformats.org/officeDocument/2006/relationships/hyperlink" Target="https://odysia-cruise-uk.client.prod.eu-west.dreamlake.io/cruise-lines/costa-cruises/costa-fascinosa/cruises" TargetMode="External"/><Relationship Id="rId100" Type="http://schemas.openxmlformats.org/officeDocument/2006/relationships/hyperlink" Target="https://odysia-cruise-uk.client.prod.eu-west.dreamlake.io/cruise-lines/cunard/queen-victoria/cruises" TargetMode="External"/><Relationship Id="rId282" Type="http://schemas.openxmlformats.org/officeDocument/2006/relationships/hyperlink" Target="https://odysia-cruise-uk.client.prod.eu-west.dreamlake.io/cruise-lines/princess-cruises/grand-princess" TargetMode="External"/><Relationship Id="rId338" Type="http://schemas.openxmlformats.org/officeDocument/2006/relationships/hyperlink" Target="https://odysia-cruise-uk.client.prod.eu-west.dreamlake.io/cruise-lines/royal-caribbean/independence-of-the-seas/cruises" TargetMode="External"/><Relationship Id="rId8" Type="http://schemas.openxmlformats.org/officeDocument/2006/relationships/hyperlink" Target="https://odysia-cruise-uk.client.prod.eu-west.dreamlake.io/cruise-deals/all-inclusive-cruise-deals" TargetMode="External"/><Relationship Id="rId142" Type="http://schemas.openxmlformats.org/officeDocument/2006/relationships/hyperlink" Target="https://odysia-cruise-uk.client.prod.eu-west.dreamlake.io/cruise-lines/msc-cruises/msc-armonia" TargetMode="External"/><Relationship Id="rId184" Type="http://schemas.openxmlformats.org/officeDocument/2006/relationships/hyperlink" Target="https://odysia-cruise-uk.client.prod.eu-west.dreamlake.io/cruise-lines/msc-cruises/msc-world-america" TargetMode="External"/><Relationship Id="rId391" Type="http://schemas.openxmlformats.org/officeDocument/2006/relationships/hyperlink" Target="https://odysia-cruise-uk.client.prod.eu-west.dreamlake.io/cruise-lines/virgin-voyages/brilliant-lady" TargetMode="External"/><Relationship Id="rId405" Type="http://schemas.openxmlformats.org/officeDocument/2006/relationships/hyperlink" Target="https://odysia-cruise-uk.client.prod.eu-west.dreamlake.io/destinations/australasia/cruises" TargetMode="External"/><Relationship Id="rId251" Type="http://schemas.openxmlformats.org/officeDocument/2006/relationships/hyperlink" Target="https://odysia-cruise-uk.client.prod.eu-west.dreamlake.io/cruise-lines/po-cruises/arcadia" TargetMode="External"/><Relationship Id="rId46" Type="http://schemas.openxmlformats.org/officeDocument/2006/relationships/hyperlink" Target="https://odysia-cruise-uk.client.prod.eu-west.dreamlake.io/cruise-lines/celebrity-cruises/celebrity-constellation" TargetMode="External"/><Relationship Id="rId293" Type="http://schemas.openxmlformats.org/officeDocument/2006/relationships/hyperlink" Target="https://odysia-cruise-uk.client.prod.eu-west.dreamlake.io/cruise-lines/princess-cruises/ruby-princess/cruises" TargetMode="External"/><Relationship Id="rId307" Type="http://schemas.openxmlformats.org/officeDocument/2006/relationships/hyperlink" Target="https://odysia-cruise-uk.client.prod.eu-west.dreamlake.io/cruise-lines/regent-seven-seas-cruises/seven-seas-grandeur/cruises" TargetMode="External"/><Relationship Id="rId349" Type="http://schemas.openxmlformats.org/officeDocument/2006/relationships/hyperlink" Target="https://odysia-cruise-uk.client.prod.eu-west.dreamlake.io/cruise-lines/royal-caribbean/oasis-of-the-seas" TargetMode="External"/><Relationship Id="rId88" Type="http://schemas.openxmlformats.org/officeDocument/2006/relationships/hyperlink" Target="https://odysia-cruise-uk.client.prod.eu-west.dreamlake.io/cruise-lines/costa-cruises/costa-toscana" TargetMode="External"/><Relationship Id="rId111" Type="http://schemas.openxmlformats.org/officeDocument/2006/relationships/hyperlink" Target="https://odysia-cruise-uk.client.prod.eu-west.dreamlake.io/cruise-lines/fred-olsen-cruises/balmoral/cruises" TargetMode="External"/><Relationship Id="rId153" Type="http://schemas.openxmlformats.org/officeDocument/2006/relationships/hyperlink" Target="https://odysia-cruise-uk.client.prod.eu-west.dreamlake.io/cruise-lines/msc-cruises/msc-grandiosa/cruises" TargetMode="External"/><Relationship Id="rId195" Type="http://schemas.openxmlformats.org/officeDocument/2006/relationships/hyperlink" Target="https://odysia-cruise-uk.client.prod.eu-west.dreamlake.io/cruise-lines/norwegian-cruise-line/norwegian-breakaway/cruises" TargetMode="External"/><Relationship Id="rId209" Type="http://schemas.openxmlformats.org/officeDocument/2006/relationships/hyperlink" Target="https://odysia-cruise-uk.client.prod.eu-west.dreamlake.io/cruise-lines/norwegian-cruise-line/norwegian-jade/cruises" TargetMode="External"/><Relationship Id="rId360" Type="http://schemas.openxmlformats.org/officeDocument/2006/relationships/hyperlink" Target="https://odysia-cruise-uk.client.prod.eu-west.dreamlake.io/cruise-lines/royal-caribbean/rhapsody-of-the-seas/cruises" TargetMode="External"/><Relationship Id="rId416" Type="http://schemas.openxmlformats.org/officeDocument/2006/relationships/hyperlink" Target="https://odysia-cruise-uk.client.prod.eu-west.dreamlake.io/destinations/far-east/cruises" TargetMode="External"/><Relationship Id="rId220" Type="http://schemas.openxmlformats.org/officeDocument/2006/relationships/hyperlink" Target="https://odysia-cruise-uk.client.prod.eu-west.dreamlake.io/cruise-lines/norwegian-cruise-line/norwegian-sky" TargetMode="External"/><Relationship Id="rId15" Type="http://schemas.openxmlformats.org/officeDocument/2006/relationships/hyperlink" Target="https://odysia-cruise-uk.client.prod.eu-west.dreamlake.io/cruise-deals/cruises-from-the-uk" TargetMode="External"/><Relationship Id="rId57" Type="http://schemas.openxmlformats.org/officeDocument/2006/relationships/hyperlink" Target="https://odysia-cruise-uk.client.prod.eu-west.dreamlake.io/cruise-lines/celebrity-cruises/celebrity-infinity/cruises" TargetMode="External"/><Relationship Id="rId262" Type="http://schemas.openxmlformats.org/officeDocument/2006/relationships/hyperlink" Target="https://odysia-cruise-uk.client.prod.eu-west.dreamlake.io/cruise-lines/po-cruises/iona" TargetMode="External"/><Relationship Id="rId318" Type="http://schemas.openxmlformats.org/officeDocument/2006/relationships/hyperlink" Target="https://odysia-cruise-uk.client.prod.eu-west.dreamlake.io/cruise-lines/royal-caribbean/allure-of-the-seas" TargetMode="External"/><Relationship Id="rId99" Type="http://schemas.openxmlformats.org/officeDocument/2006/relationships/hyperlink" Target="https://odysia-cruise-uk.client.prod.eu-west.dreamlake.io/cruise-lines/cunard/queen-victoria" TargetMode="External"/><Relationship Id="rId122" Type="http://schemas.openxmlformats.org/officeDocument/2006/relationships/hyperlink" Target="https://odysia-cruise-uk.client.prod.eu-west.dreamlake.io/cruise-lines/holland-america-line/nieuw-amsterdam" TargetMode="External"/><Relationship Id="rId164" Type="http://schemas.openxmlformats.org/officeDocument/2006/relationships/hyperlink" Target="https://odysia-cruise-uk.client.prod.eu-west.dreamlake.io/cruise-lines/msc-cruises/msc-orchestra" TargetMode="External"/><Relationship Id="rId371" Type="http://schemas.openxmlformats.org/officeDocument/2006/relationships/hyperlink" Target="https://odysia-cruise-uk.client.prod.eu-west.dreamlake.io/cruise-lines/royal-caribbean/vision-of-the-seas" TargetMode="External"/><Relationship Id="rId427" Type="http://schemas.openxmlformats.org/officeDocument/2006/relationships/hyperlink" Target="https://odysia-cruise-uk.client.prod.eu-west.dreamlake.io/destinations/pacific-island-cruises" TargetMode="External"/><Relationship Id="rId26" Type="http://schemas.openxmlformats.org/officeDocument/2006/relationships/hyperlink" Target="https://odysia-cruise-uk.client.prod.eu-west.dreamlake.io/cruise-lines/ambassador-cruise-line/ambition/cruises" TargetMode="External"/><Relationship Id="rId231" Type="http://schemas.openxmlformats.org/officeDocument/2006/relationships/hyperlink" Target="https://odysia-cruise-uk.client.prod.eu-west.dreamlake.io/cruise-lines/norwegian-cruise-line/pride-of-america/cruises" TargetMode="External"/><Relationship Id="rId273" Type="http://schemas.openxmlformats.org/officeDocument/2006/relationships/hyperlink" Target="https://odysia-cruise-uk.client.prod.eu-west.dreamlake.io/cruise-lines/princess-cruises/cruises" TargetMode="External"/><Relationship Id="rId329" Type="http://schemas.openxmlformats.org/officeDocument/2006/relationships/hyperlink" Target="https://odysia-cruise-uk.client.prod.eu-west.dreamlake.io/cruise-lines/royal-caribbean/freedom-of-the-seas" TargetMode="External"/><Relationship Id="rId68" Type="http://schemas.openxmlformats.org/officeDocument/2006/relationships/hyperlink" Target="https://odysia-cruise-uk.client.prod.eu-west.dreamlake.io/cruise-lines/celebrity-cruises/celebrity-xcel" TargetMode="External"/><Relationship Id="rId133" Type="http://schemas.openxmlformats.org/officeDocument/2006/relationships/hyperlink" Target="https://odysia-cruise-uk.client.prod.eu-west.dreamlake.io/cruise-lines/holland-america-line/volendam/cruises" TargetMode="External"/><Relationship Id="rId175" Type="http://schemas.openxmlformats.org/officeDocument/2006/relationships/hyperlink" Target="https://odysia-cruise-uk.client.prod.eu-west.dreamlake.io/cruise-lines/msc-cruises/msc-seaside/cruises" TargetMode="External"/><Relationship Id="rId340" Type="http://schemas.openxmlformats.org/officeDocument/2006/relationships/hyperlink" Target="https://odysia-cruise-uk.client.prod.eu-west.dreamlake.io/cruise-lines/royal-caribbean/jewel-of-the-seas/cruises" TargetMode="External"/><Relationship Id="rId200" Type="http://schemas.openxmlformats.org/officeDocument/2006/relationships/hyperlink" Target="https://odysia-cruise-uk.client.prod.eu-west.dreamlake.io/cruise-lines/norwegian-cruise-line/norwegian-epic" TargetMode="External"/><Relationship Id="rId382" Type="http://schemas.openxmlformats.org/officeDocument/2006/relationships/hyperlink" Target="https://odysia-cruise-uk.client.prod.eu-west.dreamlake.io/cruise-lines/seabourn/seabourn-pursuit" TargetMode="External"/><Relationship Id="rId242" Type="http://schemas.openxmlformats.org/officeDocument/2006/relationships/hyperlink" Target="https://odysia-cruise-uk.client.prod.eu-west.dreamlake.io/cruise-lines/oceania-cruises/oceania-regatta" TargetMode="External"/><Relationship Id="rId284" Type="http://schemas.openxmlformats.org/officeDocument/2006/relationships/hyperlink" Target="https://odysia-cruise-uk.client.prod.eu-west.dreamlake.io/cruise-lines/princess-cruises/island-princess" TargetMode="External"/><Relationship Id="rId37" Type="http://schemas.openxmlformats.org/officeDocument/2006/relationships/hyperlink" Target="https://odysia-cruise-uk.client.prod.eu-west.dreamlake.io/cruise-lines/azamara/azamara-quest/cruises" TargetMode="External"/><Relationship Id="rId79" Type="http://schemas.openxmlformats.org/officeDocument/2006/relationships/hyperlink" Target="https://odysia-cruise-uk.client.prod.eu-west.dreamlake.io/cruise-lines/costa-cruises/costa-favolosa/cruises" TargetMode="External"/><Relationship Id="rId102" Type="http://schemas.openxmlformats.org/officeDocument/2006/relationships/hyperlink" Target="https://odysia-cruise-uk.client.prod.eu-west.dreamlake.io/cruise-lines/explora-journeys/cruises" TargetMode="External"/><Relationship Id="rId144" Type="http://schemas.openxmlformats.org/officeDocument/2006/relationships/hyperlink" Target="https://odysia-cruise-uk.client.prod.eu-west.dreamlake.io/cruise-lines/msc-cruises/msc-bellissima" TargetMode="External"/><Relationship Id="rId90" Type="http://schemas.openxmlformats.org/officeDocument/2006/relationships/hyperlink" Target="https://odysia-cruise-uk.client.prod.eu-west.dreamlake.io/cruise-lines/costa-cruises/cruises" TargetMode="External"/><Relationship Id="rId186" Type="http://schemas.openxmlformats.org/officeDocument/2006/relationships/hyperlink" Target="https://odysia-cruise-uk.client.prod.eu-west.dreamlake.io/cruise-lines/msc-cruises/msc-world-europa" TargetMode="External"/><Relationship Id="rId351" Type="http://schemas.openxmlformats.org/officeDocument/2006/relationships/hyperlink" Target="https://odysia-cruise-uk.client.prod.eu-west.dreamlake.io/cruise-lines/royal-caribbean/odyssey-of-the-seas" TargetMode="External"/><Relationship Id="rId393" Type="http://schemas.openxmlformats.org/officeDocument/2006/relationships/hyperlink" Target="https://odysia-cruise-uk.client.prod.eu-west.dreamlake.io/cruise-lines/virgin-voyages/cruises" TargetMode="External"/><Relationship Id="rId407" Type="http://schemas.openxmlformats.org/officeDocument/2006/relationships/hyperlink" Target="https://odysia-cruise-uk.client.prod.eu-west.dreamlake.io/destinations/british-isles/cruises" TargetMode="External"/><Relationship Id="rId211" Type="http://schemas.openxmlformats.org/officeDocument/2006/relationships/hyperlink" Target="https://odysia-cruise-uk.client.prod.eu-west.dreamlake.io/cruise-lines/norwegian-cruise-line/norwegian-jewel/cruises" TargetMode="External"/><Relationship Id="rId253" Type="http://schemas.openxmlformats.org/officeDocument/2006/relationships/hyperlink" Target="https://odysia-cruise-uk.client.prod.eu-west.dreamlake.io/cruise-lines/po-cruises/arvia" TargetMode="External"/><Relationship Id="rId295" Type="http://schemas.openxmlformats.org/officeDocument/2006/relationships/hyperlink" Target="https://odysia-cruise-uk.client.prod.eu-west.dreamlake.io/cruise-lines/princess-cruises/sapphire-princess/cruises" TargetMode="External"/><Relationship Id="rId309" Type="http://schemas.openxmlformats.org/officeDocument/2006/relationships/hyperlink" Target="https://odysia-cruise-uk.client.prod.eu-west.dreamlake.io/cruise-lines/regent-seven-seas-cruises/seven-seas-mariner/cruises" TargetMode="External"/><Relationship Id="rId48" Type="http://schemas.openxmlformats.org/officeDocument/2006/relationships/hyperlink" Target="https://odysia-cruise-uk.client.prod.eu-west.dreamlake.io/cruise-lines/celebrity-cruises/celebrity-eclipse" TargetMode="External"/><Relationship Id="rId113" Type="http://schemas.openxmlformats.org/officeDocument/2006/relationships/hyperlink" Target="https://odysia-cruise-uk.client.prod.eu-west.dreamlake.io/cruise-lines/fred-olsen-cruises/bolette/cruises" TargetMode="External"/><Relationship Id="rId320" Type="http://schemas.openxmlformats.org/officeDocument/2006/relationships/hyperlink" Target="https://odysia-cruise-uk.client.prod.eu-west.dreamlake.io/cruise-lines/royal-caribbean/anthem-of-the-seas" TargetMode="External"/><Relationship Id="rId155" Type="http://schemas.openxmlformats.org/officeDocument/2006/relationships/hyperlink" Target="https://odysia-cruise-uk.client.prod.eu-west.dreamlake.io/cruise-lines/msc-cruises/msc-lirica/cruises" TargetMode="External"/><Relationship Id="rId197" Type="http://schemas.openxmlformats.org/officeDocument/2006/relationships/hyperlink" Target="https://odysia-cruise-uk.client.prod.eu-west.dreamlake.io/cruise-lines/norwegian-cruise-line/norwegian-dawn/cruises" TargetMode="External"/><Relationship Id="rId362" Type="http://schemas.openxmlformats.org/officeDocument/2006/relationships/hyperlink" Target="https://odysia-cruise-uk.client.prod.eu-west.dreamlake.io/cruise-lines/royal-caribbean/serenade-of-the-seas/cruises" TargetMode="External"/><Relationship Id="rId418" Type="http://schemas.openxmlformats.org/officeDocument/2006/relationships/hyperlink" Target="https://odysia-cruise-uk.client.prod.eu-west.dreamlake.io/destinations/mediterranean/cruises" TargetMode="External"/><Relationship Id="rId222" Type="http://schemas.openxmlformats.org/officeDocument/2006/relationships/hyperlink" Target="https://odysia-cruise-uk.client.prod.eu-west.dreamlake.io/cruise-lines/norwegian-cruise-line/norwegian-spirit" TargetMode="External"/><Relationship Id="rId264" Type="http://schemas.openxmlformats.org/officeDocument/2006/relationships/hyperlink" Target="https://odysia-cruise-uk.client.prod.eu-west.dreamlake.io/cruise-lines/po-cruises/ventura" TargetMode="External"/><Relationship Id="rId17" Type="http://schemas.openxmlformats.org/officeDocument/2006/relationships/hyperlink" Target="https://odysia-cruise-uk.client.prod.eu-west.dreamlake.io/cruise-deals/family-cruise-deals" TargetMode="External"/><Relationship Id="rId59" Type="http://schemas.openxmlformats.org/officeDocument/2006/relationships/hyperlink" Target="https://odysia-cruise-uk.client.prod.eu-west.dreamlake.io/cruise-lines/celebrity-cruises/celebrity-millennium/cruises" TargetMode="External"/><Relationship Id="rId124" Type="http://schemas.openxmlformats.org/officeDocument/2006/relationships/hyperlink" Target="https://odysia-cruise-uk.client.prod.eu-west.dreamlake.io/cruise-lines/holland-america-line/nieuw-statendam" TargetMode="External"/><Relationship Id="rId70" Type="http://schemas.openxmlformats.org/officeDocument/2006/relationships/hyperlink" Target="https://odysia-cruise-uk.client.prod.eu-west.dreamlake.io/cruise-lines/celebrity-cruises/cruises" TargetMode="External"/><Relationship Id="rId166" Type="http://schemas.openxmlformats.org/officeDocument/2006/relationships/hyperlink" Target="https://odysia-cruise-uk.client.prod.eu-west.dreamlake.io/cruise-lines/msc-cruises/msc-poesia" TargetMode="External"/><Relationship Id="rId331" Type="http://schemas.openxmlformats.org/officeDocument/2006/relationships/hyperlink" Target="https://odysia-cruise-uk.client.prod.eu-west.dreamlake.io/cruise-lines/royal-caribbean/grandeur-of-the-seas" TargetMode="External"/><Relationship Id="rId373" Type="http://schemas.openxmlformats.org/officeDocument/2006/relationships/hyperlink" Target="https://odysia-cruise-uk.client.prod.eu-west.dreamlake.io/cruise-lines/royal-caribbean/voyager-of-the-seas" TargetMode="External"/><Relationship Id="rId429" Type="http://schemas.openxmlformats.org/officeDocument/2006/relationships/hyperlink" Target="https://odysia-cruise-uk.client.prod.eu-west.dreamlake.io/destinations/polar-regions/cruises" TargetMode="External"/><Relationship Id="rId1" Type="http://schemas.openxmlformats.org/officeDocument/2006/relationships/hyperlink" Target="https://odysia-cruise-uk.client.prod.eu-west.dreamlake.io/" TargetMode="External"/><Relationship Id="rId233" Type="http://schemas.openxmlformats.org/officeDocument/2006/relationships/hyperlink" Target="https://odysia-cruise-uk.client.prod.eu-west.dreamlake.io/cruise-lines/oceania-cruises/crui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"/>
  <sheetViews>
    <sheetView showGridLines="0" tabSelected="1" workbookViewId="0">
      <selection activeCell="L18" sqref="L18"/>
    </sheetView>
  </sheetViews>
  <sheetFormatPr baseColWidth="10" defaultColWidth="12.6640625" defaultRowHeight="15.75" customHeight="1"/>
  <cols>
    <col min="1" max="1" width="2.6640625" customWidth="1"/>
    <col min="2" max="4" width="40.1640625" customWidth="1"/>
    <col min="5" max="5" width="40.6640625" customWidth="1"/>
    <col min="6" max="10" width="36.1640625" customWidth="1"/>
    <col min="11" max="16" width="38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73.5" customHeight="1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</row>
    <row r="3" spans="1:16" ht="16.5" customHeight="1">
      <c r="A3" s="5"/>
      <c r="B3" s="6"/>
      <c r="C3" s="105"/>
      <c r="D3" s="106"/>
      <c r="E3" s="106"/>
      <c r="F3" s="106"/>
      <c r="G3" s="106"/>
      <c r="H3" s="106"/>
      <c r="I3" s="106"/>
      <c r="J3" s="106"/>
      <c r="K3" s="106"/>
      <c r="L3" s="6"/>
      <c r="M3" s="6"/>
      <c r="N3" s="6"/>
      <c r="O3" s="6"/>
      <c r="P3" s="6"/>
    </row>
    <row r="4" spans="1:16" ht="15">
      <c r="A4" s="7"/>
      <c r="B4" s="107" t="s">
        <v>0</v>
      </c>
      <c r="C4" s="106"/>
      <c r="D4" s="106"/>
      <c r="E4" s="106"/>
      <c r="F4" s="106"/>
      <c r="G4" s="108" t="s">
        <v>1</v>
      </c>
      <c r="H4" s="106"/>
      <c r="I4" s="106"/>
      <c r="J4" s="8" t="s">
        <v>2</v>
      </c>
      <c r="K4" s="109" t="s">
        <v>3</v>
      </c>
      <c r="L4" s="110"/>
      <c r="M4" s="8" t="s">
        <v>66</v>
      </c>
      <c r="N4" s="8" t="s">
        <v>4</v>
      </c>
      <c r="O4" s="8" t="s">
        <v>5</v>
      </c>
      <c r="P4" s="8" t="s">
        <v>6</v>
      </c>
    </row>
    <row r="5" spans="1:16" ht="14">
      <c r="A5" s="9"/>
      <c r="B5" s="10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34" t="s">
        <v>91</v>
      </c>
      <c r="H5" s="10" t="s">
        <v>92</v>
      </c>
      <c r="I5" s="10" t="s">
        <v>93</v>
      </c>
      <c r="J5" s="11" t="s">
        <v>12</v>
      </c>
      <c r="K5" s="15" t="s">
        <v>67</v>
      </c>
      <c r="L5" s="30" t="s">
        <v>68</v>
      </c>
      <c r="M5" s="14" t="s">
        <v>69</v>
      </c>
      <c r="N5" s="10" t="s">
        <v>13</v>
      </c>
      <c r="O5" s="15" t="s">
        <v>70</v>
      </c>
      <c r="P5" s="10" t="s">
        <v>6</v>
      </c>
    </row>
    <row r="6" spans="1:16" ht="14">
      <c r="A6" s="13"/>
      <c r="B6" s="14" t="s">
        <v>14</v>
      </c>
      <c r="C6" s="15" t="s">
        <v>15</v>
      </c>
      <c r="D6" s="15" t="s">
        <v>16</v>
      </c>
      <c r="E6" s="16" t="s">
        <v>17</v>
      </c>
      <c r="F6" s="17" t="s">
        <v>19</v>
      </c>
      <c r="G6" s="34" t="s">
        <v>94</v>
      </c>
      <c r="H6" s="15" t="s">
        <v>20</v>
      </c>
      <c r="I6" s="35" t="s">
        <v>95</v>
      </c>
      <c r="J6" s="18" t="s">
        <v>21</v>
      </c>
      <c r="K6" s="14" t="s">
        <v>71</v>
      </c>
      <c r="L6" s="14" t="s">
        <v>18</v>
      </c>
      <c r="M6" s="31" t="s">
        <v>72</v>
      </c>
      <c r="N6" s="19" t="s">
        <v>22</v>
      </c>
      <c r="O6" s="14" t="s">
        <v>73</v>
      </c>
      <c r="P6" s="13"/>
    </row>
    <row r="7" spans="1:16" ht="14">
      <c r="A7" s="13"/>
      <c r="B7" s="14" t="s">
        <v>23</v>
      </c>
      <c r="C7" s="20" t="s">
        <v>24</v>
      </c>
      <c r="D7" s="14" t="s">
        <v>25</v>
      </c>
      <c r="E7" s="21" t="s">
        <v>26</v>
      </c>
      <c r="F7" s="20" t="s">
        <v>28</v>
      </c>
      <c r="G7" s="9"/>
      <c r="H7" s="14" t="s">
        <v>29</v>
      </c>
      <c r="I7" s="20" t="s">
        <v>96</v>
      </c>
      <c r="J7" s="9" t="s">
        <v>30</v>
      </c>
      <c r="K7" s="14" t="s">
        <v>74</v>
      </c>
      <c r="L7" s="14" t="s">
        <v>75</v>
      </c>
      <c r="M7" s="31" t="s">
        <v>76</v>
      </c>
      <c r="N7" s="19" t="s">
        <v>31</v>
      </c>
      <c r="O7" s="14" t="s">
        <v>77</v>
      </c>
      <c r="P7" s="13"/>
    </row>
    <row r="8" spans="1:16" ht="14">
      <c r="A8" s="9"/>
      <c r="B8" s="14" t="s">
        <v>32</v>
      </c>
      <c r="C8" s="14" t="s">
        <v>33</v>
      </c>
      <c r="D8" s="14" t="s">
        <v>34</v>
      </c>
      <c r="E8" s="22" t="s">
        <v>35</v>
      </c>
      <c r="F8" s="20" t="s">
        <v>37</v>
      </c>
      <c r="G8" s="9"/>
      <c r="H8" s="14" t="s">
        <v>38</v>
      </c>
      <c r="I8" s="20" t="s">
        <v>97</v>
      </c>
      <c r="J8" s="24" t="s">
        <v>39</v>
      </c>
      <c r="K8" s="20" t="s">
        <v>78</v>
      </c>
      <c r="L8" s="20" t="s">
        <v>27</v>
      </c>
      <c r="M8" s="14" t="s">
        <v>79</v>
      </c>
      <c r="N8" s="23" t="s">
        <v>40</v>
      </c>
      <c r="O8" s="14" t="s">
        <v>80</v>
      </c>
      <c r="P8" s="13"/>
    </row>
    <row r="9" spans="1:16" ht="14">
      <c r="A9" s="9"/>
      <c r="B9" s="14" t="s">
        <v>41</v>
      </c>
      <c r="C9" s="22" t="s">
        <v>42</v>
      </c>
      <c r="D9" s="14" t="s">
        <v>43</v>
      </c>
      <c r="E9" s="9" t="s">
        <v>44</v>
      </c>
      <c r="F9" s="20" t="s">
        <v>46</v>
      </c>
      <c r="G9" s="9"/>
      <c r="H9" s="14" t="s">
        <v>47</v>
      </c>
      <c r="I9" s="26" t="s">
        <v>98</v>
      </c>
      <c r="J9" s="9"/>
      <c r="K9" s="20" t="s">
        <v>55</v>
      </c>
      <c r="L9" s="20"/>
      <c r="M9" s="14" t="s">
        <v>81</v>
      </c>
      <c r="N9" s="9"/>
      <c r="O9" s="14" t="s">
        <v>82</v>
      </c>
      <c r="P9" s="9"/>
    </row>
    <row r="10" spans="1:16" ht="14">
      <c r="A10" s="9"/>
      <c r="B10" s="25" t="s">
        <v>49</v>
      </c>
      <c r="C10" s="25" t="s">
        <v>1657</v>
      </c>
      <c r="D10" s="26" t="s">
        <v>50</v>
      </c>
      <c r="E10" s="21" t="s">
        <v>51</v>
      </c>
      <c r="F10" s="20" t="s">
        <v>53</v>
      </c>
      <c r="G10" s="9"/>
      <c r="H10" s="14" t="s">
        <v>54</v>
      </c>
      <c r="I10" s="9"/>
      <c r="J10" s="9"/>
      <c r="K10" s="14" t="s">
        <v>48</v>
      </c>
      <c r="L10" s="14"/>
      <c r="M10" s="14" t="s">
        <v>83</v>
      </c>
      <c r="N10" s="9"/>
      <c r="O10" s="14" t="s">
        <v>84</v>
      </c>
      <c r="P10" s="9"/>
    </row>
    <row r="11" spans="1:16" ht="14">
      <c r="A11" s="9"/>
      <c r="B11" s="13"/>
      <c r="C11" s="9"/>
      <c r="D11" s="9"/>
      <c r="E11" s="21" t="s">
        <v>56</v>
      </c>
      <c r="F11" s="20" t="s">
        <v>58</v>
      </c>
      <c r="G11" s="9"/>
      <c r="H11" s="14" t="s">
        <v>59</v>
      </c>
      <c r="I11" s="9"/>
      <c r="J11" s="9"/>
      <c r="K11" s="25"/>
      <c r="L11" s="32"/>
      <c r="M11" s="14" t="s">
        <v>85</v>
      </c>
      <c r="N11" s="9"/>
      <c r="O11" s="25" t="s">
        <v>86</v>
      </c>
      <c r="P11" s="9"/>
    </row>
    <row r="12" spans="1:16" ht="14">
      <c r="A12" s="9"/>
      <c r="B12" s="13"/>
      <c r="C12" s="9"/>
      <c r="D12" s="9"/>
      <c r="E12" s="27" t="s">
        <v>61</v>
      </c>
      <c r="F12" s="26" t="s">
        <v>63</v>
      </c>
      <c r="G12" s="9"/>
      <c r="H12" s="14" t="s">
        <v>64</v>
      </c>
      <c r="I12" s="9"/>
      <c r="J12" s="9"/>
      <c r="K12" s="9"/>
      <c r="L12" s="9"/>
      <c r="M12" s="14" t="s">
        <v>87</v>
      </c>
      <c r="N12" s="9"/>
      <c r="O12" s="28"/>
      <c r="P12" s="9"/>
    </row>
    <row r="13" spans="1:16" ht="14">
      <c r="A13" s="9"/>
      <c r="B13" s="13"/>
      <c r="C13" s="13"/>
      <c r="D13" s="9"/>
      <c r="E13" s="9"/>
      <c r="F13" s="9"/>
      <c r="G13" s="9"/>
      <c r="H13" s="25" t="s">
        <v>65</v>
      </c>
      <c r="I13" s="9"/>
      <c r="J13" s="9"/>
      <c r="K13" s="9"/>
      <c r="L13" s="9"/>
      <c r="M13" s="14" t="s">
        <v>88</v>
      </c>
      <c r="N13" s="28"/>
      <c r="O13" s="28"/>
      <c r="P13" s="28"/>
    </row>
    <row r="14" spans="1:16" ht="14">
      <c r="A14" s="9"/>
      <c r="B14" s="13"/>
      <c r="C14" s="9"/>
      <c r="D14" s="9"/>
      <c r="E14" s="9"/>
      <c r="F14" s="9"/>
      <c r="G14" s="9"/>
      <c r="H14" s="9"/>
      <c r="I14" s="9"/>
      <c r="J14" s="9"/>
      <c r="K14" s="9"/>
      <c r="L14" s="9"/>
      <c r="M14" s="14" t="s">
        <v>60</v>
      </c>
      <c r="N14" s="9"/>
      <c r="O14" s="9"/>
      <c r="P14" s="9"/>
    </row>
    <row r="15" spans="1:16" ht="1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25" t="s">
        <v>89</v>
      </c>
      <c r="N15" s="9"/>
      <c r="O15" s="9"/>
      <c r="P15" s="9"/>
    </row>
    <row r="16" spans="1:16" ht="1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14">
      <c r="A17" s="9"/>
      <c r="B17" s="29"/>
      <c r="C17" s="2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">
      <c r="A18" s="9"/>
      <c r="B18" s="13"/>
      <c r="C18" s="1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1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5">
      <c r="A29" s="9"/>
      <c r="B29" s="138" t="s">
        <v>90</v>
      </c>
      <c r="C29" s="140"/>
      <c r="D29" s="140"/>
      <c r="E29" s="140"/>
      <c r="F29" s="140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4">
      <c r="A30" s="9"/>
      <c r="B30" s="37" t="s">
        <v>99</v>
      </c>
      <c r="C30" s="29" t="s">
        <v>100</v>
      </c>
      <c r="D30" s="11" t="s">
        <v>66</v>
      </c>
      <c r="E30" s="29" t="s">
        <v>5</v>
      </c>
      <c r="F30" s="37" t="s">
        <v>101</v>
      </c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4">
      <c r="A31" s="9"/>
      <c r="B31" s="20" t="s">
        <v>102</v>
      </c>
      <c r="C31" s="9" t="s">
        <v>3</v>
      </c>
      <c r="D31" s="20" t="s">
        <v>103</v>
      </c>
      <c r="E31" s="9" t="s">
        <v>70</v>
      </c>
      <c r="F31" s="20" t="s">
        <v>104</v>
      </c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4">
      <c r="A32" s="9"/>
      <c r="B32" s="20" t="s">
        <v>16</v>
      </c>
      <c r="C32" s="9" t="s">
        <v>105</v>
      </c>
      <c r="D32" s="20" t="s">
        <v>106</v>
      </c>
      <c r="E32" s="9" t="s">
        <v>107</v>
      </c>
      <c r="F32" s="20" t="s">
        <v>60</v>
      </c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4">
      <c r="A33" s="9"/>
      <c r="B33" s="20" t="s">
        <v>25</v>
      </c>
      <c r="C33" s="9" t="s">
        <v>71</v>
      </c>
      <c r="D33" s="20" t="s">
        <v>108</v>
      </c>
      <c r="E33" s="9" t="s">
        <v>77</v>
      </c>
      <c r="F33" s="20" t="s">
        <v>89</v>
      </c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4">
      <c r="A34" s="9"/>
      <c r="B34" s="20" t="s">
        <v>34</v>
      </c>
      <c r="C34" s="9" t="s">
        <v>109</v>
      </c>
      <c r="D34" s="20" t="s">
        <v>110</v>
      </c>
      <c r="E34" s="9" t="s">
        <v>111</v>
      </c>
      <c r="F34" s="20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14">
      <c r="A35" s="9"/>
      <c r="B35" s="20" t="s">
        <v>43</v>
      </c>
      <c r="C35" s="9" t="s">
        <v>55</v>
      </c>
      <c r="D35" s="20" t="s">
        <v>112</v>
      </c>
      <c r="E35" s="9" t="s">
        <v>84</v>
      </c>
      <c r="F35" s="20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4">
      <c r="A36" s="9"/>
      <c r="B36" s="26" t="s">
        <v>50</v>
      </c>
      <c r="C36" s="24" t="s">
        <v>48</v>
      </c>
      <c r="D36" s="26" t="s">
        <v>113</v>
      </c>
      <c r="E36" s="24" t="s">
        <v>86</v>
      </c>
      <c r="F36" s="26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14">
      <c r="A37" s="9"/>
      <c r="B37" s="33" t="s">
        <v>114</v>
      </c>
      <c r="C37" s="9"/>
      <c r="D37" s="9"/>
      <c r="E37" s="9"/>
      <c r="F37" s="26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14">
      <c r="A38" s="9"/>
      <c r="B38" s="3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4">
      <c r="A39" s="9"/>
      <c r="B39" s="33" t="s">
        <v>115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</sheetData>
  <mergeCells count="5">
    <mergeCell ref="K4:L4"/>
    <mergeCell ref="B29:F29"/>
    <mergeCell ref="C3:K3"/>
    <mergeCell ref="B4:F4"/>
    <mergeCell ref="G4:I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E20"/>
  <sheetViews>
    <sheetView showGridLines="0" workbookViewId="0">
      <selection activeCell="C11" sqref="C11"/>
    </sheetView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3" width="29.83203125" customWidth="1"/>
    <col min="4" max="4" width="18.33203125" customWidth="1"/>
  </cols>
  <sheetData>
    <row r="1" spans="1:5" ht="15" customHeight="1">
      <c r="A1" s="13"/>
      <c r="B1" s="36"/>
      <c r="C1" s="36"/>
      <c r="D1" s="36"/>
      <c r="E1" s="36"/>
    </row>
    <row r="2" spans="1:5" ht="73.5" customHeight="1">
      <c r="A2" s="13"/>
      <c r="B2" s="112"/>
      <c r="C2" s="113"/>
      <c r="D2" s="38"/>
      <c r="E2" s="38"/>
    </row>
    <row r="3" spans="1:5" ht="15">
      <c r="A3" s="13"/>
      <c r="B3" s="114" t="s">
        <v>116</v>
      </c>
      <c r="C3" s="106"/>
      <c r="D3" s="106"/>
      <c r="E3" s="106"/>
    </row>
    <row r="4" spans="1:5" ht="14">
      <c r="A4" s="13"/>
      <c r="B4" s="115" t="s">
        <v>117</v>
      </c>
      <c r="C4" s="106"/>
      <c r="D4" s="106"/>
      <c r="E4" s="116"/>
    </row>
    <row r="5" spans="1:5" ht="15">
      <c r="A5" s="13"/>
      <c r="B5" s="39" t="s">
        <v>118</v>
      </c>
      <c r="C5" s="40" t="s">
        <v>119</v>
      </c>
      <c r="D5" s="40" t="s">
        <v>120</v>
      </c>
      <c r="E5" s="41" t="s">
        <v>121</v>
      </c>
    </row>
    <row r="6" spans="1:5" ht="14">
      <c r="A6" s="13"/>
      <c r="B6" s="15" t="s">
        <v>15</v>
      </c>
      <c r="C6" s="18" t="s">
        <v>122</v>
      </c>
      <c r="D6" s="18" t="s">
        <v>123</v>
      </c>
      <c r="E6" s="42" t="s">
        <v>123</v>
      </c>
    </row>
    <row r="7" spans="1:5" ht="14">
      <c r="A7" s="13"/>
      <c r="B7" s="20" t="s">
        <v>24</v>
      </c>
      <c r="C7" s="13" t="s">
        <v>1655</v>
      </c>
      <c r="D7" s="13" t="s">
        <v>123</v>
      </c>
      <c r="E7" s="19" t="s">
        <v>123</v>
      </c>
    </row>
    <row r="8" spans="1:5" ht="14">
      <c r="A8" s="13"/>
      <c r="B8" s="14" t="s">
        <v>33</v>
      </c>
      <c r="C8" s="13" t="s">
        <v>124</v>
      </c>
      <c r="D8" s="13"/>
      <c r="E8" s="19"/>
    </row>
    <row r="9" spans="1:5" ht="14">
      <c r="A9" s="13"/>
      <c r="B9" s="22" t="s">
        <v>42</v>
      </c>
      <c r="C9" s="13" t="s">
        <v>1656</v>
      </c>
      <c r="D9" s="13"/>
      <c r="E9" s="19"/>
    </row>
    <row r="10" spans="1:5" ht="14">
      <c r="A10" s="13"/>
      <c r="B10" s="25" t="s">
        <v>1657</v>
      </c>
      <c r="C10" s="13" t="s">
        <v>1658</v>
      </c>
      <c r="D10" s="13"/>
      <c r="E10" s="13"/>
    </row>
    <row r="11" spans="1:5" ht="14">
      <c r="A11" s="13"/>
      <c r="B11" s="13"/>
      <c r="C11" s="13"/>
      <c r="D11" s="13"/>
      <c r="E11" s="13"/>
    </row>
    <row r="12" spans="1:5" ht="14">
      <c r="A12" s="13"/>
      <c r="B12" s="13"/>
      <c r="C12" s="13"/>
      <c r="D12" s="13"/>
      <c r="E12" s="13"/>
    </row>
    <row r="13" spans="1:5" ht="14">
      <c r="A13" s="13"/>
      <c r="B13" s="13"/>
      <c r="C13" s="13"/>
      <c r="D13" s="13"/>
      <c r="E13" s="13"/>
    </row>
    <row r="14" spans="1:5" ht="14">
      <c r="A14" s="13"/>
      <c r="B14" s="13"/>
      <c r="C14" s="13"/>
      <c r="D14" s="13"/>
      <c r="E14" s="13"/>
    </row>
    <row r="15" spans="1:5" ht="14">
      <c r="A15" s="13"/>
      <c r="B15" s="13"/>
      <c r="C15" s="13"/>
      <c r="D15" s="13"/>
      <c r="E15" s="13"/>
    </row>
    <row r="16" spans="1:5" ht="14">
      <c r="A16" s="13"/>
      <c r="B16" s="13"/>
      <c r="C16" s="13"/>
      <c r="D16" s="13"/>
      <c r="E16" s="13"/>
    </row>
    <row r="17" spans="1:5" ht="14">
      <c r="A17" s="13"/>
      <c r="B17" s="13"/>
      <c r="C17" s="13"/>
      <c r="D17" s="13"/>
      <c r="E17" s="13"/>
    </row>
    <row r="18" spans="1:5" ht="14">
      <c r="A18" s="13"/>
      <c r="B18" s="13"/>
      <c r="C18" s="13"/>
      <c r="D18" s="13"/>
      <c r="E18" s="13"/>
    </row>
    <row r="19" spans="1:5" ht="14">
      <c r="A19" s="13"/>
      <c r="B19" s="13"/>
      <c r="C19" s="13"/>
      <c r="D19" s="13"/>
      <c r="E19" s="13"/>
    </row>
    <row r="20" spans="1:5" ht="14">
      <c r="A20" s="13"/>
      <c r="B20" s="13"/>
      <c r="C20" s="13"/>
      <c r="D20" s="13"/>
      <c r="E20" s="13"/>
    </row>
  </sheetData>
  <mergeCells count="3">
    <mergeCell ref="B2:C2"/>
    <mergeCell ref="B3:E3"/>
    <mergeCell ref="B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J56"/>
  <sheetViews>
    <sheetView showGridLines="0" workbookViewId="0"/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3" width="29.83203125" customWidth="1"/>
    <col min="4" max="4" width="23.1640625" customWidth="1"/>
    <col min="6" max="6" width="3.5" customWidth="1"/>
    <col min="7" max="7" width="29.5" customWidth="1"/>
    <col min="8" max="8" width="47.5" customWidth="1"/>
    <col min="9" max="9" width="26" customWidth="1"/>
  </cols>
  <sheetData>
    <row r="1" spans="1:10" ht="15" customHeight="1">
      <c r="A1" s="13"/>
      <c r="B1" s="36"/>
      <c r="C1" s="36"/>
      <c r="D1" s="36"/>
      <c r="E1" s="36"/>
      <c r="F1" s="36"/>
      <c r="G1" s="36"/>
      <c r="H1" s="36"/>
      <c r="I1" s="36"/>
      <c r="J1" s="36"/>
    </row>
    <row r="2" spans="1:10" ht="73.5" customHeight="1">
      <c r="A2" s="13"/>
      <c r="B2" s="112"/>
      <c r="C2" s="113"/>
      <c r="D2" s="38"/>
      <c r="E2" s="38"/>
      <c r="F2" s="117"/>
      <c r="G2" s="113"/>
      <c r="H2" s="113"/>
      <c r="I2" s="113"/>
      <c r="J2" s="118"/>
    </row>
    <row r="3" spans="1:10" ht="15">
      <c r="A3" s="13"/>
      <c r="B3" s="114" t="s">
        <v>125</v>
      </c>
      <c r="C3" s="106"/>
      <c r="D3" s="106"/>
      <c r="E3" s="106"/>
      <c r="F3" s="106"/>
      <c r="G3" s="106"/>
      <c r="H3" s="106"/>
      <c r="I3" s="106"/>
      <c r="J3" s="116"/>
    </row>
    <row r="4" spans="1:10" ht="14">
      <c r="A4" s="13"/>
      <c r="B4" s="115" t="s">
        <v>117</v>
      </c>
      <c r="C4" s="106"/>
      <c r="D4" s="106"/>
      <c r="E4" s="116"/>
      <c r="F4" s="13"/>
      <c r="G4" s="108" t="s">
        <v>126</v>
      </c>
      <c r="H4" s="106"/>
      <c r="I4" s="106"/>
      <c r="J4" s="116"/>
    </row>
    <row r="5" spans="1:10" ht="15">
      <c r="A5" s="13"/>
      <c r="B5" s="39" t="s">
        <v>118</v>
      </c>
      <c r="C5" s="40" t="s">
        <v>119</v>
      </c>
      <c r="D5" s="40" t="s">
        <v>120</v>
      </c>
      <c r="E5" s="41" t="s">
        <v>121</v>
      </c>
      <c r="F5" s="13"/>
      <c r="G5" s="39" t="s">
        <v>118</v>
      </c>
      <c r="H5" s="40" t="s">
        <v>119</v>
      </c>
      <c r="I5" s="40" t="s">
        <v>120</v>
      </c>
      <c r="J5" s="41" t="s">
        <v>121</v>
      </c>
    </row>
    <row r="6" spans="1:10" ht="14">
      <c r="A6" s="13"/>
      <c r="B6" s="119" t="s">
        <v>16</v>
      </c>
      <c r="C6" s="122" t="s">
        <v>127</v>
      </c>
      <c r="D6" s="122" t="s">
        <v>128</v>
      </c>
      <c r="E6" s="124">
        <v>100</v>
      </c>
      <c r="F6" s="13"/>
      <c r="G6" s="46" t="s">
        <v>54</v>
      </c>
      <c r="H6" s="46"/>
      <c r="I6" s="46"/>
      <c r="J6" s="42"/>
    </row>
    <row r="7" spans="1:10" ht="14">
      <c r="A7" s="13"/>
      <c r="B7" s="120"/>
      <c r="C7" s="106"/>
      <c r="D7" s="106"/>
      <c r="E7" s="116"/>
      <c r="F7" s="13"/>
      <c r="G7" s="46" t="s">
        <v>129</v>
      </c>
      <c r="H7" s="46"/>
      <c r="I7" s="46"/>
      <c r="J7" s="19"/>
    </row>
    <row r="8" spans="1:10" ht="14">
      <c r="A8" s="13"/>
      <c r="B8" s="120"/>
      <c r="C8" s="106"/>
      <c r="D8" s="106"/>
      <c r="E8" s="116"/>
      <c r="F8" s="13"/>
      <c r="G8" s="46" t="s">
        <v>59</v>
      </c>
      <c r="H8" s="46"/>
      <c r="I8" s="46"/>
      <c r="J8" s="19"/>
    </row>
    <row r="9" spans="1:10" ht="14">
      <c r="A9" s="13"/>
      <c r="B9" s="120"/>
      <c r="C9" s="106"/>
      <c r="D9" s="106"/>
      <c r="E9" s="116"/>
      <c r="F9" s="13"/>
      <c r="G9" s="46" t="s">
        <v>38</v>
      </c>
      <c r="H9" s="46"/>
      <c r="I9" s="46"/>
      <c r="J9" s="19"/>
    </row>
    <row r="10" spans="1:10" ht="14">
      <c r="A10" s="13"/>
      <c r="B10" s="120"/>
      <c r="C10" s="106"/>
      <c r="D10" s="106"/>
      <c r="E10" s="116"/>
      <c r="F10" s="13"/>
      <c r="G10" s="46" t="s">
        <v>47</v>
      </c>
      <c r="H10" s="46"/>
      <c r="I10" s="46"/>
      <c r="J10" s="19"/>
    </row>
    <row r="11" spans="1:10" ht="14">
      <c r="A11" s="13"/>
      <c r="B11" s="120"/>
      <c r="C11" s="106"/>
      <c r="D11" s="106"/>
      <c r="E11" s="116"/>
      <c r="F11" s="13"/>
      <c r="G11" s="46" t="s">
        <v>29</v>
      </c>
      <c r="H11" s="46"/>
      <c r="I11" s="46"/>
      <c r="J11" s="19"/>
    </row>
    <row r="12" spans="1:10" ht="14">
      <c r="A12" s="13"/>
      <c r="B12" s="121"/>
      <c r="C12" s="123"/>
      <c r="D12" s="123"/>
      <c r="E12" s="125"/>
      <c r="F12" s="13"/>
      <c r="G12" s="46" t="s">
        <v>64</v>
      </c>
      <c r="H12" s="46"/>
      <c r="I12" s="46"/>
      <c r="J12" s="19"/>
    </row>
    <row r="13" spans="1:10" ht="14">
      <c r="A13" s="13"/>
      <c r="B13" s="119" t="s">
        <v>25</v>
      </c>
      <c r="C13" s="122" t="s">
        <v>130</v>
      </c>
      <c r="D13" s="122" t="s">
        <v>131</v>
      </c>
      <c r="E13" s="126">
        <v>20</v>
      </c>
      <c r="F13" s="47"/>
      <c r="G13" s="46" t="s">
        <v>132</v>
      </c>
      <c r="H13" s="46"/>
      <c r="I13" s="46"/>
      <c r="J13" s="42"/>
    </row>
    <row r="14" spans="1:10" ht="14">
      <c r="A14" s="13"/>
      <c r="B14" s="120"/>
      <c r="C14" s="106"/>
      <c r="D14" s="106"/>
      <c r="E14" s="116"/>
      <c r="F14" s="47"/>
      <c r="G14" s="46" t="s">
        <v>133</v>
      </c>
      <c r="H14" s="46"/>
      <c r="I14" s="46"/>
      <c r="J14" s="19"/>
    </row>
    <row r="15" spans="1:10" ht="14">
      <c r="A15" s="13"/>
      <c r="B15" s="120"/>
      <c r="C15" s="106"/>
      <c r="D15" s="106"/>
      <c r="E15" s="116"/>
      <c r="F15" s="47"/>
      <c r="G15" s="46" t="s">
        <v>134</v>
      </c>
      <c r="H15" s="46"/>
      <c r="I15" s="46"/>
      <c r="J15" s="19"/>
    </row>
    <row r="16" spans="1:10" ht="14">
      <c r="A16" s="13"/>
      <c r="B16" s="120"/>
      <c r="C16" s="106"/>
      <c r="D16" s="106"/>
      <c r="E16" s="116"/>
      <c r="F16" s="47"/>
      <c r="G16" s="46" t="s">
        <v>135</v>
      </c>
      <c r="H16" s="46"/>
      <c r="I16" s="46"/>
      <c r="J16" s="19"/>
    </row>
    <row r="17" spans="1:10" ht="14">
      <c r="A17" s="13"/>
      <c r="B17" s="120"/>
      <c r="C17" s="106"/>
      <c r="D17" s="106"/>
      <c r="E17" s="116"/>
      <c r="F17" s="47"/>
      <c r="G17" s="46" t="s">
        <v>136</v>
      </c>
      <c r="H17" s="46"/>
      <c r="I17" s="46"/>
      <c r="J17" s="19"/>
    </row>
    <row r="18" spans="1:10" ht="14">
      <c r="A18" s="13"/>
      <c r="B18" s="120"/>
      <c r="C18" s="106"/>
      <c r="D18" s="106"/>
      <c r="E18" s="116"/>
      <c r="F18" s="47"/>
      <c r="G18" s="46" t="s">
        <v>137</v>
      </c>
      <c r="H18" s="46"/>
      <c r="I18" s="46"/>
      <c r="J18" s="19"/>
    </row>
    <row r="19" spans="1:10" ht="14">
      <c r="A19" s="13"/>
      <c r="B19" s="121"/>
      <c r="C19" s="123"/>
      <c r="D19" s="123"/>
      <c r="E19" s="125"/>
      <c r="F19" s="13"/>
      <c r="G19" s="46" t="s">
        <v>138</v>
      </c>
      <c r="H19" s="46"/>
      <c r="I19" s="46"/>
      <c r="J19" s="19"/>
    </row>
    <row r="20" spans="1:10" ht="14">
      <c r="A20" s="13"/>
      <c r="B20" s="119" t="s">
        <v>50</v>
      </c>
      <c r="C20" s="122" t="s">
        <v>139</v>
      </c>
      <c r="D20" s="122"/>
      <c r="E20" s="126">
        <v>100</v>
      </c>
      <c r="F20" s="13"/>
      <c r="G20" s="46" t="s">
        <v>140</v>
      </c>
      <c r="H20" s="46"/>
      <c r="I20" s="46"/>
      <c r="J20" s="42"/>
    </row>
    <row r="21" spans="1:10" ht="14">
      <c r="A21" s="13"/>
      <c r="B21" s="120"/>
      <c r="C21" s="106"/>
      <c r="D21" s="106"/>
      <c r="E21" s="116"/>
      <c r="F21" s="13"/>
      <c r="G21" s="46" t="s">
        <v>141</v>
      </c>
      <c r="H21" s="46"/>
      <c r="I21" s="46"/>
      <c r="J21" s="19"/>
    </row>
    <row r="22" spans="1:10" ht="14">
      <c r="A22" s="13"/>
      <c r="B22" s="120"/>
      <c r="C22" s="106"/>
      <c r="D22" s="106"/>
      <c r="E22" s="116"/>
      <c r="F22" s="13"/>
      <c r="G22" s="46" t="s">
        <v>142</v>
      </c>
      <c r="H22" s="46"/>
      <c r="I22" s="46"/>
      <c r="J22" s="19"/>
    </row>
    <row r="23" spans="1:10" ht="14">
      <c r="A23" s="13"/>
      <c r="B23" s="121"/>
      <c r="C23" s="123"/>
      <c r="D23" s="123"/>
      <c r="E23" s="125"/>
      <c r="F23" s="13"/>
      <c r="G23" s="46" t="s">
        <v>143</v>
      </c>
      <c r="H23" s="46"/>
      <c r="I23" s="46"/>
      <c r="J23" s="19"/>
    </row>
    <row r="24" spans="1:10" ht="14">
      <c r="A24" s="13"/>
      <c r="B24" s="119" t="s">
        <v>34</v>
      </c>
      <c r="C24" s="122" t="s">
        <v>144</v>
      </c>
      <c r="D24" s="122" t="s">
        <v>145</v>
      </c>
      <c r="E24" s="42"/>
      <c r="F24" s="13"/>
      <c r="G24" s="46" t="s">
        <v>146</v>
      </c>
      <c r="H24" s="46"/>
      <c r="I24" s="46"/>
      <c r="J24" s="48"/>
    </row>
    <row r="25" spans="1:10" ht="14">
      <c r="A25" s="13"/>
      <c r="B25" s="120"/>
      <c r="C25" s="106"/>
      <c r="D25" s="106"/>
      <c r="E25" s="19"/>
      <c r="F25" s="13"/>
      <c r="G25" s="46" t="s">
        <v>147</v>
      </c>
      <c r="H25" s="46"/>
      <c r="I25" s="46"/>
      <c r="J25" s="13"/>
    </row>
    <row r="26" spans="1:10" ht="14">
      <c r="A26" s="13"/>
      <c r="B26" s="120"/>
      <c r="C26" s="106"/>
      <c r="D26" s="106"/>
      <c r="E26" s="19"/>
      <c r="F26" s="13"/>
      <c r="G26" s="46" t="s">
        <v>148</v>
      </c>
      <c r="H26" s="46"/>
      <c r="I26" s="46"/>
      <c r="J26" s="13"/>
    </row>
    <row r="27" spans="1:10" ht="14">
      <c r="A27" s="13"/>
      <c r="B27" s="120"/>
      <c r="C27" s="106"/>
      <c r="D27" s="106"/>
      <c r="E27" s="19"/>
      <c r="F27" s="13"/>
      <c r="G27" s="46" t="s">
        <v>149</v>
      </c>
      <c r="H27" s="46"/>
      <c r="I27" s="46"/>
      <c r="J27" s="13"/>
    </row>
    <row r="28" spans="1:10" ht="14">
      <c r="A28" s="13"/>
      <c r="B28" s="121"/>
      <c r="C28" s="123"/>
      <c r="D28" s="49"/>
      <c r="E28" s="23"/>
      <c r="F28" s="13"/>
      <c r="G28" s="46" t="s">
        <v>65</v>
      </c>
      <c r="H28" s="46"/>
      <c r="I28" s="50"/>
      <c r="J28" s="13"/>
    </row>
    <row r="29" spans="1:10" ht="14">
      <c r="A29" s="13"/>
      <c r="B29" s="119" t="s">
        <v>43</v>
      </c>
      <c r="C29" s="18"/>
      <c r="D29" s="18"/>
      <c r="E29" s="42"/>
      <c r="F29" s="13"/>
      <c r="G29" s="46" t="s">
        <v>150</v>
      </c>
      <c r="H29" s="46"/>
      <c r="I29" s="46"/>
      <c r="J29" s="13"/>
    </row>
    <row r="30" spans="1:10" ht="14">
      <c r="A30" s="13"/>
      <c r="B30" s="120"/>
      <c r="C30" s="13"/>
      <c r="D30" s="13"/>
      <c r="E30" s="19"/>
      <c r="F30" s="13"/>
      <c r="G30" s="46" t="s">
        <v>151</v>
      </c>
      <c r="H30" s="46"/>
      <c r="I30" s="46"/>
      <c r="J30" s="13"/>
    </row>
    <row r="31" spans="1:10" ht="14">
      <c r="A31" s="13"/>
      <c r="B31" s="121"/>
      <c r="C31" s="49"/>
      <c r="D31" s="49"/>
      <c r="E31" s="23"/>
      <c r="F31" s="13"/>
      <c r="G31" s="46" t="s">
        <v>152</v>
      </c>
      <c r="H31" s="46"/>
      <c r="I31" s="34"/>
      <c r="J31" s="13"/>
    </row>
    <row r="32" spans="1:10" ht="14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4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14">
      <c r="A34" s="13"/>
      <c r="B34" s="51" t="s">
        <v>153</v>
      </c>
      <c r="C34" s="13"/>
      <c r="D34" s="13"/>
      <c r="E34" s="13"/>
      <c r="F34" s="13"/>
      <c r="G34" s="44"/>
      <c r="H34" s="13"/>
      <c r="I34" s="13"/>
      <c r="J34" s="13"/>
    </row>
    <row r="35" spans="1:10" ht="14">
      <c r="A35" s="13"/>
      <c r="B35" s="52"/>
      <c r="C35" s="13"/>
      <c r="D35" s="13"/>
      <c r="E35" s="13"/>
      <c r="F35" s="13"/>
      <c r="G35" s="13"/>
      <c r="H35" s="13"/>
      <c r="I35" s="13"/>
      <c r="J35" s="13"/>
    </row>
    <row r="36" spans="1:10" ht="14">
      <c r="A36" s="13"/>
      <c r="B36" s="51" t="s">
        <v>154</v>
      </c>
      <c r="C36" s="13"/>
      <c r="D36" s="13"/>
      <c r="E36" s="13"/>
      <c r="F36" s="13"/>
      <c r="G36" s="13"/>
      <c r="H36" s="13"/>
      <c r="I36" s="13"/>
      <c r="J36" s="13"/>
    </row>
    <row r="37" spans="1:10" ht="14">
      <c r="A37" s="13"/>
      <c r="B37" s="51" t="s">
        <v>155</v>
      </c>
      <c r="C37" s="13"/>
      <c r="D37" s="13"/>
      <c r="E37" s="13"/>
      <c r="F37" s="13"/>
      <c r="G37" s="13"/>
      <c r="H37" s="13"/>
      <c r="I37" s="13"/>
      <c r="J37" s="13"/>
    </row>
    <row r="38" spans="1:10" ht="14">
      <c r="A38" s="13"/>
      <c r="B38" s="51" t="s">
        <v>156</v>
      </c>
      <c r="C38" s="13"/>
      <c r="D38" s="13"/>
      <c r="E38" s="13"/>
      <c r="F38" s="13"/>
      <c r="G38" s="53"/>
      <c r="H38" s="54"/>
      <c r="I38" s="54"/>
      <c r="J38" s="55"/>
    </row>
    <row r="39" spans="1:10" ht="14">
      <c r="A39" s="13"/>
      <c r="B39" s="51" t="s">
        <v>157</v>
      </c>
      <c r="C39" s="13"/>
      <c r="D39" s="13"/>
      <c r="E39" s="13"/>
      <c r="F39" s="13"/>
      <c r="G39" s="54"/>
      <c r="H39" s="54"/>
      <c r="I39" s="54"/>
      <c r="J39" s="54"/>
    </row>
    <row r="40" spans="1:10" ht="14">
      <c r="A40" s="13"/>
      <c r="B40" s="51" t="s">
        <v>158</v>
      </c>
      <c r="C40" s="13"/>
      <c r="D40" s="13"/>
      <c r="E40" s="13"/>
      <c r="F40" s="13"/>
      <c r="G40" s="54"/>
      <c r="H40" s="54"/>
      <c r="I40" s="54"/>
      <c r="J40" s="54"/>
    </row>
    <row r="41" spans="1:10" ht="14">
      <c r="A41" s="13"/>
      <c r="B41" s="51" t="s">
        <v>159</v>
      </c>
      <c r="C41" s="13"/>
      <c r="D41" s="13"/>
      <c r="E41" s="13"/>
      <c r="F41" s="13"/>
      <c r="G41" s="54"/>
      <c r="H41" s="54"/>
      <c r="I41" s="54"/>
      <c r="J41" s="54"/>
    </row>
    <row r="42" spans="1:10" ht="14">
      <c r="A42" s="13"/>
      <c r="B42" s="51" t="s">
        <v>160</v>
      </c>
      <c r="C42" s="13"/>
      <c r="D42" s="13"/>
      <c r="E42" s="13"/>
      <c r="F42" s="13"/>
      <c r="G42" s="54"/>
      <c r="H42" s="54"/>
      <c r="I42" s="54"/>
      <c r="J42" s="54"/>
    </row>
    <row r="43" spans="1:10" ht="14">
      <c r="A43" s="13"/>
      <c r="B43" s="51" t="s">
        <v>161</v>
      </c>
      <c r="C43" s="13"/>
      <c r="D43" s="13"/>
      <c r="E43" s="13"/>
      <c r="F43" s="13"/>
      <c r="G43" s="54"/>
      <c r="H43" s="54"/>
      <c r="I43" s="54"/>
      <c r="J43" s="54"/>
    </row>
    <row r="44" spans="1:10" ht="14">
      <c r="A44" s="13"/>
      <c r="B44" s="51" t="s">
        <v>162</v>
      </c>
      <c r="C44" s="13"/>
      <c r="D44" s="13"/>
      <c r="E44" s="13"/>
      <c r="F44" s="13"/>
      <c r="G44" s="54"/>
      <c r="H44" s="54"/>
      <c r="I44" s="54"/>
      <c r="J44" s="54"/>
    </row>
    <row r="45" spans="1:10" ht="14">
      <c r="A45" s="13"/>
      <c r="B45" s="51" t="s">
        <v>163</v>
      </c>
      <c r="C45" s="13"/>
      <c r="D45" s="13"/>
      <c r="E45" s="13"/>
      <c r="F45" s="13"/>
      <c r="G45" s="54"/>
      <c r="H45" s="54"/>
      <c r="I45" s="54"/>
      <c r="J45" s="54"/>
    </row>
    <row r="46" spans="1:10" ht="14">
      <c r="A46" s="13"/>
      <c r="B46" s="51" t="s">
        <v>164</v>
      </c>
      <c r="C46" s="13"/>
      <c r="D46" s="13"/>
      <c r="E46" s="13"/>
      <c r="F46" s="13"/>
      <c r="G46" s="54"/>
      <c r="H46" s="54"/>
      <c r="I46" s="54"/>
      <c r="J46" s="54"/>
    </row>
    <row r="47" spans="1:10" ht="14">
      <c r="A47" s="13"/>
      <c r="B47" s="51" t="s">
        <v>165</v>
      </c>
      <c r="C47" s="13"/>
      <c r="D47" s="13"/>
      <c r="E47" s="13"/>
      <c r="F47" s="13"/>
      <c r="G47" s="54"/>
      <c r="H47" s="54"/>
      <c r="I47" s="54"/>
      <c r="J47" s="54"/>
    </row>
    <row r="48" spans="1:10" ht="14">
      <c r="A48" s="13"/>
      <c r="B48" s="51" t="s">
        <v>166</v>
      </c>
      <c r="C48" s="13"/>
      <c r="D48" s="13"/>
      <c r="E48" s="13"/>
      <c r="F48" s="13"/>
      <c r="G48" s="54"/>
      <c r="H48" s="54"/>
      <c r="I48" s="54"/>
      <c r="J48" s="54"/>
    </row>
    <row r="49" spans="1:10" ht="14">
      <c r="A49" s="13"/>
      <c r="B49" s="51" t="s">
        <v>167</v>
      </c>
      <c r="C49" s="13"/>
      <c r="D49" s="13"/>
      <c r="E49" s="13"/>
      <c r="F49" s="13"/>
      <c r="G49" s="54"/>
      <c r="H49" s="54"/>
      <c r="I49" s="54"/>
      <c r="J49" s="54"/>
    </row>
    <row r="50" spans="1:10" ht="14">
      <c r="A50" s="13"/>
      <c r="B50" s="51" t="s">
        <v>168</v>
      </c>
      <c r="C50" s="13"/>
      <c r="D50" s="13"/>
      <c r="E50" s="13"/>
      <c r="F50" s="13"/>
      <c r="G50" s="54"/>
      <c r="H50" s="54"/>
      <c r="I50" s="54"/>
      <c r="J50" s="54"/>
    </row>
    <row r="51" spans="1:10" ht="14">
      <c r="A51" s="13"/>
      <c r="B51" s="51" t="s">
        <v>169</v>
      </c>
      <c r="C51" s="13"/>
      <c r="D51" s="13"/>
      <c r="E51" s="13"/>
      <c r="F51" s="13"/>
      <c r="G51" s="54"/>
      <c r="H51" s="54"/>
      <c r="I51" s="54"/>
      <c r="J51" s="54"/>
    </row>
    <row r="52" spans="1:10" ht="14">
      <c r="A52" s="13"/>
      <c r="B52" s="51" t="s">
        <v>170</v>
      </c>
      <c r="C52" s="13"/>
      <c r="D52" s="13"/>
      <c r="E52" s="13"/>
      <c r="F52" s="13"/>
      <c r="G52" s="54"/>
      <c r="H52" s="54"/>
      <c r="I52" s="54"/>
      <c r="J52" s="54"/>
    </row>
    <row r="53" spans="1:10" ht="14">
      <c r="A53" s="13"/>
      <c r="B53" s="51" t="s">
        <v>171</v>
      </c>
      <c r="C53" s="13"/>
      <c r="D53" s="13"/>
      <c r="E53" s="13"/>
      <c r="F53" s="13"/>
      <c r="G53" s="54"/>
      <c r="H53" s="54"/>
      <c r="I53" s="54"/>
      <c r="J53" s="54"/>
    </row>
    <row r="54" spans="1:10" ht="14">
      <c r="A54" s="13"/>
      <c r="B54" s="51" t="s">
        <v>172</v>
      </c>
      <c r="C54" s="13"/>
      <c r="D54" s="13"/>
      <c r="E54" s="13"/>
      <c r="F54" s="13"/>
      <c r="G54" s="54"/>
      <c r="H54" s="54"/>
      <c r="I54" s="54"/>
      <c r="J54" s="54"/>
    </row>
    <row r="55" spans="1:10" ht="14">
      <c r="A55" s="13"/>
      <c r="B55" s="51" t="s">
        <v>173</v>
      </c>
      <c r="C55" s="13"/>
      <c r="D55" s="13"/>
      <c r="E55" s="13"/>
      <c r="F55" s="13"/>
      <c r="G55" s="54"/>
      <c r="H55" s="54"/>
      <c r="I55" s="54"/>
      <c r="J55" s="54"/>
    </row>
    <row r="56" spans="1:10" ht="14">
      <c r="A56" s="13"/>
      <c r="B56" s="51" t="s">
        <v>174</v>
      </c>
      <c r="C56" s="13"/>
      <c r="D56" s="13"/>
      <c r="E56" s="13"/>
      <c r="F56" s="13"/>
      <c r="G56" s="54"/>
      <c r="H56" s="54"/>
      <c r="I56" s="54"/>
      <c r="J56" s="54"/>
    </row>
  </sheetData>
  <mergeCells count="21">
    <mergeCell ref="B29:B31"/>
    <mergeCell ref="D6:D12"/>
    <mergeCell ref="E6:E12"/>
    <mergeCell ref="B13:B19"/>
    <mergeCell ref="C13:C19"/>
    <mergeCell ref="D13:D19"/>
    <mergeCell ref="E13:E19"/>
    <mergeCell ref="B20:B23"/>
    <mergeCell ref="E20:E23"/>
    <mergeCell ref="B6:B12"/>
    <mergeCell ref="C6:C12"/>
    <mergeCell ref="C20:C23"/>
    <mergeCell ref="D20:D23"/>
    <mergeCell ref="B24:B28"/>
    <mergeCell ref="C24:C28"/>
    <mergeCell ref="D24:D27"/>
    <mergeCell ref="B2:C2"/>
    <mergeCell ref="F2:J2"/>
    <mergeCell ref="B3:J3"/>
    <mergeCell ref="B4:E4"/>
    <mergeCell ref="G4:J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E22"/>
  <sheetViews>
    <sheetView showGridLines="0" workbookViewId="0"/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3" width="29.83203125" customWidth="1"/>
    <col min="4" max="4" width="18.6640625" customWidth="1"/>
  </cols>
  <sheetData>
    <row r="1" spans="1:5" ht="15" customHeight="1">
      <c r="A1" s="13"/>
      <c r="B1" s="36"/>
      <c r="C1" s="36"/>
      <c r="D1" s="36"/>
      <c r="E1" s="36"/>
    </row>
    <row r="2" spans="1:5" ht="73.5" customHeight="1">
      <c r="A2" s="13"/>
      <c r="B2" s="112"/>
      <c r="C2" s="113"/>
      <c r="D2" s="38"/>
      <c r="E2" s="38"/>
    </row>
    <row r="3" spans="1:5" ht="15">
      <c r="A3" s="13"/>
      <c r="B3" s="114" t="s">
        <v>175</v>
      </c>
      <c r="C3" s="106"/>
      <c r="D3" s="106"/>
      <c r="E3" s="116"/>
    </row>
    <row r="4" spans="1:5" ht="14">
      <c r="A4" s="13"/>
      <c r="B4" s="115" t="s">
        <v>117</v>
      </c>
      <c r="C4" s="106"/>
      <c r="D4" s="106"/>
      <c r="E4" s="116"/>
    </row>
    <row r="5" spans="1:5" ht="15">
      <c r="A5" s="13"/>
      <c r="B5" s="39" t="s">
        <v>118</v>
      </c>
      <c r="C5" s="40" t="s">
        <v>119</v>
      </c>
      <c r="D5" s="40" t="s">
        <v>120</v>
      </c>
      <c r="E5" s="41" t="s">
        <v>121</v>
      </c>
    </row>
    <row r="6" spans="1:5" ht="14">
      <c r="A6" s="13"/>
      <c r="B6" s="16" t="s">
        <v>176</v>
      </c>
      <c r="C6" s="18" t="s">
        <v>177</v>
      </c>
      <c r="D6" s="18" t="s">
        <v>178</v>
      </c>
      <c r="E6" s="42" t="s">
        <v>179</v>
      </c>
    </row>
    <row r="7" spans="1:5" ht="14">
      <c r="A7" s="13"/>
      <c r="B7" s="22" t="s">
        <v>26</v>
      </c>
      <c r="C7" s="13" t="s">
        <v>180</v>
      </c>
      <c r="D7" s="13" t="s">
        <v>181</v>
      </c>
      <c r="E7" s="19" t="s">
        <v>179</v>
      </c>
    </row>
    <row r="8" spans="1:5" ht="14">
      <c r="A8" s="13"/>
      <c r="B8" s="22" t="s">
        <v>35</v>
      </c>
      <c r="C8" s="13" t="s">
        <v>182</v>
      </c>
      <c r="D8" s="13" t="s">
        <v>183</v>
      </c>
      <c r="E8" s="19">
        <v>10</v>
      </c>
    </row>
    <row r="9" spans="1:5" ht="14">
      <c r="A9" s="13"/>
      <c r="B9" s="22" t="s">
        <v>44</v>
      </c>
      <c r="C9" s="13" t="s">
        <v>184</v>
      </c>
      <c r="D9" s="13" t="s">
        <v>185</v>
      </c>
      <c r="E9" s="19">
        <v>100</v>
      </c>
    </row>
    <row r="10" spans="1:5" ht="14">
      <c r="A10" s="13"/>
      <c r="B10" s="22" t="s">
        <v>51</v>
      </c>
      <c r="C10" s="13" t="s">
        <v>186</v>
      </c>
      <c r="D10" s="13" t="s">
        <v>187</v>
      </c>
      <c r="E10" s="19">
        <v>10</v>
      </c>
    </row>
    <row r="11" spans="1:5" ht="14">
      <c r="A11" s="13"/>
      <c r="B11" s="22" t="s">
        <v>56</v>
      </c>
      <c r="C11" s="13" t="s">
        <v>188</v>
      </c>
      <c r="D11" s="13" t="s">
        <v>189</v>
      </c>
      <c r="E11" s="19">
        <v>10</v>
      </c>
    </row>
    <row r="12" spans="1:5" ht="14">
      <c r="A12" s="13"/>
      <c r="B12" s="56" t="s">
        <v>61</v>
      </c>
      <c r="C12" s="49" t="s">
        <v>190</v>
      </c>
      <c r="D12" s="49" t="s">
        <v>191</v>
      </c>
      <c r="E12" s="23">
        <v>70</v>
      </c>
    </row>
    <row r="13" spans="1:5" ht="14">
      <c r="A13" s="13"/>
      <c r="B13" s="13"/>
      <c r="C13" s="13"/>
      <c r="D13" s="13"/>
      <c r="E13" s="13"/>
    </row>
    <row r="14" spans="1:5" ht="14">
      <c r="A14" s="13"/>
      <c r="B14" s="13"/>
      <c r="C14" s="13"/>
      <c r="D14" s="13"/>
      <c r="E14" s="13"/>
    </row>
    <row r="15" spans="1:5" ht="14">
      <c r="A15" s="13"/>
      <c r="B15" s="13"/>
      <c r="C15" s="13"/>
      <c r="D15" s="13"/>
      <c r="E15" s="13"/>
    </row>
    <row r="16" spans="1:5" ht="14">
      <c r="A16" s="13"/>
      <c r="B16" s="13"/>
      <c r="C16" s="13"/>
      <c r="D16" s="13"/>
      <c r="E16" s="13"/>
    </row>
    <row r="17" spans="1:5" ht="14">
      <c r="A17" s="13"/>
      <c r="B17" s="13"/>
      <c r="C17" s="13"/>
      <c r="D17" s="13"/>
      <c r="E17" s="13"/>
    </row>
    <row r="18" spans="1:5" ht="14">
      <c r="A18" s="13"/>
      <c r="B18" s="13"/>
      <c r="C18" s="13"/>
      <c r="D18" s="13"/>
      <c r="E18" s="13"/>
    </row>
    <row r="19" spans="1:5" ht="14">
      <c r="A19" s="13"/>
      <c r="B19" s="13"/>
      <c r="C19" s="13"/>
      <c r="D19" s="13"/>
      <c r="E19" s="13"/>
    </row>
    <row r="20" spans="1:5" ht="14">
      <c r="A20" s="13"/>
      <c r="B20" s="13"/>
      <c r="C20" s="13"/>
      <c r="D20" s="13"/>
      <c r="E20" s="13"/>
    </row>
    <row r="21" spans="1:5" ht="14">
      <c r="A21" s="13"/>
      <c r="B21" s="13"/>
      <c r="C21" s="13"/>
      <c r="D21" s="13"/>
      <c r="E21" s="13"/>
    </row>
    <row r="22" spans="1:5" ht="14">
      <c r="A22" s="13"/>
      <c r="B22" s="13"/>
      <c r="C22" s="13"/>
      <c r="D22" s="13"/>
      <c r="E22" s="47"/>
    </row>
  </sheetData>
  <mergeCells count="3">
    <mergeCell ref="B2:C2"/>
    <mergeCell ref="B3:E3"/>
    <mergeCell ref="B4:E4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E18"/>
  <sheetViews>
    <sheetView showGridLines="0" workbookViewId="0"/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3" width="29.83203125" customWidth="1"/>
    <col min="4" max="4" width="18.33203125" customWidth="1"/>
  </cols>
  <sheetData>
    <row r="1" spans="1:5" ht="15" customHeight="1">
      <c r="A1" s="13"/>
      <c r="B1" s="36"/>
      <c r="C1" s="36"/>
      <c r="D1" s="36"/>
      <c r="E1" s="36"/>
    </row>
    <row r="2" spans="1:5" ht="73.5" customHeight="1">
      <c r="A2" s="13"/>
      <c r="B2" s="112"/>
      <c r="C2" s="113"/>
      <c r="D2" s="38"/>
      <c r="E2" s="38"/>
    </row>
    <row r="3" spans="1:5" ht="15">
      <c r="A3" s="13"/>
      <c r="B3" s="114" t="s">
        <v>192</v>
      </c>
      <c r="C3" s="106"/>
      <c r="D3" s="106"/>
      <c r="E3" s="116"/>
    </row>
    <row r="4" spans="1:5" ht="14">
      <c r="A4" s="13"/>
      <c r="B4" s="115" t="s">
        <v>117</v>
      </c>
      <c r="C4" s="106"/>
      <c r="D4" s="106"/>
      <c r="E4" s="116"/>
    </row>
    <row r="5" spans="1:5" ht="15">
      <c r="A5" s="13"/>
      <c r="B5" s="39" t="s">
        <v>118</v>
      </c>
      <c r="C5" s="40" t="s">
        <v>119</v>
      </c>
      <c r="D5" s="40" t="s">
        <v>120</v>
      </c>
      <c r="E5" s="41" t="s">
        <v>121</v>
      </c>
    </row>
    <row r="6" spans="1:5" ht="14">
      <c r="A6" s="13"/>
      <c r="B6" s="16" t="s">
        <v>193</v>
      </c>
      <c r="C6" s="18" t="s">
        <v>194</v>
      </c>
      <c r="D6" s="18" t="s">
        <v>195</v>
      </c>
      <c r="E6" s="42">
        <v>40</v>
      </c>
    </row>
    <row r="7" spans="1:5" ht="14">
      <c r="A7" s="13"/>
      <c r="B7" s="22" t="s">
        <v>196</v>
      </c>
      <c r="C7" s="13" t="s">
        <v>197</v>
      </c>
      <c r="D7" s="13" t="s">
        <v>198</v>
      </c>
      <c r="E7" s="19" t="s">
        <v>179</v>
      </c>
    </row>
    <row r="8" spans="1:5" ht="14">
      <c r="A8" s="13"/>
      <c r="B8" s="22" t="s">
        <v>199</v>
      </c>
      <c r="C8" s="13" t="s">
        <v>200</v>
      </c>
      <c r="D8" s="13" t="s">
        <v>201</v>
      </c>
      <c r="E8" s="19" t="s">
        <v>179</v>
      </c>
    </row>
    <row r="9" spans="1:5" ht="14">
      <c r="A9" s="13"/>
      <c r="B9" s="22" t="s">
        <v>202</v>
      </c>
      <c r="C9" s="13" t="s">
        <v>203</v>
      </c>
      <c r="D9" s="13" t="s">
        <v>204</v>
      </c>
      <c r="E9" s="19">
        <v>10</v>
      </c>
    </row>
    <row r="10" spans="1:5" ht="14">
      <c r="A10" s="13"/>
      <c r="B10" s="22" t="s">
        <v>205</v>
      </c>
      <c r="C10" s="13" t="s">
        <v>206</v>
      </c>
      <c r="D10" s="13" t="s">
        <v>207</v>
      </c>
      <c r="E10" s="19" t="s">
        <v>179</v>
      </c>
    </row>
    <row r="11" spans="1:5" ht="14">
      <c r="A11" s="13"/>
      <c r="B11" s="22" t="s">
        <v>208</v>
      </c>
      <c r="C11" s="13" t="s">
        <v>209</v>
      </c>
      <c r="D11" s="13" t="s">
        <v>210</v>
      </c>
      <c r="E11" s="19" t="s">
        <v>179</v>
      </c>
    </row>
    <row r="12" spans="1:5" ht="14">
      <c r="A12" s="13"/>
      <c r="B12" s="22" t="s">
        <v>211</v>
      </c>
      <c r="C12" s="13" t="s">
        <v>212</v>
      </c>
      <c r="D12" s="13" t="s">
        <v>213</v>
      </c>
      <c r="E12" s="19" t="s">
        <v>179</v>
      </c>
    </row>
    <row r="13" spans="1:5" ht="14">
      <c r="A13" s="13"/>
      <c r="B13" s="22" t="s">
        <v>214</v>
      </c>
      <c r="C13" s="13" t="s">
        <v>215</v>
      </c>
      <c r="D13" s="13" t="s">
        <v>216</v>
      </c>
      <c r="E13" s="19" t="s">
        <v>179</v>
      </c>
    </row>
    <row r="14" spans="1:5" ht="14">
      <c r="A14" s="13"/>
      <c r="B14" s="56" t="s">
        <v>217</v>
      </c>
      <c r="C14" s="49" t="s">
        <v>218</v>
      </c>
      <c r="D14" s="49" t="s">
        <v>219</v>
      </c>
      <c r="E14" s="23" t="s">
        <v>179</v>
      </c>
    </row>
    <row r="15" spans="1:5" ht="14">
      <c r="A15" s="13"/>
      <c r="B15" s="13"/>
      <c r="C15" s="13"/>
      <c r="D15" s="13"/>
      <c r="E15" s="13"/>
    </row>
    <row r="16" spans="1:5" ht="14">
      <c r="A16" s="13"/>
      <c r="B16" s="13"/>
      <c r="C16" s="13"/>
      <c r="D16" s="13"/>
      <c r="E16" s="13"/>
    </row>
    <row r="17" spans="1:5" ht="14">
      <c r="A17" s="13"/>
      <c r="B17" s="13"/>
      <c r="C17" s="13"/>
      <c r="D17" s="13"/>
      <c r="E17" s="13"/>
    </row>
    <row r="18" spans="1:5" ht="14">
      <c r="A18" s="13"/>
      <c r="B18" s="13"/>
      <c r="C18" s="13"/>
      <c r="D18" s="13"/>
      <c r="E18" s="47"/>
    </row>
  </sheetData>
  <mergeCells count="3">
    <mergeCell ref="B2:C2"/>
    <mergeCell ref="B3:E3"/>
    <mergeCell ref="B4:E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E18"/>
  <sheetViews>
    <sheetView showGridLines="0" workbookViewId="0"/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3" width="29.83203125" customWidth="1"/>
    <col min="4" max="4" width="28.5" customWidth="1"/>
  </cols>
  <sheetData>
    <row r="1" spans="1:5" ht="15" customHeight="1">
      <c r="A1" s="13"/>
      <c r="B1" s="36"/>
      <c r="C1" s="36"/>
      <c r="D1" s="36"/>
      <c r="E1" s="36"/>
    </row>
    <row r="2" spans="1:5" ht="73.5" customHeight="1">
      <c r="A2" s="13"/>
      <c r="B2" s="112"/>
      <c r="C2" s="113"/>
      <c r="D2" s="38"/>
      <c r="E2" s="38"/>
    </row>
    <row r="3" spans="1:5" ht="15">
      <c r="A3" s="13"/>
      <c r="B3" s="114" t="s">
        <v>220</v>
      </c>
      <c r="C3" s="106"/>
      <c r="D3" s="106"/>
      <c r="E3" s="116"/>
    </row>
    <row r="4" spans="1:5" ht="14">
      <c r="A4" s="13"/>
      <c r="B4" s="115" t="s">
        <v>117</v>
      </c>
      <c r="C4" s="106"/>
      <c r="D4" s="106"/>
      <c r="E4" s="116"/>
    </row>
    <row r="5" spans="1:5" ht="15">
      <c r="A5" s="13"/>
      <c r="B5" s="39" t="s">
        <v>118</v>
      </c>
      <c r="C5" s="40" t="s">
        <v>119</v>
      </c>
      <c r="D5" s="40" t="s">
        <v>120</v>
      </c>
      <c r="E5" s="41" t="s">
        <v>121</v>
      </c>
    </row>
    <row r="6" spans="1:5" ht="14">
      <c r="A6" s="13"/>
      <c r="B6" s="16" t="s">
        <v>18</v>
      </c>
      <c r="C6" s="18" t="s">
        <v>221</v>
      </c>
      <c r="D6" s="18" t="s">
        <v>222</v>
      </c>
      <c r="E6" s="45">
        <v>10</v>
      </c>
    </row>
    <row r="7" spans="1:5" ht="14">
      <c r="A7" s="13"/>
      <c r="B7" s="22" t="s">
        <v>27</v>
      </c>
      <c r="C7" s="13" t="s">
        <v>223</v>
      </c>
      <c r="D7" s="13" t="s">
        <v>224</v>
      </c>
      <c r="E7" s="57" t="s">
        <v>179</v>
      </c>
    </row>
    <row r="8" spans="1:5" ht="14">
      <c r="A8" s="13"/>
      <c r="B8" s="22" t="s">
        <v>36</v>
      </c>
      <c r="C8" s="13" t="s">
        <v>225</v>
      </c>
      <c r="D8" s="13" t="s">
        <v>226</v>
      </c>
      <c r="E8" s="19" t="s">
        <v>179</v>
      </c>
    </row>
    <row r="9" spans="1:5" ht="14">
      <c r="A9" s="13"/>
      <c r="B9" s="22" t="s">
        <v>45</v>
      </c>
      <c r="C9" s="13" t="s">
        <v>227</v>
      </c>
      <c r="D9" s="13" t="s">
        <v>228</v>
      </c>
      <c r="E9" s="19" t="s">
        <v>179</v>
      </c>
    </row>
    <row r="10" spans="1:5" ht="14">
      <c r="A10" s="13"/>
      <c r="B10" s="22" t="s">
        <v>52</v>
      </c>
      <c r="C10" s="13" t="s">
        <v>229</v>
      </c>
      <c r="D10" s="13" t="s">
        <v>123</v>
      </c>
      <c r="E10" s="19" t="s">
        <v>123</v>
      </c>
    </row>
    <row r="11" spans="1:5" ht="14">
      <c r="A11" s="13"/>
      <c r="B11" s="21" t="s">
        <v>57</v>
      </c>
      <c r="C11" s="13" t="s">
        <v>230</v>
      </c>
      <c r="D11" s="13" t="s">
        <v>231</v>
      </c>
      <c r="E11" s="19" t="s">
        <v>179</v>
      </c>
    </row>
    <row r="12" spans="1:5" ht="14">
      <c r="A12" s="13"/>
      <c r="B12" s="27" t="s">
        <v>62</v>
      </c>
      <c r="C12" s="49" t="s">
        <v>232</v>
      </c>
      <c r="D12" s="49" t="s">
        <v>123</v>
      </c>
      <c r="E12" s="23" t="s">
        <v>123</v>
      </c>
    </row>
    <row r="13" spans="1:5" ht="14">
      <c r="A13" s="13"/>
      <c r="B13" s="9"/>
      <c r="C13" s="13"/>
      <c r="D13" s="13"/>
      <c r="E13" s="47"/>
    </row>
    <row r="14" spans="1:5" ht="14">
      <c r="A14" s="13"/>
      <c r="B14" s="9"/>
      <c r="C14" s="13"/>
      <c r="D14" s="13"/>
      <c r="E14" s="47"/>
    </row>
    <row r="15" spans="1:5" ht="14">
      <c r="A15" s="13"/>
      <c r="B15" s="13"/>
      <c r="C15" s="13"/>
      <c r="D15" s="13"/>
      <c r="E15" s="47"/>
    </row>
    <row r="16" spans="1:5" ht="14">
      <c r="A16" s="13"/>
      <c r="B16" s="13"/>
      <c r="C16" s="13"/>
      <c r="D16" s="13"/>
      <c r="E16" s="47"/>
    </row>
    <row r="17" spans="1:5" ht="14">
      <c r="A17" s="13"/>
      <c r="B17" s="13"/>
      <c r="C17" s="13"/>
      <c r="D17" s="13"/>
      <c r="E17" s="47"/>
    </row>
    <row r="18" spans="1:5" ht="14">
      <c r="A18" s="13"/>
      <c r="B18" s="13"/>
      <c r="C18" s="13"/>
      <c r="D18" s="13"/>
      <c r="E18" s="47"/>
    </row>
  </sheetData>
  <mergeCells count="3">
    <mergeCell ref="B2:C2"/>
    <mergeCell ref="B3:E3"/>
    <mergeCell ref="B4:E4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J1034"/>
  <sheetViews>
    <sheetView showGridLines="0" workbookViewId="0">
      <selection activeCell="I44" sqref="I44"/>
    </sheetView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3" width="29.83203125" customWidth="1"/>
    <col min="4" max="4" width="18.33203125" customWidth="1"/>
    <col min="6" max="6" width="3.5" customWidth="1"/>
    <col min="7" max="7" width="19.1640625" customWidth="1"/>
    <col min="8" max="8" width="25" customWidth="1"/>
    <col min="9" max="9" width="25.1640625" customWidth="1"/>
    <col min="10" max="10" width="9.1640625" customWidth="1"/>
  </cols>
  <sheetData>
    <row r="1" spans="1:10" ht="15" customHeight="1">
      <c r="A1" s="13"/>
      <c r="B1" s="36"/>
      <c r="C1" s="36"/>
      <c r="D1" s="36"/>
      <c r="E1" s="36"/>
      <c r="F1" s="36"/>
      <c r="G1" s="36"/>
      <c r="H1" s="36"/>
      <c r="I1" s="36"/>
      <c r="J1" s="36"/>
    </row>
    <row r="2" spans="1:10" ht="73.5" customHeight="1">
      <c r="A2" s="13"/>
      <c r="B2" s="112"/>
      <c r="C2" s="113"/>
      <c r="D2" s="113"/>
      <c r="E2" s="113"/>
      <c r="F2" s="113"/>
      <c r="G2" s="113"/>
      <c r="H2" s="113"/>
      <c r="I2" s="113"/>
      <c r="J2" s="113"/>
    </row>
    <row r="3" spans="1:10" ht="15">
      <c r="A3" s="13"/>
      <c r="B3" s="114" t="s">
        <v>1</v>
      </c>
      <c r="C3" s="106"/>
      <c r="D3" s="106"/>
      <c r="E3" s="106"/>
      <c r="F3" s="106"/>
      <c r="G3" s="106"/>
      <c r="H3" s="106"/>
      <c r="I3" s="106"/>
      <c r="J3" s="106"/>
    </row>
    <row r="4" spans="1:10" ht="14">
      <c r="A4" s="13"/>
      <c r="B4" s="115" t="s">
        <v>117</v>
      </c>
      <c r="C4" s="106"/>
      <c r="D4" s="106"/>
      <c r="E4" s="116"/>
      <c r="F4" s="13"/>
      <c r="G4" s="115" t="s">
        <v>126</v>
      </c>
      <c r="H4" s="106"/>
      <c r="I4" s="106"/>
      <c r="J4" s="116"/>
    </row>
    <row r="5" spans="1:10" ht="14">
      <c r="A5" s="13"/>
      <c r="B5" s="58"/>
      <c r="C5" s="59"/>
      <c r="D5" s="59"/>
      <c r="E5" s="60"/>
      <c r="F5" s="13"/>
      <c r="G5" s="39"/>
      <c r="H5" s="40"/>
      <c r="I5" s="40"/>
      <c r="J5" s="41"/>
    </row>
    <row r="6" spans="1:10" ht="14">
      <c r="A6" s="13"/>
      <c r="B6" s="119"/>
      <c r="C6" s="122"/>
      <c r="D6" s="127"/>
      <c r="E6" s="128"/>
      <c r="F6" s="13"/>
      <c r="G6" s="16"/>
      <c r="H6" s="61"/>
      <c r="I6" s="61"/>
      <c r="J6" s="62"/>
    </row>
    <row r="7" spans="1:10" ht="14">
      <c r="A7" s="13"/>
      <c r="B7" s="120"/>
      <c r="C7" s="106"/>
      <c r="D7" s="106"/>
      <c r="E7" s="116"/>
      <c r="F7" s="13"/>
      <c r="G7" s="22"/>
      <c r="H7" s="13"/>
      <c r="I7" s="13"/>
      <c r="J7" s="19"/>
    </row>
    <row r="8" spans="1:10" ht="14">
      <c r="A8" s="13"/>
      <c r="B8" s="120"/>
      <c r="C8" s="106"/>
      <c r="D8" s="106"/>
      <c r="E8" s="116"/>
      <c r="F8" s="13"/>
      <c r="G8" s="22"/>
      <c r="H8" s="13"/>
      <c r="I8" s="13"/>
      <c r="J8" s="19"/>
    </row>
    <row r="9" spans="1:10" ht="14">
      <c r="A9" s="13"/>
      <c r="B9" s="120"/>
      <c r="C9" s="106"/>
      <c r="D9" s="106"/>
      <c r="E9" s="116"/>
      <c r="F9" s="13"/>
      <c r="G9" s="22"/>
      <c r="H9" s="13"/>
      <c r="I9" s="13"/>
      <c r="J9" s="19"/>
    </row>
    <row r="10" spans="1:10" ht="14">
      <c r="A10" s="13"/>
      <c r="B10" s="120"/>
      <c r="C10" s="106"/>
      <c r="D10" s="106"/>
      <c r="E10" s="116"/>
      <c r="F10" s="13"/>
      <c r="G10" s="22"/>
      <c r="H10" s="47"/>
      <c r="I10" s="47"/>
      <c r="J10" s="57"/>
    </row>
    <row r="11" spans="1:10" ht="14">
      <c r="A11" s="13"/>
      <c r="B11" s="120"/>
      <c r="C11" s="106"/>
      <c r="D11" s="106"/>
      <c r="E11" s="116"/>
      <c r="F11" s="13"/>
      <c r="G11" s="22"/>
      <c r="H11" s="13"/>
      <c r="I11" s="13"/>
      <c r="J11" s="19"/>
    </row>
    <row r="12" spans="1:10" ht="14">
      <c r="A12" s="13"/>
      <c r="B12" s="120"/>
      <c r="C12" s="106"/>
      <c r="D12" s="106"/>
      <c r="E12" s="116"/>
      <c r="F12" s="13"/>
      <c r="G12" s="22"/>
      <c r="H12" s="47"/>
      <c r="I12" s="47"/>
      <c r="J12" s="57"/>
    </row>
    <row r="13" spans="1:10" ht="14">
      <c r="A13" s="13"/>
      <c r="B13" s="121"/>
      <c r="C13" s="123"/>
      <c r="D13" s="123"/>
      <c r="E13" s="125"/>
      <c r="F13" s="13"/>
      <c r="G13" s="56"/>
      <c r="H13" s="49"/>
      <c r="I13" s="49"/>
      <c r="J13" s="23"/>
    </row>
    <row r="14" spans="1:10" ht="14">
      <c r="A14" s="13"/>
      <c r="B14" s="130"/>
      <c r="C14" s="122"/>
      <c r="D14" s="127"/>
      <c r="E14" s="128"/>
      <c r="F14" s="13"/>
      <c r="G14" s="22"/>
      <c r="H14" s="13"/>
      <c r="I14" s="13"/>
      <c r="J14" s="19"/>
    </row>
    <row r="15" spans="1:10" ht="14">
      <c r="A15" s="13"/>
      <c r="B15" s="120"/>
      <c r="C15" s="106"/>
      <c r="D15" s="106"/>
      <c r="E15" s="116"/>
      <c r="F15" s="13"/>
      <c r="G15" s="22"/>
      <c r="H15" s="13"/>
      <c r="I15" s="13"/>
      <c r="J15" s="19"/>
    </row>
    <row r="16" spans="1:10" ht="14">
      <c r="A16" s="13"/>
      <c r="B16" s="120"/>
      <c r="C16" s="106"/>
      <c r="D16" s="106"/>
      <c r="E16" s="116"/>
      <c r="F16" s="13"/>
      <c r="G16" s="22"/>
      <c r="H16" s="13"/>
      <c r="I16" s="13"/>
      <c r="J16" s="19"/>
    </row>
    <row r="17" spans="1:10" ht="14">
      <c r="A17" s="13"/>
      <c r="B17" s="120"/>
      <c r="C17" s="106"/>
      <c r="D17" s="106"/>
      <c r="E17" s="116"/>
      <c r="F17" s="13"/>
      <c r="G17" s="22"/>
      <c r="H17" s="13"/>
      <c r="I17" s="13"/>
      <c r="J17" s="19"/>
    </row>
    <row r="18" spans="1:10" ht="14">
      <c r="A18" s="13"/>
      <c r="B18" s="120"/>
      <c r="C18" s="106"/>
      <c r="D18" s="106"/>
      <c r="E18" s="116"/>
      <c r="F18" s="13"/>
      <c r="G18" s="22"/>
      <c r="H18" s="13"/>
      <c r="I18" s="13"/>
      <c r="J18" s="19"/>
    </row>
    <row r="19" spans="1:10" ht="14">
      <c r="A19" s="13"/>
      <c r="B19" s="120"/>
      <c r="C19" s="106"/>
      <c r="D19" s="106"/>
      <c r="E19" s="116"/>
      <c r="F19" s="13"/>
      <c r="G19" s="22"/>
      <c r="H19" s="13"/>
      <c r="I19" s="129"/>
      <c r="J19" s="116"/>
    </row>
    <row r="20" spans="1:10" ht="14">
      <c r="A20" s="13"/>
      <c r="B20" s="120"/>
      <c r="C20" s="106"/>
      <c r="D20" s="106"/>
      <c r="E20" s="116"/>
      <c r="F20" s="13"/>
      <c r="G20" s="22"/>
      <c r="H20" s="13"/>
      <c r="I20" s="129"/>
      <c r="J20" s="116"/>
    </row>
    <row r="21" spans="1:10" ht="14">
      <c r="A21" s="13"/>
      <c r="B21" s="120"/>
      <c r="C21" s="106"/>
      <c r="D21" s="106"/>
      <c r="E21" s="116"/>
      <c r="F21" s="13"/>
      <c r="G21" s="22"/>
      <c r="H21" s="13"/>
      <c r="I21" s="13"/>
      <c r="J21" s="19"/>
    </row>
    <row r="22" spans="1:10" ht="14">
      <c r="A22" s="13"/>
      <c r="B22" s="120"/>
      <c r="C22" s="106"/>
      <c r="D22" s="106"/>
      <c r="E22" s="116"/>
      <c r="F22" s="13"/>
      <c r="G22" s="22"/>
      <c r="H22" s="13"/>
      <c r="I22" s="13"/>
      <c r="J22" s="19"/>
    </row>
    <row r="23" spans="1:10" ht="14">
      <c r="A23" s="13"/>
      <c r="B23" s="120"/>
      <c r="C23" s="106"/>
      <c r="D23" s="106"/>
      <c r="E23" s="116"/>
      <c r="F23" s="13"/>
      <c r="G23" s="22"/>
      <c r="H23" s="13"/>
      <c r="I23" s="13"/>
      <c r="J23" s="19"/>
    </row>
    <row r="24" spans="1:10" ht="14">
      <c r="A24" s="13"/>
      <c r="B24" s="121"/>
      <c r="C24" s="123"/>
      <c r="D24" s="123"/>
      <c r="E24" s="125"/>
      <c r="F24" s="13"/>
      <c r="G24" s="63"/>
      <c r="H24" s="13"/>
      <c r="I24" s="129"/>
      <c r="J24" s="116"/>
    </row>
    <row r="25" spans="1:10" ht="14">
      <c r="A25" s="13"/>
      <c r="B25" s="130"/>
      <c r="C25" s="129"/>
      <c r="D25" s="129"/>
      <c r="E25" s="131"/>
      <c r="F25" s="13"/>
      <c r="G25" s="16"/>
      <c r="H25" s="18"/>
      <c r="I25" s="18"/>
      <c r="J25" s="42"/>
    </row>
    <row r="26" spans="1:10" ht="14">
      <c r="A26" s="13"/>
      <c r="B26" s="120"/>
      <c r="C26" s="106"/>
      <c r="D26" s="106"/>
      <c r="E26" s="116"/>
      <c r="F26" s="13"/>
      <c r="G26" s="22"/>
      <c r="H26" s="13"/>
      <c r="I26" s="13"/>
      <c r="J26" s="19"/>
    </row>
    <row r="27" spans="1:10" ht="14">
      <c r="A27" s="13"/>
      <c r="B27" s="120"/>
      <c r="C27" s="106"/>
      <c r="D27" s="106"/>
      <c r="E27" s="116"/>
      <c r="F27" s="13"/>
      <c r="G27" s="22"/>
      <c r="H27" s="13"/>
      <c r="I27" s="13"/>
      <c r="J27" s="19"/>
    </row>
    <row r="28" spans="1:10" ht="14">
      <c r="A28" s="13"/>
      <c r="B28" s="22"/>
      <c r="C28" s="13"/>
      <c r="D28" s="13"/>
      <c r="E28" s="19"/>
      <c r="F28" s="13"/>
      <c r="G28" s="56"/>
      <c r="H28" s="49"/>
      <c r="I28" s="49"/>
      <c r="J28" s="23"/>
    </row>
    <row r="29" spans="1:10" ht="14">
      <c r="A29" s="13"/>
      <c r="B29" s="22"/>
      <c r="C29" s="13"/>
      <c r="D29" s="13"/>
      <c r="E29" s="19"/>
      <c r="F29" s="13"/>
      <c r="G29" s="132"/>
      <c r="H29" s="111"/>
      <c r="I29" s="111"/>
      <c r="J29" s="110"/>
    </row>
    <row r="30" spans="1:10" ht="14">
      <c r="A30" s="13"/>
      <c r="B30" s="56"/>
      <c r="C30" s="49"/>
      <c r="D30" s="49"/>
      <c r="E30" s="23"/>
      <c r="F30" s="13"/>
      <c r="G30" s="132"/>
      <c r="H30" s="111"/>
      <c r="I30" s="111"/>
      <c r="J30" s="110"/>
    </row>
    <row r="31" spans="1:10" ht="14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ht="14">
      <c r="A32" s="13"/>
      <c r="B32" s="13"/>
      <c r="C32" s="13"/>
      <c r="D32" s="13"/>
      <c r="E32" s="47"/>
      <c r="F32" s="47"/>
      <c r="G32" s="47"/>
      <c r="H32" s="47"/>
      <c r="I32" s="47"/>
      <c r="J32" s="47"/>
    </row>
    <row r="33" spans="1:10" ht="14">
      <c r="A33" s="13"/>
      <c r="B33" s="9"/>
      <c r="C33" s="13"/>
      <c r="D33" s="13"/>
      <c r="E33" s="47"/>
      <c r="F33" s="47"/>
      <c r="G33" s="65"/>
      <c r="H33" s="66"/>
      <c r="I33" s="47"/>
      <c r="J33" s="47"/>
    </row>
    <row r="34" spans="1:10" ht="14">
      <c r="A34" s="13"/>
      <c r="B34" s="13"/>
      <c r="C34" s="13"/>
      <c r="D34" s="13"/>
      <c r="E34" s="47"/>
      <c r="F34" s="47"/>
      <c r="G34" s="47"/>
      <c r="H34" s="47"/>
      <c r="I34" s="47"/>
      <c r="J34" s="47"/>
    </row>
    <row r="35" spans="1:10" ht="16">
      <c r="A35" s="13"/>
      <c r="B35" s="67" t="s">
        <v>233</v>
      </c>
      <c r="C35" s="67" t="s">
        <v>234</v>
      </c>
      <c r="D35" s="67"/>
      <c r="E35" s="68" t="s">
        <v>235</v>
      </c>
      <c r="F35" s="47"/>
      <c r="G35" s="47"/>
      <c r="H35" s="47"/>
      <c r="I35" s="47"/>
      <c r="J35" s="47"/>
    </row>
    <row r="36" spans="1:10" ht="16">
      <c r="A36" s="13"/>
      <c r="B36" s="69" t="s">
        <v>1</v>
      </c>
      <c r="C36" s="70" t="s">
        <v>236</v>
      </c>
      <c r="D36" s="69"/>
      <c r="E36" s="71" t="s">
        <v>237</v>
      </c>
      <c r="F36" s="47"/>
      <c r="G36" s="47"/>
      <c r="H36" s="47"/>
      <c r="I36" s="47"/>
      <c r="J36" s="47"/>
    </row>
    <row r="37" spans="1:10" ht="16">
      <c r="A37" s="13"/>
      <c r="B37" s="69" t="s">
        <v>238</v>
      </c>
      <c r="C37" s="70" t="s">
        <v>239</v>
      </c>
      <c r="D37" s="69"/>
      <c r="E37" s="71" t="s">
        <v>240</v>
      </c>
      <c r="F37" s="47"/>
      <c r="G37" s="47"/>
      <c r="H37" s="47"/>
      <c r="I37" s="47"/>
      <c r="J37" s="47"/>
    </row>
    <row r="38" spans="1:10" ht="16">
      <c r="A38" s="13"/>
      <c r="B38" s="69" t="s">
        <v>241</v>
      </c>
      <c r="C38" s="70" t="s">
        <v>242</v>
      </c>
      <c r="D38" s="69"/>
      <c r="E38" s="71" t="s">
        <v>243</v>
      </c>
      <c r="F38" s="47"/>
      <c r="G38" s="47"/>
      <c r="H38" s="47"/>
      <c r="I38" s="47"/>
      <c r="J38" s="47"/>
    </row>
    <row r="39" spans="1:10" ht="16">
      <c r="A39" s="13"/>
      <c r="B39" s="69" t="s">
        <v>95</v>
      </c>
      <c r="C39" s="70" t="s">
        <v>244</v>
      </c>
      <c r="D39" s="69"/>
      <c r="E39" s="71" t="s">
        <v>245</v>
      </c>
      <c r="F39" s="47"/>
      <c r="G39" s="47"/>
      <c r="H39" s="47"/>
      <c r="I39" s="47"/>
      <c r="J39" s="47"/>
    </row>
    <row r="40" spans="1:10" ht="16">
      <c r="A40" s="13"/>
      <c r="B40" s="69" t="s">
        <v>96</v>
      </c>
      <c r="C40" s="70" t="s">
        <v>246</v>
      </c>
      <c r="D40" s="69"/>
      <c r="E40" s="71" t="s">
        <v>247</v>
      </c>
      <c r="F40" s="47"/>
      <c r="G40" s="47"/>
      <c r="H40" s="47"/>
      <c r="I40" s="47"/>
      <c r="J40" s="47"/>
    </row>
    <row r="41" spans="1:10" ht="16">
      <c r="A41" s="13"/>
      <c r="B41" s="69" t="s">
        <v>248</v>
      </c>
      <c r="C41" s="70" t="s">
        <v>249</v>
      </c>
      <c r="D41" s="69"/>
      <c r="E41" s="71" t="s">
        <v>250</v>
      </c>
      <c r="F41" s="47"/>
      <c r="G41" s="47"/>
      <c r="H41" s="47"/>
      <c r="I41" s="47"/>
      <c r="J41" s="47"/>
    </row>
    <row r="42" spans="1:10" ht="16">
      <c r="A42" s="13"/>
      <c r="B42" s="69" t="s">
        <v>251</v>
      </c>
      <c r="C42" s="70" t="s">
        <v>252</v>
      </c>
      <c r="D42" s="69"/>
      <c r="E42" s="71" t="s">
        <v>253</v>
      </c>
      <c r="F42" s="47"/>
      <c r="G42" s="47"/>
      <c r="H42" s="47"/>
      <c r="I42" s="47"/>
      <c r="J42" s="47"/>
    </row>
    <row r="43" spans="1:10" ht="14">
      <c r="A43" s="13"/>
      <c r="B43" s="52"/>
      <c r="C43" s="52"/>
      <c r="D43" s="52"/>
      <c r="E43" s="72"/>
      <c r="F43" s="47"/>
      <c r="G43" s="47"/>
      <c r="H43" s="47"/>
      <c r="I43" s="47"/>
      <c r="J43" s="47"/>
    </row>
    <row r="44" spans="1:10" ht="14">
      <c r="A44" s="13"/>
      <c r="E44" s="73"/>
      <c r="F44" s="47"/>
      <c r="G44" s="47"/>
      <c r="H44" s="47"/>
      <c r="I44" s="47"/>
      <c r="J44" s="47"/>
    </row>
    <row r="45" spans="1:10" ht="14">
      <c r="A45" s="13"/>
      <c r="B45" s="13"/>
      <c r="C45" s="13"/>
      <c r="D45" s="13"/>
      <c r="E45" s="47"/>
      <c r="F45" s="47"/>
      <c r="G45" s="47"/>
      <c r="H45" s="47"/>
      <c r="I45" s="47"/>
      <c r="J45" s="47"/>
    </row>
    <row r="46" spans="1:10" ht="14">
      <c r="A46" s="13"/>
      <c r="B46" s="13"/>
      <c r="C46" s="13"/>
      <c r="D46" s="13"/>
      <c r="E46" s="47"/>
      <c r="F46" s="47"/>
      <c r="G46" s="47"/>
      <c r="H46" s="47"/>
      <c r="I46" s="47"/>
      <c r="J46" s="47"/>
    </row>
    <row r="47" spans="1:10" ht="14">
      <c r="A47" s="13"/>
      <c r="B47" s="13"/>
      <c r="C47" s="13"/>
      <c r="D47" s="13"/>
      <c r="E47" s="47"/>
      <c r="F47" s="47"/>
      <c r="G47" s="47"/>
      <c r="H47" s="47"/>
      <c r="I47" s="47"/>
      <c r="J47" s="47"/>
    </row>
    <row r="48" spans="1:10" ht="14">
      <c r="A48" s="13"/>
      <c r="B48" s="13"/>
      <c r="C48" s="13"/>
      <c r="D48" s="13"/>
      <c r="E48" s="47"/>
      <c r="F48" s="47"/>
      <c r="G48" s="47"/>
      <c r="H48" s="47"/>
      <c r="I48" s="47"/>
      <c r="J48" s="47"/>
    </row>
    <row r="49" spans="1:10" ht="14">
      <c r="A49" s="13"/>
      <c r="B49" s="13"/>
      <c r="C49" s="13"/>
      <c r="D49" s="13"/>
      <c r="E49" s="47"/>
      <c r="F49" s="47"/>
      <c r="G49" s="47"/>
      <c r="H49" s="47"/>
      <c r="I49" s="47"/>
      <c r="J49" s="47"/>
    </row>
    <row r="50" spans="1:10" ht="14">
      <c r="A50" s="13"/>
      <c r="B50" s="13"/>
      <c r="C50" s="13"/>
      <c r="D50" s="13"/>
      <c r="E50" s="47"/>
      <c r="F50" s="47"/>
      <c r="G50" s="47"/>
      <c r="H50" s="47"/>
      <c r="I50" s="47"/>
      <c r="J50" s="47"/>
    </row>
    <row r="51" spans="1:10" ht="14">
      <c r="A51" s="13"/>
      <c r="B51" s="13"/>
      <c r="C51" s="13"/>
      <c r="D51" s="13"/>
      <c r="E51" s="47"/>
      <c r="F51" s="47"/>
      <c r="G51" s="47"/>
      <c r="H51" s="47"/>
      <c r="I51" s="47"/>
      <c r="J51" s="47"/>
    </row>
    <row r="52" spans="1:10" ht="14">
      <c r="A52" s="13"/>
      <c r="B52" s="13"/>
      <c r="C52" s="13"/>
      <c r="D52" s="13"/>
      <c r="E52" s="47"/>
      <c r="F52" s="47"/>
      <c r="G52" s="47"/>
      <c r="H52" s="47"/>
      <c r="I52" s="47"/>
      <c r="J52" s="47"/>
    </row>
    <row r="53" spans="1:10" ht="14">
      <c r="A53" s="13"/>
      <c r="B53" s="13"/>
      <c r="C53" s="13"/>
      <c r="D53" s="13"/>
      <c r="E53" s="47"/>
      <c r="F53" s="47"/>
      <c r="G53" s="47"/>
      <c r="H53" s="47"/>
      <c r="I53" s="47"/>
      <c r="J53" s="47"/>
    </row>
    <row r="54" spans="1:10" ht="14">
      <c r="A54" s="13"/>
      <c r="B54" s="13"/>
      <c r="C54" s="13"/>
      <c r="D54" s="13"/>
      <c r="E54" s="47"/>
      <c r="F54" s="47"/>
      <c r="G54" s="47"/>
      <c r="H54" s="47"/>
      <c r="I54" s="47"/>
      <c r="J54" s="47"/>
    </row>
    <row r="55" spans="1:10" ht="14">
      <c r="A55" s="13"/>
      <c r="B55" s="13"/>
      <c r="C55" s="13"/>
      <c r="D55" s="13"/>
      <c r="E55" s="47"/>
      <c r="F55" s="47"/>
      <c r="G55" s="47"/>
      <c r="H55" s="47"/>
      <c r="I55" s="47"/>
      <c r="J55" s="47"/>
    </row>
    <row r="56" spans="1:10" ht="14">
      <c r="A56" s="13"/>
      <c r="B56" s="13"/>
      <c r="C56" s="13"/>
      <c r="D56" s="13"/>
      <c r="E56" s="47"/>
      <c r="F56" s="47"/>
      <c r="G56" s="47"/>
      <c r="H56" s="47"/>
      <c r="I56" s="47"/>
      <c r="J56" s="47"/>
    </row>
    <row r="57" spans="1:10" ht="14">
      <c r="A57" s="13"/>
      <c r="B57" s="13"/>
      <c r="C57" s="13"/>
      <c r="D57" s="13"/>
      <c r="E57" s="47"/>
      <c r="F57" s="47"/>
      <c r="G57" s="47"/>
      <c r="H57" s="47"/>
      <c r="I57" s="47"/>
      <c r="J57" s="47"/>
    </row>
    <row r="58" spans="1:10" ht="14">
      <c r="A58" s="13"/>
      <c r="B58" s="13"/>
      <c r="C58" s="13"/>
      <c r="D58" s="13"/>
      <c r="E58" s="47"/>
      <c r="F58" s="47"/>
      <c r="G58" s="47"/>
      <c r="H58" s="47"/>
      <c r="I58" s="47"/>
      <c r="J58" s="47"/>
    </row>
    <row r="59" spans="1:10" ht="14">
      <c r="A59" s="13"/>
      <c r="B59" s="13"/>
      <c r="C59" s="13"/>
      <c r="D59" s="13"/>
      <c r="E59" s="47"/>
      <c r="F59" s="47"/>
      <c r="G59" s="47"/>
      <c r="H59" s="47"/>
      <c r="I59" s="47"/>
      <c r="J59" s="47"/>
    </row>
    <row r="60" spans="1:10" ht="14">
      <c r="A60" s="13"/>
      <c r="B60" s="13"/>
      <c r="C60" s="13"/>
      <c r="D60" s="13"/>
      <c r="E60" s="47"/>
      <c r="F60" s="47"/>
      <c r="G60" s="47"/>
      <c r="H60" s="47"/>
      <c r="I60" s="47"/>
      <c r="J60" s="47"/>
    </row>
    <row r="61" spans="1:10" ht="14">
      <c r="A61" s="13"/>
      <c r="B61" s="13"/>
      <c r="C61" s="13"/>
      <c r="D61" s="13"/>
      <c r="E61" s="47"/>
      <c r="F61" s="47"/>
      <c r="G61" s="47"/>
      <c r="H61" s="47"/>
      <c r="I61" s="47"/>
      <c r="J61" s="47"/>
    </row>
    <row r="62" spans="1:10" ht="14">
      <c r="A62" s="13"/>
      <c r="B62" s="13"/>
      <c r="C62" s="13"/>
      <c r="D62" s="13"/>
      <c r="E62" s="47"/>
      <c r="F62" s="47"/>
      <c r="G62" s="47"/>
      <c r="H62" s="47"/>
      <c r="I62" s="47"/>
      <c r="J62" s="47"/>
    </row>
    <row r="63" spans="1:10" ht="14">
      <c r="A63" s="13"/>
      <c r="B63" s="13"/>
      <c r="C63" s="13"/>
      <c r="D63" s="13"/>
      <c r="E63" s="47"/>
      <c r="F63" s="47"/>
      <c r="G63" s="47"/>
      <c r="H63" s="47"/>
      <c r="I63" s="47"/>
      <c r="J63" s="47"/>
    </row>
    <row r="64" spans="1:10" ht="14">
      <c r="A64" s="13"/>
      <c r="B64" s="13"/>
      <c r="C64" s="13"/>
      <c r="D64" s="13"/>
      <c r="E64" s="47"/>
      <c r="F64" s="47"/>
      <c r="G64" s="47"/>
      <c r="H64" s="47"/>
      <c r="I64" s="47"/>
      <c r="J64" s="47"/>
    </row>
    <row r="65" spans="1:10" ht="14">
      <c r="A65" s="13"/>
      <c r="B65" s="13"/>
      <c r="C65" s="13"/>
      <c r="D65" s="13"/>
      <c r="E65" s="47"/>
      <c r="F65" s="47"/>
      <c r="G65" s="47"/>
      <c r="H65" s="47"/>
      <c r="I65" s="47"/>
      <c r="J65" s="47"/>
    </row>
    <row r="66" spans="1:10" ht="14">
      <c r="A66" s="13"/>
      <c r="B66" s="13"/>
      <c r="C66" s="13"/>
      <c r="D66" s="13"/>
      <c r="E66" s="47"/>
      <c r="F66" s="47"/>
      <c r="G66" s="47"/>
      <c r="H66" s="47"/>
      <c r="I66" s="47"/>
      <c r="J66" s="47"/>
    </row>
    <row r="67" spans="1:10" ht="14">
      <c r="A67" s="13"/>
      <c r="B67" s="13"/>
      <c r="C67" s="13"/>
      <c r="D67" s="13"/>
      <c r="E67" s="47"/>
      <c r="F67" s="47"/>
      <c r="G67" s="47"/>
      <c r="H67" s="47"/>
      <c r="I67" s="47"/>
      <c r="J67" s="47"/>
    </row>
    <row r="68" spans="1:10" ht="14">
      <c r="A68" s="13"/>
      <c r="B68" s="13"/>
      <c r="C68" s="13"/>
      <c r="D68" s="13"/>
      <c r="E68" s="47"/>
      <c r="F68" s="47"/>
      <c r="G68" s="47"/>
      <c r="H68" s="47"/>
      <c r="I68" s="47"/>
      <c r="J68" s="47"/>
    </row>
    <row r="69" spans="1:10" ht="14">
      <c r="A69" s="13"/>
      <c r="B69" s="13"/>
      <c r="C69" s="13"/>
      <c r="D69" s="13"/>
      <c r="E69" s="47"/>
      <c r="F69" s="47"/>
      <c r="G69" s="47"/>
      <c r="H69" s="47"/>
      <c r="I69" s="47"/>
      <c r="J69" s="47"/>
    </row>
    <row r="70" spans="1:10" ht="14">
      <c r="A70" s="13"/>
      <c r="B70" s="13"/>
      <c r="C70" s="13"/>
      <c r="D70" s="13"/>
      <c r="E70" s="47"/>
      <c r="F70" s="47"/>
      <c r="G70" s="47"/>
      <c r="H70" s="47"/>
      <c r="I70" s="47"/>
      <c r="J70" s="47"/>
    </row>
    <row r="71" spans="1:10" ht="14">
      <c r="A71" s="13"/>
      <c r="B71" s="13"/>
      <c r="C71" s="13"/>
      <c r="D71" s="13"/>
      <c r="E71" s="47"/>
      <c r="F71" s="47"/>
      <c r="G71" s="47"/>
      <c r="H71" s="47"/>
      <c r="I71" s="47"/>
      <c r="J71" s="47"/>
    </row>
    <row r="72" spans="1:10" ht="14">
      <c r="A72" s="13"/>
      <c r="B72" s="13"/>
      <c r="C72" s="13"/>
      <c r="D72" s="13"/>
      <c r="E72" s="47"/>
      <c r="F72" s="47"/>
      <c r="G72" s="47"/>
      <c r="H72" s="47"/>
      <c r="I72" s="47"/>
      <c r="J72" s="47"/>
    </row>
    <row r="73" spans="1:10" ht="14">
      <c r="A73" s="13"/>
      <c r="B73" s="13"/>
      <c r="C73" s="13"/>
      <c r="D73" s="13"/>
      <c r="E73" s="47"/>
      <c r="F73" s="47"/>
      <c r="G73" s="47"/>
      <c r="H73" s="47"/>
      <c r="I73" s="47"/>
      <c r="J73" s="47"/>
    </row>
    <row r="74" spans="1:10" ht="14">
      <c r="A74" s="13"/>
      <c r="B74" s="13"/>
      <c r="C74" s="13"/>
      <c r="D74" s="13"/>
      <c r="E74" s="47"/>
      <c r="F74" s="47"/>
      <c r="G74" s="47"/>
      <c r="H74" s="47"/>
      <c r="I74" s="47"/>
      <c r="J74" s="47"/>
    </row>
    <row r="75" spans="1:10" ht="14">
      <c r="A75" s="13"/>
      <c r="B75" s="13"/>
      <c r="C75" s="13"/>
      <c r="D75" s="13"/>
      <c r="E75" s="47"/>
      <c r="F75" s="47"/>
      <c r="G75" s="47"/>
      <c r="H75" s="47"/>
      <c r="I75" s="47"/>
      <c r="J75" s="47"/>
    </row>
    <row r="76" spans="1:10" ht="14">
      <c r="A76" s="13"/>
      <c r="B76" s="13"/>
      <c r="C76" s="13"/>
      <c r="D76" s="13"/>
      <c r="E76" s="47"/>
      <c r="F76" s="47"/>
      <c r="G76" s="47"/>
      <c r="H76" s="47"/>
      <c r="I76" s="47"/>
      <c r="J76" s="47"/>
    </row>
    <row r="77" spans="1:10" ht="14">
      <c r="A77" s="13"/>
      <c r="B77" s="13"/>
      <c r="C77" s="13"/>
      <c r="D77" s="13"/>
      <c r="E77" s="47"/>
      <c r="F77" s="47"/>
      <c r="G77" s="47"/>
      <c r="H77" s="47"/>
      <c r="I77" s="47"/>
      <c r="J77" s="47"/>
    </row>
    <row r="78" spans="1:10" ht="14">
      <c r="A78" s="13"/>
      <c r="B78" s="13"/>
      <c r="C78" s="13"/>
      <c r="D78" s="13"/>
      <c r="E78" s="47"/>
      <c r="F78" s="47"/>
      <c r="G78" s="47"/>
      <c r="H78" s="47"/>
      <c r="I78" s="47"/>
      <c r="J78" s="47"/>
    </row>
    <row r="79" spans="1:10" ht="14">
      <c r="A79" s="13"/>
      <c r="B79" s="13"/>
      <c r="C79" s="13"/>
      <c r="D79" s="13"/>
      <c r="E79" s="47"/>
      <c r="F79" s="47"/>
      <c r="G79" s="47"/>
      <c r="H79" s="47"/>
      <c r="I79" s="47"/>
      <c r="J79" s="47"/>
    </row>
    <row r="80" spans="1:10" ht="14">
      <c r="A80" s="13"/>
      <c r="B80" s="13"/>
      <c r="C80" s="13"/>
      <c r="D80" s="13"/>
      <c r="E80" s="47"/>
      <c r="F80" s="47"/>
      <c r="G80" s="47"/>
      <c r="H80" s="47"/>
      <c r="I80" s="47"/>
      <c r="J80" s="47"/>
    </row>
    <row r="81" spans="1:10" ht="14">
      <c r="A81" s="13"/>
      <c r="B81" s="13"/>
      <c r="C81" s="13"/>
      <c r="D81" s="13"/>
      <c r="E81" s="47"/>
      <c r="F81" s="47"/>
      <c r="G81" s="47"/>
      <c r="H81" s="47"/>
      <c r="I81" s="47"/>
      <c r="J81" s="47"/>
    </row>
    <row r="82" spans="1:10" ht="14">
      <c r="A82" s="13"/>
      <c r="B82" s="13"/>
      <c r="C82" s="13"/>
      <c r="D82" s="13"/>
      <c r="E82" s="47"/>
      <c r="F82" s="47"/>
      <c r="G82" s="47"/>
      <c r="H82" s="47"/>
      <c r="I82" s="47"/>
      <c r="J82" s="47"/>
    </row>
    <row r="83" spans="1:10" ht="14">
      <c r="A83" s="13"/>
      <c r="B83" s="13"/>
      <c r="C83" s="13"/>
      <c r="D83" s="13"/>
      <c r="E83" s="47"/>
      <c r="F83" s="47"/>
      <c r="G83" s="47"/>
      <c r="H83" s="47"/>
      <c r="I83" s="47"/>
      <c r="J83" s="47"/>
    </row>
    <row r="84" spans="1:10" ht="14">
      <c r="A84" s="13"/>
      <c r="B84" s="13"/>
      <c r="C84" s="13"/>
      <c r="D84" s="13"/>
      <c r="E84" s="47"/>
      <c r="F84" s="47"/>
      <c r="G84" s="47"/>
      <c r="H84" s="47"/>
      <c r="I84" s="47"/>
      <c r="J84" s="47"/>
    </row>
    <row r="85" spans="1:10" ht="14">
      <c r="A85" s="13"/>
      <c r="B85" s="13"/>
      <c r="C85" s="13"/>
      <c r="D85" s="13"/>
      <c r="E85" s="47"/>
      <c r="F85" s="47"/>
      <c r="G85" s="47"/>
      <c r="H85" s="47"/>
      <c r="I85" s="47"/>
      <c r="J85" s="47"/>
    </row>
    <row r="86" spans="1:10" ht="14">
      <c r="A86" s="13"/>
      <c r="B86" s="13"/>
      <c r="C86" s="13"/>
      <c r="D86" s="13"/>
      <c r="E86" s="47"/>
      <c r="F86" s="47"/>
      <c r="G86" s="47"/>
      <c r="H86" s="47"/>
      <c r="I86" s="47"/>
      <c r="J86" s="47"/>
    </row>
    <row r="87" spans="1:10" ht="14">
      <c r="A87" s="13"/>
      <c r="B87" s="13"/>
      <c r="C87" s="13"/>
      <c r="D87" s="13"/>
      <c r="E87" s="47"/>
      <c r="F87" s="47"/>
      <c r="G87" s="47"/>
      <c r="H87" s="47"/>
      <c r="I87" s="47"/>
      <c r="J87" s="47"/>
    </row>
    <row r="88" spans="1:10" ht="14">
      <c r="A88" s="13"/>
      <c r="B88" s="13"/>
      <c r="C88" s="13"/>
      <c r="D88" s="13"/>
      <c r="E88" s="47"/>
      <c r="F88" s="47"/>
      <c r="G88" s="47"/>
      <c r="H88" s="47"/>
      <c r="I88" s="47"/>
      <c r="J88" s="47"/>
    </row>
    <row r="89" spans="1:10" ht="14">
      <c r="A89" s="13"/>
      <c r="B89" s="13"/>
      <c r="C89" s="13"/>
      <c r="D89" s="13"/>
      <c r="E89" s="47"/>
      <c r="F89" s="47"/>
      <c r="G89" s="47"/>
      <c r="H89" s="47"/>
      <c r="I89" s="47"/>
      <c r="J89" s="47"/>
    </row>
    <row r="90" spans="1:10" ht="14">
      <c r="A90" s="13"/>
      <c r="B90" s="13"/>
      <c r="C90" s="13"/>
      <c r="D90" s="13"/>
      <c r="E90" s="47"/>
      <c r="F90" s="47"/>
      <c r="G90" s="47"/>
      <c r="H90" s="47"/>
      <c r="I90" s="47"/>
      <c r="J90" s="47"/>
    </row>
    <row r="91" spans="1:10" ht="14">
      <c r="A91" s="13"/>
      <c r="B91" s="13"/>
      <c r="C91" s="13"/>
      <c r="D91" s="13"/>
      <c r="E91" s="47"/>
      <c r="F91" s="47"/>
      <c r="G91" s="47"/>
      <c r="H91" s="47"/>
      <c r="I91" s="47"/>
      <c r="J91" s="47"/>
    </row>
    <row r="92" spans="1:10" ht="14">
      <c r="A92" s="13"/>
      <c r="B92" s="13"/>
      <c r="C92" s="13"/>
      <c r="D92" s="13"/>
      <c r="E92" s="47"/>
      <c r="F92" s="47"/>
      <c r="G92" s="47"/>
      <c r="H92" s="47"/>
      <c r="I92" s="47"/>
      <c r="J92" s="47"/>
    </row>
    <row r="93" spans="1:10" ht="14">
      <c r="A93" s="13"/>
      <c r="B93" s="13"/>
      <c r="C93" s="13"/>
      <c r="D93" s="13"/>
      <c r="E93" s="47"/>
      <c r="F93" s="47"/>
      <c r="G93" s="47"/>
      <c r="H93" s="47"/>
      <c r="I93" s="47"/>
      <c r="J93" s="47"/>
    </row>
    <row r="94" spans="1:10" ht="14">
      <c r="A94" s="13"/>
      <c r="B94" s="13"/>
      <c r="C94" s="13"/>
      <c r="D94" s="13"/>
      <c r="E94" s="47"/>
      <c r="F94" s="47"/>
      <c r="G94" s="47"/>
      <c r="H94" s="47"/>
      <c r="I94" s="47"/>
      <c r="J94" s="47"/>
    </row>
    <row r="95" spans="1:10" ht="14">
      <c r="A95" s="13"/>
      <c r="B95" s="13"/>
      <c r="C95" s="13"/>
      <c r="D95" s="13"/>
      <c r="E95" s="47"/>
      <c r="F95" s="47"/>
      <c r="G95" s="47"/>
      <c r="H95" s="47"/>
      <c r="I95" s="47"/>
      <c r="J95" s="47"/>
    </row>
    <row r="96" spans="1:10" ht="14">
      <c r="A96" s="13"/>
      <c r="B96" s="13"/>
      <c r="C96" s="13"/>
      <c r="D96" s="13"/>
      <c r="E96" s="47"/>
      <c r="F96" s="47"/>
      <c r="G96" s="47"/>
      <c r="H96" s="47"/>
      <c r="I96" s="47"/>
      <c r="J96" s="47"/>
    </row>
    <row r="97" spans="1:10" ht="14">
      <c r="A97" s="13"/>
      <c r="B97" s="13"/>
      <c r="C97" s="13"/>
      <c r="D97" s="13"/>
      <c r="E97" s="47"/>
      <c r="F97" s="47"/>
      <c r="G97" s="47"/>
      <c r="H97" s="47"/>
      <c r="I97" s="47"/>
      <c r="J97" s="47"/>
    </row>
    <row r="98" spans="1:10" ht="14">
      <c r="A98" s="13"/>
      <c r="B98" s="13"/>
      <c r="C98" s="13"/>
      <c r="D98" s="13"/>
      <c r="E98" s="47"/>
      <c r="F98" s="47"/>
      <c r="G98" s="47"/>
      <c r="H98" s="47"/>
      <c r="I98" s="47"/>
      <c r="J98" s="47"/>
    </row>
    <row r="99" spans="1:10" ht="14">
      <c r="A99" s="13"/>
      <c r="B99" s="13"/>
      <c r="C99" s="13"/>
      <c r="D99" s="13"/>
      <c r="E99" s="47"/>
      <c r="F99" s="47"/>
      <c r="G99" s="47"/>
      <c r="H99" s="47"/>
      <c r="I99" s="47"/>
      <c r="J99" s="47"/>
    </row>
    <row r="100" spans="1:10" ht="14">
      <c r="A100" s="13"/>
      <c r="B100" s="13"/>
      <c r="C100" s="13"/>
      <c r="D100" s="13"/>
      <c r="E100" s="47"/>
      <c r="F100" s="47"/>
      <c r="G100" s="47"/>
      <c r="H100" s="47"/>
      <c r="I100" s="47"/>
      <c r="J100" s="47"/>
    </row>
    <row r="101" spans="1:10" ht="14">
      <c r="A101" s="13"/>
      <c r="B101" s="13"/>
      <c r="C101" s="13"/>
      <c r="D101" s="13"/>
      <c r="E101" s="47"/>
      <c r="F101" s="47"/>
      <c r="G101" s="47"/>
      <c r="H101" s="47"/>
      <c r="I101" s="47"/>
      <c r="J101" s="47"/>
    </row>
    <row r="102" spans="1:10" ht="14">
      <c r="A102" s="13"/>
      <c r="B102" s="13"/>
      <c r="C102" s="13"/>
      <c r="D102" s="13"/>
      <c r="E102" s="47"/>
      <c r="F102" s="47"/>
      <c r="G102" s="47"/>
      <c r="H102" s="47"/>
      <c r="I102" s="47"/>
      <c r="J102" s="47"/>
    </row>
    <row r="103" spans="1:10" ht="14">
      <c r="A103" s="13"/>
      <c r="B103" s="13"/>
      <c r="C103" s="13"/>
      <c r="D103" s="13"/>
      <c r="E103" s="47"/>
      <c r="F103" s="47"/>
      <c r="G103" s="47"/>
      <c r="H103" s="47"/>
      <c r="I103" s="47"/>
      <c r="J103" s="47"/>
    </row>
    <row r="104" spans="1:10" ht="14">
      <c r="A104" s="13"/>
      <c r="B104" s="13"/>
      <c r="C104" s="13"/>
      <c r="D104" s="13"/>
      <c r="E104" s="47"/>
      <c r="F104" s="47"/>
      <c r="G104" s="47"/>
      <c r="H104" s="47"/>
      <c r="I104" s="47"/>
      <c r="J104" s="47"/>
    </row>
    <row r="105" spans="1:10" ht="14">
      <c r="A105" s="13"/>
      <c r="B105" s="13"/>
      <c r="C105" s="13"/>
      <c r="D105" s="13"/>
      <c r="E105" s="47"/>
      <c r="F105" s="47"/>
      <c r="G105" s="47"/>
      <c r="H105" s="47"/>
      <c r="I105" s="47"/>
      <c r="J105" s="47"/>
    </row>
    <row r="106" spans="1:10" ht="14">
      <c r="A106" s="13"/>
      <c r="B106" s="13"/>
      <c r="C106" s="13"/>
      <c r="D106" s="13"/>
      <c r="E106" s="47"/>
      <c r="F106" s="47"/>
      <c r="G106" s="47"/>
      <c r="H106" s="47"/>
      <c r="I106" s="47"/>
      <c r="J106" s="47"/>
    </row>
    <row r="107" spans="1:10" ht="14">
      <c r="A107" s="13"/>
      <c r="B107" s="13"/>
      <c r="C107" s="13"/>
      <c r="D107" s="13"/>
      <c r="E107" s="47"/>
      <c r="F107" s="47"/>
      <c r="G107" s="47"/>
      <c r="H107" s="47"/>
      <c r="I107" s="47"/>
      <c r="J107" s="47"/>
    </row>
    <row r="108" spans="1:10" ht="14">
      <c r="A108" s="13"/>
      <c r="B108" s="13"/>
      <c r="C108" s="13"/>
      <c r="D108" s="13"/>
      <c r="E108" s="47"/>
      <c r="F108" s="47"/>
      <c r="G108" s="47"/>
      <c r="H108" s="47"/>
      <c r="I108" s="47"/>
      <c r="J108" s="47"/>
    </row>
    <row r="109" spans="1:10" ht="14">
      <c r="A109" s="13"/>
      <c r="B109" s="13"/>
      <c r="C109" s="13"/>
      <c r="D109" s="13"/>
      <c r="E109" s="47"/>
      <c r="F109" s="47"/>
      <c r="G109" s="47"/>
      <c r="H109" s="47"/>
      <c r="I109" s="47"/>
      <c r="J109" s="47"/>
    </row>
    <row r="110" spans="1:10" ht="14">
      <c r="A110" s="13"/>
      <c r="B110" s="13"/>
      <c r="C110" s="13"/>
      <c r="D110" s="13"/>
      <c r="E110" s="47"/>
      <c r="F110" s="47"/>
      <c r="G110" s="47"/>
      <c r="H110" s="47"/>
      <c r="I110" s="47"/>
      <c r="J110" s="47"/>
    </row>
    <row r="111" spans="1:10" ht="14">
      <c r="A111" s="13"/>
      <c r="B111" s="13"/>
      <c r="C111" s="13"/>
      <c r="D111" s="13"/>
      <c r="E111" s="47"/>
      <c r="F111" s="47"/>
      <c r="G111" s="47"/>
      <c r="H111" s="47"/>
      <c r="I111" s="47"/>
      <c r="J111" s="47"/>
    </row>
    <row r="112" spans="1:10" ht="14">
      <c r="A112" s="13"/>
      <c r="B112" s="13"/>
      <c r="C112" s="13"/>
      <c r="D112" s="13"/>
      <c r="E112" s="47"/>
      <c r="F112" s="47"/>
      <c r="G112" s="47"/>
      <c r="H112" s="47"/>
      <c r="I112" s="47"/>
      <c r="J112" s="47"/>
    </row>
    <row r="113" spans="1:10" ht="14">
      <c r="A113" s="13"/>
      <c r="B113" s="13"/>
      <c r="C113" s="13"/>
      <c r="D113" s="13"/>
      <c r="E113" s="47"/>
      <c r="F113" s="47"/>
      <c r="G113" s="47"/>
      <c r="H113" s="47"/>
      <c r="I113" s="47"/>
      <c r="J113" s="47"/>
    </row>
    <row r="114" spans="1:10" ht="14">
      <c r="A114" s="13"/>
      <c r="B114" s="13"/>
      <c r="C114" s="13"/>
      <c r="D114" s="13"/>
      <c r="E114" s="47"/>
      <c r="F114" s="47"/>
      <c r="G114" s="47"/>
      <c r="H114" s="47"/>
      <c r="I114" s="47"/>
      <c r="J114" s="47"/>
    </row>
    <row r="115" spans="1:10" ht="14">
      <c r="A115" s="13"/>
      <c r="B115" s="13"/>
      <c r="C115" s="13"/>
      <c r="D115" s="13"/>
      <c r="E115" s="47"/>
      <c r="F115" s="47"/>
      <c r="G115" s="47"/>
      <c r="H115" s="47"/>
      <c r="I115" s="47"/>
      <c r="J115" s="47"/>
    </row>
    <row r="116" spans="1:10" ht="14">
      <c r="A116" s="13"/>
      <c r="B116" s="13"/>
      <c r="C116" s="13"/>
      <c r="D116" s="13"/>
      <c r="E116" s="47"/>
      <c r="F116" s="47"/>
      <c r="G116" s="47"/>
      <c r="H116" s="47"/>
      <c r="I116" s="47"/>
      <c r="J116" s="47"/>
    </row>
    <row r="117" spans="1:10" ht="14">
      <c r="A117" s="13"/>
      <c r="B117" s="13"/>
      <c r="C117" s="13"/>
      <c r="D117" s="13"/>
      <c r="E117" s="47"/>
      <c r="F117" s="47"/>
      <c r="G117" s="47"/>
      <c r="H117" s="47"/>
      <c r="I117" s="47"/>
      <c r="J117" s="47"/>
    </row>
    <row r="118" spans="1:10" ht="14">
      <c r="A118" s="13"/>
      <c r="B118" s="13"/>
      <c r="C118" s="13"/>
      <c r="D118" s="13"/>
      <c r="E118" s="47"/>
      <c r="F118" s="47"/>
      <c r="G118" s="47"/>
      <c r="H118" s="47"/>
      <c r="I118" s="47"/>
      <c r="J118" s="47"/>
    </row>
    <row r="119" spans="1:10" ht="14">
      <c r="A119" s="13"/>
      <c r="B119" s="13"/>
      <c r="C119" s="13"/>
      <c r="D119" s="13"/>
      <c r="E119" s="47"/>
      <c r="F119" s="47"/>
      <c r="G119" s="47"/>
      <c r="H119" s="47"/>
      <c r="I119" s="47"/>
      <c r="J119" s="47"/>
    </row>
    <row r="120" spans="1:10" ht="14">
      <c r="A120" s="13"/>
      <c r="B120" s="13"/>
      <c r="C120" s="13"/>
      <c r="D120" s="13"/>
      <c r="E120" s="47"/>
      <c r="F120" s="47"/>
      <c r="G120" s="47"/>
      <c r="H120" s="47"/>
      <c r="I120" s="47"/>
      <c r="J120" s="47"/>
    </row>
    <row r="121" spans="1:10" ht="14">
      <c r="A121" s="13"/>
      <c r="B121" s="13"/>
      <c r="C121" s="13"/>
      <c r="D121" s="13"/>
      <c r="E121" s="47"/>
      <c r="F121" s="47"/>
      <c r="G121" s="47"/>
      <c r="H121" s="47"/>
      <c r="I121" s="47"/>
      <c r="J121" s="47"/>
    </row>
    <row r="122" spans="1:10" ht="14">
      <c r="A122" s="13"/>
      <c r="B122" s="13"/>
      <c r="C122" s="13"/>
      <c r="D122" s="13"/>
      <c r="E122" s="47"/>
      <c r="F122" s="47"/>
      <c r="G122" s="47"/>
      <c r="H122" s="47"/>
      <c r="I122" s="47"/>
      <c r="J122" s="47"/>
    </row>
    <row r="123" spans="1:10" ht="14">
      <c r="A123" s="13"/>
      <c r="B123" s="13"/>
      <c r="C123" s="13"/>
      <c r="D123" s="13"/>
      <c r="E123" s="47"/>
      <c r="F123" s="47"/>
      <c r="G123" s="47"/>
      <c r="H123" s="47"/>
      <c r="I123" s="47"/>
      <c r="J123" s="47"/>
    </row>
    <row r="124" spans="1:10" ht="14">
      <c r="A124" s="13"/>
      <c r="B124" s="13"/>
      <c r="C124" s="13"/>
      <c r="D124" s="13"/>
      <c r="E124" s="47"/>
      <c r="F124" s="47"/>
      <c r="G124" s="47"/>
      <c r="H124" s="47"/>
      <c r="I124" s="47"/>
      <c r="J124" s="47"/>
    </row>
    <row r="125" spans="1:10" ht="14">
      <c r="A125" s="13"/>
      <c r="B125" s="13"/>
      <c r="C125" s="13"/>
      <c r="D125" s="13"/>
      <c r="E125" s="47"/>
      <c r="F125" s="47"/>
      <c r="G125" s="47"/>
      <c r="H125" s="47"/>
      <c r="I125" s="47"/>
      <c r="J125" s="47"/>
    </row>
    <row r="126" spans="1:10" ht="14">
      <c r="A126" s="13"/>
      <c r="B126" s="13"/>
      <c r="C126" s="13"/>
      <c r="D126" s="13"/>
      <c r="E126" s="47"/>
      <c r="F126" s="47"/>
      <c r="G126" s="47"/>
      <c r="H126" s="47"/>
      <c r="I126" s="47"/>
      <c r="J126" s="47"/>
    </row>
    <row r="127" spans="1:10" ht="14">
      <c r="A127" s="13"/>
      <c r="B127" s="13"/>
      <c r="C127" s="13"/>
      <c r="D127" s="13"/>
      <c r="E127" s="47"/>
      <c r="F127" s="47"/>
      <c r="G127" s="47"/>
      <c r="H127" s="47"/>
      <c r="I127" s="47"/>
      <c r="J127" s="47"/>
    </row>
    <row r="128" spans="1:10" ht="14">
      <c r="A128" s="13"/>
      <c r="B128" s="13"/>
      <c r="C128" s="13"/>
      <c r="D128" s="13"/>
      <c r="E128" s="47"/>
      <c r="F128" s="47"/>
      <c r="G128" s="47"/>
      <c r="H128" s="47"/>
      <c r="I128" s="47"/>
      <c r="J128" s="47"/>
    </row>
    <row r="129" spans="1:10" ht="14">
      <c r="A129" s="13"/>
      <c r="B129" s="13"/>
      <c r="C129" s="13"/>
      <c r="D129" s="13"/>
      <c r="E129" s="47"/>
      <c r="F129" s="47"/>
      <c r="G129" s="47"/>
      <c r="H129" s="47"/>
      <c r="I129" s="47"/>
      <c r="J129" s="47"/>
    </row>
    <row r="130" spans="1:10" ht="14">
      <c r="A130" s="13"/>
      <c r="B130" s="13"/>
      <c r="C130" s="13"/>
      <c r="D130" s="13"/>
      <c r="E130" s="47"/>
      <c r="F130" s="47"/>
      <c r="G130" s="47"/>
      <c r="H130" s="47"/>
      <c r="I130" s="47"/>
      <c r="J130" s="47"/>
    </row>
    <row r="131" spans="1:10" ht="14">
      <c r="A131" s="13"/>
      <c r="B131" s="13"/>
      <c r="C131" s="13"/>
      <c r="D131" s="13"/>
      <c r="E131" s="47"/>
      <c r="F131" s="47"/>
      <c r="G131" s="47"/>
      <c r="H131" s="47"/>
      <c r="I131" s="47"/>
      <c r="J131" s="47"/>
    </row>
    <row r="132" spans="1:10" ht="14">
      <c r="A132" s="13"/>
      <c r="B132" s="13"/>
      <c r="C132" s="13"/>
      <c r="D132" s="13"/>
      <c r="E132" s="47"/>
      <c r="F132" s="47"/>
      <c r="G132" s="47"/>
      <c r="H132" s="47"/>
      <c r="I132" s="47"/>
      <c r="J132" s="47"/>
    </row>
    <row r="133" spans="1:10" ht="14">
      <c r="A133" s="13"/>
      <c r="B133" s="13"/>
      <c r="C133" s="13"/>
      <c r="D133" s="13"/>
      <c r="E133" s="47"/>
      <c r="F133" s="47"/>
      <c r="G133" s="47"/>
      <c r="H133" s="47"/>
      <c r="I133" s="47"/>
      <c r="J133" s="47"/>
    </row>
    <row r="134" spans="1:10" ht="14">
      <c r="A134" s="13"/>
      <c r="B134" s="13"/>
      <c r="C134" s="13"/>
      <c r="D134" s="13"/>
      <c r="E134" s="47"/>
      <c r="F134" s="47"/>
      <c r="G134" s="47"/>
      <c r="H134" s="47"/>
      <c r="I134" s="47"/>
      <c r="J134" s="47"/>
    </row>
    <row r="135" spans="1:10" ht="14">
      <c r="A135" s="13"/>
      <c r="B135" s="13"/>
      <c r="C135" s="13"/>
      <c r="D135" s="13"/>
      <c r="E135" s="47"/>
      <c r="F135" s="47"/>
      <c r="G135" s="47"/>
      <c r="H135" s="47"/>
      <c r="I135" s="47"/>
      <c r="J135" s="47"/>
    </row>
    <row r="136" spans="1:10" ht="14">
      <c r="A136" s="13"/>
      <c r="B136" s="13"/>
      <c r="C136" s="13"/>
      <c r="D136" s="13"/>
      <c r="E136" s="47"/>
      <c r="F136" s="47"/>
      <c r="G136" s="47"/>
      <c r="H136" s="47"/>
      <c r="I136" s="47"/>
      <c r="J136" s="47"/>
    </row>
    <row r="137" spans="1:10" ht="14">
      <c r="A137" s="13"/>
      <c r="B137" s="13"/>
      <c r="C137" s="13"/>
      <c r="D137" s="13"/>
      <c r="E137" s="47"/>
      <c r="F137" s="47"/>
      <c r="G137" s="47"/>
      <c r="H137" s="47"/>
      <c r="I137" s="47"/>
      <c r="J137" s="47"/>
    </row>
    <row r="138" spans="1:10" ht="14">
      <c r="A138" s="13"/>
      <c r="B138" s="13"/>
      <c r="C138" s="13"/>
      <c r="D138" s="13"/>
      <c r="E138" s="47"/>
      <c r="F138" s="47"/>
      <c r="G138" s="47"/>
      <c r="H138" s="47"/>
      <c r="I138" s="47"/>
      <c r="J138" s="47"/>
    </row>
    <row r="139" spans="1:10" ht="14">
      <c r="A139" s="13"/>
      <c r="B139" s="13"/>
      <c r="C139" s="13"/>
      <c r="D139" s="13"/>
      <c r="E139" s="47"/>
      <c r="F139" s="47"/>
      <c r="G139" s="47"/>
      <c r="H139" s="47"/>
      <c r="I139" s="47"/>
      <c r="J139" s="47"/>
    </row>
    <row r="140" spans="1:10" ht="14">
      <c r="A140" s="13"/>
      <c r="B140" s="13"/>
      <c r="C140" s="13"/>
      <c r="D140" s="13"/>
      <c r="E140" s="47"/>
      <c r="F140" s="47"/>
      <c r="G140" s="47"/>
      <c r="H140" s="47"/>
      <c r="I140" s="47"/>
      <c r="J140" s="47"/>
    </row>
    <row r="141" spans="1:10" ht="14">
      <c r="A141" s="13"/>
      <c r="B141" s="13"/>
      <c r="C141" s="13"/>
      <c r="D141" s="13"/>
      <c r="E141" s="47"/>
      <c r="F141" s="47"/>
      <c r="G141" s="47"/>
      <c r="H141" s="47"/>
      <c r="I141" s="47"/>
      <c r="J141" s="47"/>
    </row>
    <row r="142" spans="1:10" ht="14">
      <c r="A142" s="13"/>
      <c r="B142" s="13"/>
      <c r="C142" s="13"/>
      <c r="D142" s="13"/>
      <c r="E142" s="47"/>
      <c r="F142" s="47"/>
      <c r="G142" s="47"/>
      <c r="H142" s="47"/>
      <c r="I142" s="47"/>
      <c r="J142" s="47"/>
    </row>
    <row r="143" spans="1:10" ht="14">
      <c r="A143" s="13"/>
      <c r="B143" s="13"/>
      <c r="C143" s="13"/>
      <c r="D143" s="13"/>
      <c r="E143" s="47"/>
      <c r="F143" s="47"/>
      <c r="G143" s="47"/>
      <c r="H143" s="47"/>
      <c r="I143" s="47"/>
      <c r="J143" s="47"/>
    </row>
    <row r="144" spans="1:10" ht="14">
      <c r="A144" s="13"/>
      <c r="B144" s="13"/>
      <c r="C144" s="13"/>
      <c r="D144" s="13"/>
      <c r="E144" s="47"/>
      <c r="F144" s="47"/>
      <c r="G144" s="47"/>
      <c r="H144" s="47"/>
      <c r="I144" s="47"/>
      <c r="J144" s="47"/>
    </row>
    <row r="145" spans="1:10" ht="14">
      <c r="A145" s="13"/>
      <c r="B145" s="13"/>
      <c r="C145" s="13"/>
      <c r="D145" s="13"/>
      <c r="E145" s="47"/>
      <c r="F145" s="47"/>
      <c r="G145" s="47"/>
      <c r="H145" s="47"/>
      <c r="I145" s="47"/>
      <c r="J145" s="47"/>
    </row>
    <row r="146" spans="1:10" ht="14">
      <c r="A146" s="13"/>
      <c r="B146" s="13"/>
      <c r="C146" s="13"/>
      <c r="D146" s="13"/>
      <c r="E146" s="47"/>
      <c r="F146" s="47"/>
      <c r="G146" s="47"/>
      <c r="H146" s="47"/>
      <c r="I146" s="47"/>
      <c r="J146" s="47"/>
    </row>
    <row r="147" spans="1:10" ht="14">
      <c r="A147" s="13"/>
      <c r="B147" s="13"/>
      <c r="C147" s="13"/>
      <c r="D147" s="13"/>
      <c r="E147" s="47"/>
      <c r="F147" s="47"/>
      <c r="G147" s="47"/>
      <c r="H147" s="47"/>
      <c r="I147" s="47"/>
      <c r="J147" s="47"/>
    </row>
    <row r="148" spans="1:10" ht="14">
      <c r="A148" s="13"/>
      <c r="B148" s="13"/>
      <c r="C148" s="13"/>
      <c r="D148" s="13"/>
      <c r="E148" s="47"/>
      <c r="F148" s="47"/>
      <c r="G148" s="47"/>
      <c r="H148" s="47"/>
      <c r="I148" s="47"/>
      <c r="J148" s="47"/>
    </row>
    <row r="149" spans="1:10" ht="14">
      <c r="A149" s="13"/>
      <c r="B149" s="13"/>
      <c r="C149" s="13"/>
      <c r="D149" s="13"/>
      <c r="E149" s="47"/>
      <c r="F149" s="47"/>
      <c r="G149" s="47"/>
      <c r="H149" s="47"/>
      <c r="I149" s="47"/>
      <c r="J149" s="47"/>
    </row>
    <row r="150" spans="1:10" ht="14">
      <c r="A150" s="13"/>
      <c r="B150" s="13"/>
      <c r="C150" s="13"/>
      <c r="D150" s="13"/>
      <c r="E150" s="47"/>
      <c r="F150" s="47"/>
      <c r="G150" s="47"/>
      <c r="H150" s="47"/>
      <c r="I150" s="47"/>
      <c r="J150" s="47"/>
    </row>
    <row r="151" spans="1:10" ht="14">
      <c r="A151" s="13"/>
      <c r="B151" s="13"/>
      <c r="C151" s="13"/>
      <c r="D151" s="13"/>
      <c r="E151" s="47"/>
      <c r="F151" s="47"/>
      <c r="G151" s="47"/>
      <c r="H151" s="47"/>
      <c r="I151" s="47"/>
      <c r="J151" s="47"/>
    </row>
    <row r="152" spans="1:10" ht="14">
      <c r="A152" s="13"/>
      <c r="B152" s="13"/>
      <c r="C152" s="13"/>
      <c r="D152" s="13"/>
      <c r="E152" s="47"/>
      <c r="F152" s="47"/>
      <c r="G152" s="47"/>
      <c r="H152" s="47"/>
      <c r="I152" s="47"/>
      <c r="J152" s="47"/>
    </row>
    <row r="153" spans="1:10" ht="14">
      <c r="A153" s="13"/>
      <c r="B153" s="13"/>
      <c r="C153" s="13"/>
      <c r="D153" s="13"/>
      <c r="E153" s="47"/>
      <c r="F153" s="47"/>
      <c r="G153" s="47"/>
      <c r="H153" s="47"/>
      <c r="I153" s="47"/>
      <c r="J153" s="47"/>
    </row>
    <row r="154" spans="1:10" ht="14">
      <c r="A154" s="13"/>
      <c r="B154" s="13"/>
      <c r="C154" s="13"/>
      <c r="D154" s="13"/>
      <c r="E154" s="47"/>
      <c r="F154" s="47"/>
      <c r="G154" s="47"/>
      <c r="H154" s="47"/>
      <c r="I154" s="47"/>
      <c r="J154" s="47"/>
    </row>
    <row r="155" spans="1:10" ht="14">
      <c r="A155" s="13"/>
      <c r="B155" s="13"/>
      <c r="C155" s="13"/>
      <c r="D155" s="13"/>
      <c r="E155" s="47"/>
      <c r="F155" s="47"/>
      <c r="G155" s="47"/>
      <c r="H155" s="47"/>
      <c r="I155" s="47"/>
      <c r="J155" s="47"/>
    </row>
    <row r="156" spans="1:10" ht="14">
      <c r="A156" s="13"/>
      <c r="B156" s="13"/>
      <c r="C156" s="13"/>
      <c r="D156" s="13"/>
      <c r="E156" s="47"/>
      <c r="F156" s="47"/>
      <c r="G156" s="47"/>
      <c r="H156" s="47"/>
      <c r="I156" s="47"/>
      <c r="J156" s="47"/>
    </row>
    <row r="157" spans="1:10" ht="14">
      <c r="A157" s="13"/>
      <c r="B157" s="13"/>
      <c r="C157" s="13"/>
      <c r="D157" s="13"/>
      <c r="E157" s="47"/>
      <c r="F157" s="47"/>
      <c r="G157" s="47"/>
      <c r="H157" s="47"/>
      <c r="I157" s="47"/>
      <c r="J157" s="47"/>
    </row>
    <row r="158" spans="1:10" ht="14">
      <c r="A158" s="13"/>
      <c r="B158" s="13"/>
      <c r="C158" s="13"/>
      <c r="D158" s="13"/>
      <c r="E158" s="47"/>
      <c r="F158" s="47"/>
      <c r="G158" s="47"/>
      <c r="H158" s="47"/>
      <c r="I158" s="47"/>
      <c r="J158" s="47"/>
    </row>
    <row r="159" spans="1:10" ht="14">
      <c r="A159" s="13"/>
      <c r="B159" s="13"/>
      <c r="C159" s="13"/>
      <c r="D159" s="13"/>
      <c r="E159" s="47"/>
      <c r="F159" s="47"/>
      <c r="G159" s="47"/>
      <c r="H159" s="47"/>
      <c r="I159" s="47"/>
      <c r="J159" s="47"/>
    </row>
    <row r="160" spans="1:10" ht="14">
      <c r="A160" s="13"/>
      <c r="B160" s="13"/>
      <c r="C160" s="13"/>
      <c r="D160" s="13"/>
      <c r="E160" s="47"/>
      <c r="F160" s="47"/>
      <c r="G160" s="47"/>
      <c r="H160" s="47"/>
      <c r="I160" s="47"/>
      <c r="J160" s="47"/>
    </row>
    <row r="161" spans="1:10" ht="14">
      <c r="A161" s="13"/>
      <c r="B161" s="13"/>
      <c r="C161" s="13"/>
      <c r="D161" s="13"/>
      <c r="E161" s="47"/>
      <c r="F161" s="47"/>
      <c r="G161" s="47"/>
      <c r="H161" s="47"/>
      <c r="I161" s="47"/>
      <c r="J161" s="47"/>
    </row>
    <row r="162" spans="1:10" ht="14">
      <c r="A162" s="13"/>
      <c r="B162" s="13"/>
      <c r="C162" s="13"/>
      <c r="D162" s="13"/>
      <c r="E162" s="47"/>
      <c r="F162" s="47"/>
      <c r="G162" s="47"/>
      <c r="H162" s="47"/>
      <c r="I162" s="47"/>
      <c r="J162" s="47"/>
    </row>
    <row r="163" spans="1:10" ht="14">
      <c r="A163" s="13"/>
      <c r="B163" s="13"/>
      <c r="C163" s="13"/>
      <c r="D163" s="13"/>
      <c r="E163" s="47"/>
      <c r="F163" s="47"/>
      <c r="G163" s="47"/>
      <c r="H163" s="47"/>
      <c r="I163" s="47"/>
      <c r="J163" s="47"/>
    </row>
    <row r="164" spans="1:10" ht="14">
      <c r="A164" s="13"/>
      <c r="B164" s="13"/>
      <c r="C164" s="13"/>
      <c r="D164" s="13"/>
      <c r="E164" s="47"/>
      <c r="F164" s="47"/>
      <c r="G164" s="47"/>
      <c r="H164" s="47"/>
      <c r="I164" s="47"/>
      <c r="J164" s="47"/>
    </row>
    <row r="165" spans="1:10" ht="14">
      <c r="A165" s="13"/>
      <c r="B165" s="13"/>
      <c r="C165" s="13"/>
      <c r="D165" s="13"/>
      <c r="E165" s="47"/>
      <c r="F165" s="47"/>
      <c r="G165" s="47"/>
      <c r="H165" s="47"/>
      <c r="I165" s="47"/>
      <c r="J165" s="47"/>
    </row>
    <row r="166" spans="1:10" ht="14">
      <c r="A166" s="13"/>
      <c r="B166" s="13"/>
      <c r="C166" s="13"/>
      <c r="D166" s="13"/>
      <c r="E166" s="47"/>
      <c r="F166" s="47"/>
      <c r="G166" s="47"/>
      <c r="H166" s="47"/>
      <c r="I166" s="47"/>
      <c r="J166" s="47"/>
    </row>
    <row r="167" spans="1:10" ht="14">
      <c r="A167" s="13"/>
      <c r="B167" s="13"/>
      <c r="C167" s="13"/>
      <c r="D167" s="13"/>
      <c r="E167" s="47"/>
      <c r="F167" s="47"/>
      <c r="G167" s="47"/>
      <c r="H167" s="47"/>
      <c r="I167" s="47"/>
      <c r="J167" s="47"/>
    </row>
    <row r="168" spans="1:10" ht="14">
      <c r="A168" s="13"/>
      <c r="B168" s="13"/>
      <c r="C168" s="13"/>
      <c r="D168" s="13"/>
      <c r="E168" s="47"/>
      <c r="F168" s="47"/>
      <c r="G168" s="47"/>
      <c r="H168" s="47"/>
      <c r="I168" s="47"/>
      <c r="J168" s="47"/>
    </row>
    <row r="169" spans="1:10" ht="14">
      <c r="A169" s="13"/>
      <c r="B169" s="13"/>
      <c r="C169" s="13"/>
      <c r="D169" s="13"/>
      <c r="E169" s="47"/>
      <c r="F169" s="47"/>
      <c r="G169" s="47"/>
      <c r="H169" s="47"/>
      <c r="I169" s="47"/>
      <c r="J169" s="47"/>
    </row>
    <row r="170" spans="1:10" ht="14">
      <c r="A170" s="13"/>
      <c r="B170" s="13"/>
      <c r="C170" s="13"/>
      <c r="D170" s="13"/>
      <c r="E170" s="47"/>
      <c r="F170" s="47"/>
      <c r="G170" s="47"/>
      <c r="H170" s="47"/>
      <c r="I170" s="47"/>
      <c r="J170" s="47"/>
    </row>
    <row r="171" spans="1:10" ht="14">
      <c r="A171" s="13"/>
      <c r="B171" s="13"/>
      <c r="C171" s="13"/>
      <c r="D171" s="13"/>
      <c r="E171" s="47"/>
      <c r="F171" s="47"/>
      <c r="G171" s="47"/>
      <c r="H171" s="47"/>
      <c r="I171" s="47"/>
      <c r="J171" s="47"/>
    </row>
    <row r="172" spans="1:10" ht="14">
      <c r="A172" s="13"/>
      <c r="B172" s="13"/>
      <c r="C172" s="13"/>
      <c r="D172" s="13"/>
      <c r="E172" s="47"/>
      <c r="F172" s="47"/>
      <c r="G172" s="47"/>
      <c r="H172" s="47"/>
      <c r="I172" s="47"/>
      <c r="J172" s="47"/>
    </row>
    <row r="173" spans="1:10" ht="14">
      <c r="A173" s="13"/>
      <c r="B173" s="13"/>
      <c r="C173" s="13"/>
      <c r="D173" s="13"/>
      <c r="E173" s="47"/>
      <c r="F173" s="47"/>
      <c r="G173" s="47"/>
      <c r="H173" s="47"/>
      <c r="I173" s="47"/>
      <c r="J173" s="47"/>
    </row>
    <row r="174" spans="1:10" ht="14">
      <c r="A174" s="13"/>
      <c r="B174" s="13"/>
      <c r="C174" s="13"/>
      <c r="D174" s="13"/>
      <c r="E174" s="47"/>
      <c r="F174" s="47"/>
      <c r="G174" s="47"/>
      <c r="H174" s="47"/>
      <c r="I174" s="47"/>
      <c r="J174" s="47"/>
    </row>
    <row r="175" spans="1:10" ht="14">
      <c r="A175" s="13"/>
      <c r="B175" s="13"/>
      <c r="C175" s="13"/>
      <c r="D175" s="13"/>
      <c r="E175" s="47"/>
      <c r="F175" s="47"/>
      <c r="G175" s="47"/>
      <c r="H175" s="47"/>
      <c r="I175" s="47"/>
      <c r="J175" s="47"/>
    </row>
    <row r="176" spans="1:10" ht="14">
      <c r="A176" s="13"/>
      <c r="B176" s="13"/>
      <c r="C176" s="13"/>
      <c r="D176" s="13"/>
      <c r="E176" s="47"/>
      <c r="F176" s="47"/>
      <c r="G176" s="47"/>
      <c r="H176" s="47"/>
      <c r="I176" s="47"/>
      <c r="J176" s="47"/>
    </row>
    <row r="177" spans="1:10" ht="14">
      <c r="A177" s="13"/>
      <c r="B177" s="13"/>
      <c r="C177" s="13"/>
      <c r="D177" s="13"/>
      <c r="E177" s="47"/>
      <c r="F177" s="47"/>
      <c r="G177" s="47"/>
      <c r="H177" s="47"/>
      <c r="I177" s="47"/>
      <c r="J177" s="47"/>
    </row>
    <row r="178" spans="1:10" ht="14">
      <c r="A178" s="13"/>
      <c r="B178" s="13"/>
      <c r="C178" s="13"/>
      <c r="D178" s="13"/>
      <c r="E178" s="47"/>
      <c r="F178" s="47"/>
      <c r="G178" s="47"/>
      <c r="H178" s="47"/>
      <c r="I178" s="47"/>
      <c r="J178" s="47"/>
    </row>
    <row r="179" spans="1:10" ht="14">
      <c r="A179" s="13"/>
      <c r="B179" s="13"/>
      <c r="C179" s="13"/>
      <c r="D179" s="13"/>
      <c r="E179" s="47"/>
      <c r="F179" s="47"/>
      <c r="G179" s="47"/>
      <c r="H179" s="47"/>
      <c r="I179" s="47"/>
      <c r="J179" s="47"/>
    </row>
    <row r="180" spans="1:10" ht="14">
      <c r="A180" s="13"/>
      <c r="B180" s="13"/>
      <c r="C180" s="13"/>
      <c r="D180" s="13"/>
      <c r="E180" s="47"/>
      <c r="F180" s="47"/>
      <c r="G180" s="47"/>
      <c r="H180" s="47"/>
      <c r="I180" s="47"/>
      <c r="J180" s="47"/>
    </row>
    <row r="181" spans="1:10" ht="14">
      <c r="A181" s="13"/>
      <c r="B181" s="13"/>
      <c r="C181" s="13"/>
      <c r="D181" s="13"/>
      <c r="E181" s="47"/>
      <c r="F181" s="47"/>
      <c r="G181" s="47"/>
      <c r="H181" s="47"/>
      <c r="I181" s="47"/>
      <c r="J181" s="47"/>
    </row>
    <row r="182" spans="1:10" ht="14">
      <c r="A182" s="13"/>
      <c r="B182" s="13"/>
      <c r="C182" s="13"/>
      <c r="D182" s="13"/>
      <c r="E182" s="47"/>
      <c r="F182" s="47"/>
      <c r="G182" s="47"/>
      <c r="H182" s="47"/>
      <c r="I182" s="47"/>
      <c r="J182" s="47"/>
    </row>
    <row r="183" spans="1:10" ht="14">
      <c r="A183" s="13"/>
      <c r="B183" s="13"/>
      <c r="C183" s="13"/>
      <c r="D183" s="13"/>
      <c r="E183" s="47"/>
      <c r="F183" s="47"/>
      <c r="G183" s="47"/>
      <c r="H183" s="47"/>
      <c r="I183" s="47"/>
      <c r="J183" s="47"/>
    </row>
    <row r="184" spans="1:10" ht="14">
      <c r="A184" s="13"/>
      <c r="B184" s="13"/>
      <c r="C184" s="13"/>
      <c r="D184" s="13"/>
      <c r="E184" s="47"/>
      <c r="F184" s="47"/>
      <c r="G184" s="47"/>
      <c r="H184" s="47"/>
      <c r="I184" s="47"/>
      <c r="J184" s="47"/>
    </row>
    <row r="185" spans="1:10" ht="14">
      <c r="A185" s="13"/>
      <c r="B185" s="13"/>
      <c r="C185" s="13"/>
      <c r="D185" s="13"/>
      <c r="E185" s="47"/>
      <c r="F185" s="47"/>
      <c r="G185" s="47"/>
      <c r="H185" s="47"/>
      <c r="I185" s="47"/>
      <c r="J185" s="47"/>
    </row>
    <row r="186" spans="1:10" ht="14">
      <c r="A186" s="13"/>
      <c r="B186" s="13"/>
      <c r="C186" s="13"/>
      <c r="D186" s="13"/>
      <c r="E186" s="47"/>
      <c r="F186" s="47"/>
      <c r="G186" s="47"/>
      <c r="H186" s="47"/>
      <c r="I186" s="47"/>
      <c r="J186" s="47"/>
    </row>
    <row r="187" spans="1:10" ht="14">
      <c r="A187" s="13"/>
      <c r="B187" s="13"/>
      <c r="C187" s="13"/>
      <c r="D187" s="13"/>
      <c r="E187" s="47"/>
      <c r="F187" s="47"/>
      <c r="G187" s="47"/>
      <c r="H187" s="47"/>
      <c r="I187" s="47"/>
      <c r="J187" s="47"/>
    </row>
    <row r="188" spans="1:10" ht="14">
      <c r="A188" s="13"/>
      <c r="B188" s="13"/>
      <c r="C188" s="13"/>
      <c r="D188" s="13"/>
      <c r="E188" s="47"/>
      <c r="F188" s="47"/>
      <c r="G188" s="47"/>
      <c r="H188" s="47"/>
      <c r="I188" s="47"/>
      <c r="J188" s="47"/>
    </row>
    <row r="189" spans="1:10" ht="14">
      <c r="A189" s="13"/>
      <c r="B189" s="13"/>
      <c r="C189" s="13"/>
      <c r="D189" s="13"/>
      <c r="E189" s="47"/>
      <c r="F189" s="47"/>
      <c r="G189" s="47"/>
      <c r="H189" s="47"/>
      <c r="I189" s="47"/>
      <c r="J189" s="47"/>
    </row>
    <row r="190" spans="1:10" ht="14">
      <c r="A190" s="13"/>
      <c r="B190" s="13"/>
      <c r="C190" s="13"/>
      <c r="D190" s="13"/>
      <c r="E190" s="47"/>
      <c r="F190" s="47"/>
      <c r="G190" s="47"/>
      <c r="H190" s="47"/>
      <c r="I190" s="47"/>
      <c r="J190" s="47"/>
    </row>
    <row r="191" spans="1:10" ht="14">
      <c r="A191" s="13"/>
      <c r="B191" s="13"/>
      <c r="C191" s="13"/>
      <c r="D191" s="13"/>
      <c r="E191" s="47"/>
      <c r="F191" s="47"/>
      <c r="G191" s="47"/>
      <c r="H191" s="47"/>
      <c r="I191" s="47"/>
      <c r="J191" s="47"/>
    </row>
    <row r="192" spans="1:10" ht="14">
      <c r="A192" s="13"/>
      <c r="B192" s="13"/>
      <c r="C192" s="13"/>
      <c r="D192" s="13"/>
      <c r="E192" s="47"/>
      <c r="F192" s="47"/>
      <c r="G192" s="47"/>
      <c r="H192" s="47"/>
      <c r="I192" s="47"/>
      <c r="J192" s="47"/>
    </row>
    <row r="193" spans="1:10" ht="14">
      <c r="A193" s="13"/>
      <c r="B193" s="13"/>
      <c r="C193" s="13"/>
      <c r="D193" s="13"/>
      <c r="E193" s="47"/>
      <c r="F193" s="47"/>
      <c r="G193" s="47"/>
      <c r="H193" s="47"/>
      <c r="I193" s="47"/>
      <c r="J193" s="47"/>
    </row>
    <row r="194" spans="1:10" ht="14">
      <c r="A194" s="13"/>
      <c r="B194" s="13"/>
      <c r="C194" s="13"/>
      <c r="D194" s="13"/>
      <c r="E194" s="47"/>
      <c r="F194" s="47"/>
      <c r="G194" s="47"/>
      <c r="H194" s="47"/>
      <c r="I194" s="47"/>
      <c r="J194" s="47"/>
    </row>
    <row r="195" spans="1:10" ht="14">
      <c r="A195" s="13"/>
      <c r="B195" s="13"/>
      <c r="C195" s="13"/>
      <c r="D195" s="13"/>
      <c r="E195" s="47"/>
      <c r="F195" s="47"/>
      <c r="G195" s="47"/>
      <c r="H195" s="47"/>
      <c r="I195" s="47"/>
      <c r="J195" s="47"/>
    </row>
    <row r="196" spans="1:10" ht="14">
      <c r="A196" s="13"/>
      <c r="B196" s="13"/>
      <c r="C196" s="13"/>
      <c r="D196" s="13"/>
      <c r="E196" s="47"/>
      <c r="F196" s="47"/>
      <c r="G196" s="47"/>
      <c r="H196" s="47"/>
      <c r="I196" s="47"/>
      <c r="J196" s="47"/>
    </row>
    <row r="197" spans="1:10" ht="14">
      <c r="A197" s="13"/>
      <c r="B197" s="13"/>
      <c r="C197" s="13"/>
      <c r="D197" s="13"/>
      <c r="E197" s="47"/>
      <c r="F197" s="47"/>
      <c r="G197" s="47"/>
      <c r="H197" s="47"/>
      <c r="I197" s="47"/>
      <c r="J197" s="47"/>
    </row>
    <row r="198" spans="1:10" ht="14">
      <c r="A198" s="13"/>
      <c r="B198" s="13"/>
      <c r="C198" s="13"/>
      <c r="D198" s="13"/>
      <c r="E198" s="47"/>
      <c r="F198" s="47"/>
      <c r="G198" s="47"/>
      <c r="H198" s="47"/>
      <c r="I198" s="47"/>
      <c r="J198" s="47"/>
    </row>
    <row r="199" spans="1:10" ht="14">
      <c r="A199" s="13"/>
      <c r="B199" s="13"/>
      <c r="C199" s="13"/>
      <c r="D199" s="13"/>
      <c r="E199" s="47"/>
      <c r="F199" s="47"/>
      <c r="G199" s="47"/>
      <c r="H199" s="47"/>
      <c r="I199" s="47"/>
      <c r="J199" s="47"/>
    </row>
    <row r="200" spans="1:10" ht="14">
      <c r="A200" s="13"/>
      <c r="B200" s="13"/>
      <c r="C200" s="13"/>
      <c r="D200" s="13"/>
      <c r="E200" s="47"/>
      <c r="F200" s="47"/>
      <c r="G200" s="47"/>
      <c r="H200" s="47"/>
      <c r="I200" s="47"/>
      <c r="J200" s="47"/>
    </row>
    <row r="201" spans="1:10" ht="14">
      <c r="A201" s="13"/>
      <c r="B201" s="13"/>
      <c r="C201" s="13"/>
      <c r="D201" s="13"/>
      <c r="E201" s="47"/>
      <c r="F201" s="47"/>
      <c r="G201" s="47"/>
      <c r="H201" s="47"/>
      <c r="I201" s="47"/>
      <c r="J201" s="47"/>
    </row>
    <row r="202" spans="1:10" ht="14">
      <c r="A202" s="13"/>
      <c r="B202" s="13"/>
      <c r="C202" s="13"/>
      <c r="D202" s="13"/>
      <c r="E202" s="47"/>
      <c r="F202" s="47"/>
      <c r="G202" s="47"/>
      <c r="H202" s="47"/>
      <c r="I202" s="47"/>
      <c r="J202" s="47"/>
    </row>
    <row r="203" spans="1:10" ht="14">
      <c r="A203" s="13"/>
      <c r="B203" s="13"/>
      <c r="C203" s="13"/>
      <c r="D203" s="13"/>
      <c r="E203" s="47"/>
      <c r="F203" s="47"/>
      <c r="G203" s="47"/>
      <c r="H203" s="47"/>
      <c r="I203" s="47"/>
      <c r="J203" s="47"/>
    </row>
    <row r="204" spans="1:10" ht="14">
      <c r="A204" s="13"/>
      <c r="B204" s="13"/>
      <c r="C204" s="13"/>
      <c r="D204" s="13"/>
      <c r="E204" s="47"/>
      <c r="F204" s="47"/>
      <c r="G204" s="47"/>
      <c r="H204" s="47"/>
      <c r="I204" s="47"/>
      <c r="J204" s="47"/>
    </row>
    <row r="205" spans="1:10" ht="14">
      <c r="A205" s="13"/>
      <c r="B205" s="13"/>
      <c r="C205" s="13"/>
      <c r="D205" s="13"/>
      <c r="E205" s="47"/>
      <c r="F205" s="47"/>
      <c r="G205" s="47"/>
      <c r="H205" s="47"/>
      <c r="I205" s="47"/>
      <c r="J205" s="47"/>
    </row>
    <row r="206" spans="1:10" ht="14">
      <c r="A206" s="13"/>
      <c r="B206" s="13"/>
      <c r="C206" s="13"/>
      <c r="D206" s="13"/>
      <c r="E206" s="47"/>
      <c r="F206" s="47"/>
      <c r="G206" s="47"/>
      <c r="H206" s="47"/>
      <c r="I206" s="47"/>
      <c r="J206" s="47"/>
    </row>
    <row r="207" spans="1:10" ht="14">
      <c r="A207" s="13"/>
      <c r="B207" s="13"/>
      <c r="C207" s="13"/>
      <c r="D207" s="13"/>
      <c r="E207" s="47"/>
      <c r="F207" s="47"/>
      <c r="G207" s="47"/>
      <c r="H207" s="47"/>
      <c r="I207" s="47"/>
      <c r="J207" s="47"/>
    </row>
    <row r="208" spans="1:10" ht="14">
      <c r="A208" s="13"/>
      <c r="B208" s="13"/>
      <c r="C208" s="13"/>
      <c r="D208" s="13"/>
      <c r="E208" s="47"/>
      <c r="F208" s="47"/>
      <c r="G208" s="47"/>
      <c r="H208" s="47"/>
      <c r="I208" s="47"/>
      <c r="J208" s="47"/>
    </row>
    <row r="209" spans="1:10" ht="14">
      <c r="A209" s="13"/>
      <c r="B209" s="13"/>
      <c r="C209" s="13"/>
      <c r="D209" s="13"/>
      <c r="E209" s="47"/>
      <c r="F209" s="47"/>
      <c r="G209" s="47"/>
      <c r="H209" s="47"/>
      <c r="I209" s="47"/>
      <c r="J209" s="47"/>
    </row>
    <row r="210" spans="1:10" ht="14">
      <c r="A210" s="13"/>
      <c r="B210" s="13"/>
      <c r="C210" s="13"/>
      <c r="D210" s="13"/>
      <c r="E210" s="47"/>
      <c r="F210" s="47"/>
      <c r="G210" s="47"/>
      <c r="H210" s="47"/>
      <c r="I210" s="47"/>
      <c r="J210" s="47"/>
    </row>
    <row r="211" spans="1:10" ht="14">
      <c r="A211" s="13"/>
      <c r="B211" s="13"/>
      <c r="C211" s="13"/>
      <c r="D211" s="13"/>
      <c r="E211" s="47"/>
      <c r="F211" s="47"/>
      <c r="G211" s="47"/>
      <c r="H211" s="47"/>
      <c r="I211" s="47"/>
      <c r="J211" s="47"/>
    </row>
    <row r="212" spans="1:10" ht="14">
      <c r="A212" s="13"/>
      <c r="B212" s="13"/>
      <c r="C212" s="13"/>
      <c r="D212" s="13"/>
      <c r="E212" s="47"/>
      <c r="F212" s="47"/>
      <c r="G212" s="47"/>
      <c r="H212" s="47"/>
      <c r="I212" s="47"/>
      <c r="J212" s="47"/>
    </row>
    <row r="213" spans="1:10" ht="14">
      <c r="A213" s="13"/>
      <c r="B213" s="13"/>
      <c r="C213" s="13"/>
      <c r="D213" s="13"/>
      <c r="E213" s="47"/>
      <c r="F213" s="47"/>
      <c r="G213" s="47"/>
      <c r="H213" s="47"/>
      <c r="I213" s="47"/>
      <c r="J213" s="47"/>
    </row>
    <row r="214" spans="1:10" ht="14">
      <c r="A214" s="13"/>
      <c r="B214" s="13"/>
      <c r="C214" s="13"/>
      <c r="D214" s="13"/>
      <c r="E214" s="47"/>
      <c r="F214" s="47"/>
      <c r="G214" s="47"/>
      <c r="H214" s="47"/>
      <c r="I214" s="47"/>
      <c r="J214" s="47"/>
    </row>
    <row r="215" spans="1:10" ht="14">
      <c r="A215" s="13"/>
      <c r="B215" s="13"/>
      <c r="C215" s="13"/>
      <c r="D215" s="13"/>
      <c r="E215" s="47"/>
      <c r="F215" s="47"/>
      <c r="G215" s="47"/>
      <c r="H215" s="47"/>
      <c r="I215" s="47"/>
      <c r="J215" s="47"/>
    </row>
    <row r="216" spans="1:10" ht="14">
      <c r="A216" s="13"/>
      <c r="B216" s="13"/>
      <c r="C216" s="13"/>
      <c r="D216" s="13"/>
      <c r="E216" s="47"/>
      <c r="F216" s="47"/>
      <c r="G216" s="47"/>
      <c r="H216" s="47"/>
      <c r="I216" s="47"/>
      <c r="J216" s="47"/>
    </row>
    <row r="217" spans="1:10" ht="14">
      <c r="A217" s="13"/>
      <c r="B217" s="13"/>
      <c r="C217" s="13"/>
      <c r="D217" s="13"/>
      <c r="E217" s="47"/>
      <c r="F217" s="47"/>
      <c r="G217" s="47"/>
      <c r="H217" s="47"/>
      <c r="I217" s="47"/>
      <c r="J217" s="47"/>
    </row>
    <row r="218" spans="1:10" ht="14">
      <c r="A218" s="13"/>
      <c r="B218" s="13"/>
      <c r="C218" s="13"/>
      <c r="D218" s="13"/>
      <c r="E218" s="47"/>
      <c r="F218" s="47"/>
      <c r="G218" s="47"/>
      <c r="H218" s="47"/>
      <c r="I218" s="47"/>
      <c r="J218" s="47"/>
    </row>
    <row r="219" spans="1:10" ht="14">
      <c r="A219" s="13"/>
      <c r="B219" s="13"/>
      <c r="C219" s="13"/>
      <c r="D219" s="13"/>
      <c r="E219" s="47"/>
      <c r="F219" s="47"/>
      <c r="G219" s="47"/>
      <c r="H219" s="47"/>
      <c r="I219" s="47"/>
      <c r="J219" s="47"/>
    </row>
    <row r="220" spans="1:10" ht="14">
      <c r="A220" s="13"/>
      <c r="B220" s="13"/>
      <c r="C220" s="13"/>
      <c r="D220" s="13"/>
      <c r="E220" s="47"/>
      <c r="F220" s="47"/>
      <c r="G220" s="47"/>
      <c r="H220" s="47"/>
      <c r="I220" s="47"/>
      <c r="J220" s="47"/>
    </row>
    <row r="221" spans="1:10" ht="14">
      <c r="A221" s="13"/>
      <c r="B221" s="13"/>
      <c r="C221" s="13"/>
      <c r="D221" s="13"/>
      <c r="E221" s="47"/>
      <c r="F221" s="47"/>
      <c r="G221" s="47"/>
      <c r="H221" s="47"/>
      <c r="I221" s="47"/>
      <c r="J221" s="47"/>
    </row>
    <row r="222" spans="1:10" ht="14">
      <c r="A222" s="13"/>
      <c r="B222" s="13"/>
      <c r="C222" s="13"/>
      <c r="D222" s="13"/>
      <c r="E222" s="47"/>
      <c r="F222" s="47"/>
      <c r="G222" s="47"/>
      <c r="H222" s="47"/>
      <c r="I222" s="47"/>
      <c r="J222" s="47"/>
    </row>
    <row r="223" spans="1:10" ht="14">
      <c r="A223" s="13"/>
      <c r="B223" s="13"/>
      <c r="C223" s="13"/>
      <c r="D223" s="13"/>
      <c r="E223" s="47"/>
      <c r="F223" s="47"/>
      <c r="G223" s="47"/>
      <c r="H223" s="47"/>
      <c r="I223" s="47"/>
      <c r="J223" s="47"/>
    </row>
    <row r="224" spans="1:10" ht="14">
      <c r="A224" s="13"/>
      <c r="B224" s="13"/>
      <c r="C224" s="13"/>
      <c r="D224" s="13"/>
      <c r="E224" s="47"/>
      <c r="F224" s="47"/>
      <c r="G224" s="47"/>
      <c r="H224" s="47"/>
      <c r="I224" s="47"/>
      <c r="J224" s="47"/>
    </row>
    <row r="225" spans="1:10" ht="14">
      <c r="A225" s="13"/>
      <c r="B225" s="13"/>
      <c r="C225" s="13"/>
      <c r="D225" s="13"/>
      <c r="E225" s="47"/>
      <c r="F225" s="47"/>
      <c r="G225" s="47"/>
      <c r="H225" s="47"/>
      <c r="I225" s="47"/>
      <c r="J225" s="47"/>
    </row>
    <row r="226" spans="1:10" ht="14">
      <c r="A226" s="13"/>
      <c r="B226" s="13"/>
      <c r="C226" s="13"/>
      <c r="D226" s="13"/>
      <c r="E226" s="47"/>
      <c r="F226" s="47"/>
      <c r="G226" s="47"/>
      <c r="H226" s="47"/>
      <c r="I226" s="47"/>
      <c r="J226" s="47"/>
    </row>
    <row r="227" spans="1:10" ht="14">
      <c r="A227" s="13"/>
      <c r="B227" s="13"/>
      <c r="C227" s="13"/>
      <c r="D227" s="13"/>
      <c r="E227" s="47"/>
      <c r="F227" s="47"/>
      <c r="G227" s="47"/>
      <c r="H227" s="47"/>
      <c r="I227" s="47"/>
      <c r="J227" s="47"/>
    </row>
    <row r="228" spans="1:10" ht="14">
      <c r="A228" s="13"/>
      <c r="B228" s="13"/>
      <c r="C228" s="13"/>
      <c r="D228" s="13"/>
      <c r="E228" s="47"/>
      <c r="F228" s="47"/>
      <c r="G228" s="47"/>
      <c r="H228" s="47"/>
      <c r="I228" s="47"/>
      <c r="J228" s="47"/>
    </row>
    <row r="229" spans="1:10" ht="14">
      <c r="A229" s="13"/>
      <c r="B229" s="13"/>
      <c r="C229" s="13"/>
      <c r="D229" s="13"/>
      <c r="E229" s="47"/>
      <c r="F229" s="47"/>
      <c r="G229" s="47"/>
      <c r="H229" s="47"/>
      <c r="I229" s="47"/>
      <c r="J229" s="47"/>
    </row>
    <row r="230" spans="1:10" ht="14">
      <c r="A230" s="13"/>
      <c r="B230" s="13"/>
      <c r="C230" s="13"/>
      <c r="D230" s="13"/>
      <c r="E230" s="47"/>
      <c r="F230" s="47"/>
      <c r="G230" s="47"/>
      <c r="H230" s="47"/>
      <c r="I230" s="47"/>
      <c r="J230" s="47"/>
    </row>
    <row r="231" spans="1:10" ht="14">
      <c r="A231" s="13"/>
      <c r="B231" s="13"/>
      <c r="C231" s="13"/>
      <c r="D231" s="13"/>
      <c r="E231" s="47"/>
      <c r="F231" s="47"/>
      <c r="G231" s="47"/>
      <c r="H231" s="47"/>
      <c r="I231" s="47"/>
      <c r="J231" s="47"/>
    </row>
    <row r="232" spans="1:10" ht="14">
      <c r="A232" s="13"/>
      <c r="B232" s="13"/>
      <c r="C232" s="13"/>
      <c r="D232" s="13"/>
      <c r="E232" s="47"/>
      <c r="F232" s="47"/>
      <c r="G232" s="47"/>
      <c r="H232" s="47"/>
      <c r="I232" s="47"/>
      <c r="J232" s="47"/>
    </row>
    <row r="233" spans="1:10" ht="14">
      <c r="A233" s="13"/>
      <c r="B233" s="13"/>
      <c r="C233" s="13"/>
      <c r="D233" s="13"/>
      <c r="E233" s="47"/>
      <c r="F233" s="47"/>
      <c r="G233" s="47"/>
      <c r="H233" s="47"/>
      <c r="I233" s="47"/>
      <c r="J233" s="47"/>
    </row>
    <row r="234" spans="1:10" ht="14">
      <c r="A234" s="13"/>
      <c r="B234" s="13"/>
      <c r="C234" s="13"/>
      <c r="D234" s="13"/>
      <c r="E234" s="47"/>
      <c r="F234" s="47"/>
      <c r="G234" s="47"/>
      <c r="H234" s="47"/>
      <c r="I234" s="47"/>
      <c r="J234" s="47"/>
    </row>
    <row r="235" spans="1:10" ht="14">
      <c r="A235" s="13"/>
      <c r="B235" s="13"/>
      <c r="C235" s="13"/>
      <c r="D235" s="13"/>
      <c r="E235" s="47"/>
      <c r="F235" s="47"/>
      <c r="G235" s="47"/>
      <c r="H235" s="47"/>
      <c r="I235" s="47"/>
      <c r="J235" s="47"/>
    </row>
    <row r="236" spans="1:10" ht="14">
      <c r="A236" s="13"/>
      <c r="B236" s="13"/>
      <c r="C236" s="13"/>
      <c r="D236" s="13"/>
      <c r="E236" s="47"/>
      <c r="F236" s="47"/>
      <c r="G236" s="47"/>
      <c r="H236" s="47"/>
      <c r="I236" s="47"/>
      <c r="J236" s="47"/>
    </row>
    <row r="237" spans="1:10" ht="14">
      <c r="A237" s="13"/>
      <c r="B237" s="13"/>
      <c r="C237" s="13"/>
      <c r="D237" s="13"/>
      <c r="E237" s="47"/>
      <c r="F237" s="47"/>
      <c r="G237" s="47"/>
      <c r="H237" s="47"/>
      <c r="I237" s="47"/>
      <c r="J237" s="47"/>
    </row>
    <row r="238" spans="1:10" ht="14">
      <c r="A238" s="13"/>
      <c r="B238" s="13"/>
      <c r="C238" s="13"/>
      <c r="D238" s="13"/>
      <c r="E238" s="47"/>
      <c r="F238" s="47"/>
      <c r="G238" s="47"/>
      <c r="H238" s="47"/>
      <c r="I238" s="47"/>
      <c r="J238" s="47"/>
    </row>
    <row r="239" spans="1:10" ht="14">
      <c r="A239" s="13"/>
      <c r="B239" s="13"/>
      <c r="C239" s="13"/>
      <c r="D239" s="13"/>
      <c r="E239" s="47"/>
      <c r="F239" s="47"/>
      <c r="G239" s="47"/>
      <c r="H239" s="47"/>
      <c r="I239" s="47"/>
      <c r="J239" s="47"/>
    </row>
    <row r="240" spans="1:10" ht="14">
      <c r="A240" s="13"/>
      <c r="B240" s="13"/>
      <c r="C240" s="13"/>
      <c r="D240" s="13"/>
      <c r="E240" s="47"/>
      <c r="F240" s="47"/>
      <c r="G240" s="47"/>
      <c r="H240" s="47"/>
      <c r="I240" s="47"/>
      <c r="J240" s="47"/>
    </row>
    <row r="241" spans="1:10" ht="14">
      <c r="A241" s="13"/>
      <c r="B241" s="13"/>
      <c r="C241" s="13"/>
      <c r="D241" s="13"/>
      <c r="E241" s="47"/>
      <c r="F241" s="47"/>
      <c r="G241" s="47"/>
      <c r="H241" s="47"/>
      <c r="I241" s="47"/>
      <c r="J241" s="47"/>
    </row>
    <row r="242" spans="1:10" ht="14">
      <c r="A242" s="13"/>
      <c r="B242" s="13"/>
      <c r="C242" s="13"/>
      <c r="D242" s="13"/>
      <c r="E242" s="47"/>
      <c r="F242" s="47"/>
      <c r="G242" s="47"/>
      <c r="H242" s="47"/>
      <c r="I242" s="47"/>
      <c r="J242" s="47"/>
    </row>
    <row r="243" spans="1:10" ht="14">
      <c r="A243" s="13"/>
      <c r="B243" s="13"/>
      <c r="C243" s="13"/>
      <c r="D243" s="13"/>
      <c r="E243" s="47"/>
      <c r="F243" s="47"/>
      <c r="G243" s="47"/>
      <c r="H243" s="47"/>
      <c r="I243" s="47"/>
      <c r="J243" s="47"/>
    </row>
    <row r="244" spans="1:10" ht="14">
      <c r="A244" s="13"/>
      <c r="B244" s="13"/>
      <c r="C244" s="13"/>
      <c r="D244" s="13"/>
      <c r="E244" s="47"/>
      <c r="F244" s="47"/>
      <c r="G244" s="47"/>
      <c r="H244" s="47"/>
      <c r="I244" s="47"/>
      <c r="J244" s="47"/>
    </row>
    <row r="245" spans="1:10" ht="14">
      <c r="A245" s="13"/>
      <c r="B245" s="13"/>
      <c r="C245" s="13"/>
      <c r="D245" s="13"/>
      <c r="E245" s="47"/>
      <c r="F245" s="47"/>
      <c r="G245" s="47"/>
      <c r="H245" s="47"/>
      <c r="I245" s="47"/>
      <c r="J245" s="47"/>
    </row>
    <row r="246" spans="1:10" ht="14">
      <c r="A246" s="13"/>
      <c r="B246" s="13"/>
      <c r="C246" s="13"/>
      <c r="D246" s="13"/>
      <c r="E246" s="47"/>
      <c r="F246" s="47"/>
      <c r="G246" s="47"/>
      <c r="H246" s="47"/>
      <c r="I246" s="47"/>
      <c r="J246" s="47"/>
    </row>
    <row r="247" spans="1:10" ht="14">
      <c r="A247" s="13"/>
      <c r="B247" s="13"/>
      <c r="C247" s="13"/>
      <c r="D247" s="13"/>
      <c r="E247" s="47"/>
      <c r="F247" s="47"/>
      <c r="G247" s="47"/>
      <c r="H247" s="47"/>
      <c r="I247" s="47"/>
      <c r="J247" s="47"/>
    </row>
    <row r="248" spans="1:10" ht="14">
      <c r="A248" s="13"/>
      <c r="B248" s="13"/>
      <c r="C248" s="13"/>
      <c r="D248" s="13"/>
      <c r="E248" s="47"/>
      <c r="F248" s="47"/>
      <c r="G248" s="47"/>
      <c r="H248" s="47"/>
      <c r="I248" s="47"/>
      <c r="J248" s="47"/>
    </row>
    <row r="249" spans="1:10" ht="14">
      <c r="A249" s="13"/>
      <c r="B249" s="13"/>
      <c r="C249" s="13"/>
      <c r="D249" s="13"/>
      <c r="E249" s="47"/>
      <c r="F249" s="47"/>
      <c r="G249" s="47"/>
      <c r="H249" s="47"/>
      <c r="I249" s="47"/>
      <c r="J249" s="47"/>
    </row>
    <row r="250" spans="1:10" ht="14">
      <c r="A250" s="13"/>
      <c r="B250" s="13"/>
      <c r="C250" s="13"/>
      <c r="D250" s="13"/>
      <c r="E250" s="47"/>
      <c r="F250" s="47"/>
      <c r="G250" s="47"/>
      <c r="H250" s="47"/>
      <c r="I250" s="47"/>
      <c r="J250" s="47"/>
    </row>
    <row r="251" spans="1:10" ht="14">
      <c r="A251" s="13"/>
      <c r="B251" s="13"/>
      <c r="C251" s="13"/>
      <c r="D251" s="13"/>
      <c r="E251" s="47"/>
      <c r="F251" s="47"/>
      <c r="G251" s="47"/>
      <c r="H251" s="47"/>
      <c r="I251" s="47"/>
      <c r="J251" s="47"/>
    </row>
    <row r="252" spans="1:10" ht="14">
      <c r="A252" s="13"/>
      <c r="B252" s="13"/>
      <c r="C252" s="13"/>
      <c r="D252" s="13"/>
      <c r="E252" s="47"/>
      <c r="F252" s="47"/>
      <c r="G252" s="47"/>
      <c r="H252" s="47"/>
      <c r="I252" s="47"/>
      <c r="J252" s="47"/>
    </row>
    <row r="253" spans="1:10" ht="14">
      <c r="A253" s="13"/>
      <c r="B253" s="13"/>
      <c r="C253" s="13"/>
      <c r="D253" s="13"/>
      <c r="E253" s="47"/>
      <c r="F253" s="47"/>
      <c r="G253" s="47"/>
      <c r="H253" s="47"/>
      <c r="I253" s="47"/>
      <c r="J253" s="47"/>
    </row>
    <row r="254" spans="1:10" ht="14">
      <c r="A254" s="13"/>
      <c r="B254" s="13"/>
      <c r="C254" s="13"/>
      <c r="D254" s="13"/>
      <c r="E254" s="47"/>
      <c r="F254" s="47"/>
      <c r="G254" s="47"/>
      <c r="H254" s="47"/>
      <c r="I254" s="47"/>
      <c r="J254" s="47"/>
    </row>
    <row r="255" spans="1:10" ht="14">
      <c r="A255" s="13"/>
      <c r="B255" s="13"/>
      <c r="C255" s="13"/>
      <c r="D255" s="13"/>
      <c r="E255" s="47"/>
      <c r="F255" s="47"/>
      <c r="G255" s="47"/>
      <c r="H255" s="47"/>
      <c r="I255" s="47"/>
      <c r="J255" s="47"/>
    </row>
    <row r="256" spans="1:10" ht="14">
      <c r="A256" s="13"/>
      <c r="B256" s="13"/>
      <c r="C256" s="13"/>
      <c r="D256" s="13"/>
      <c r="E256" s="47"/>
      <c r="F256" s="47"/>
      <c r="G256" s="47"/>
      <c r="H256" s="47"/>
      <c r="I256" s="47"/>
      <c r="J256" s="47"/>
    </row>
    <row r="257" spans="1:10" ht="14">
      <c r="A257" s="13"/>
      <c r="B257" s="13"/>
      <c r="C257" s="13"/>
      <c r="D257" s="13"/>
      <c r="E257" s="47"/>
      <c r="F257" s="47"/>
      <c r="G257" s="47"/>
      <c r="H257" s="47"/>
      <c r="I257" s="47"/>
      <c r="J257" s="47"/>
    </row>
    <row r="258" spans="1:10" ht="14">
      <c r="A258" s="13"/>
      <c r="B258" s="13"/>
      <c r="C258" s="13"/>
      <c r="D258" s="13"/>
      <c r="E258" s="47"/>
      <c r="F258" s="47"/>
      <c r="G258" s="47"/>
      <c r="H258" s="47"/>
      <c r="I258" s="47"/>
      <c r="J258" s="47"/>
    </row>
    <row r="259" spans="1:10" ht="14">
      <c r="A259" s="13"/>
      <c r="B259" s="13"/>
      <c r="C259" s="13"/>
      <c r="D259" s="13"/>
      <c r="E259" s="47"/>
      <c r="F259" s="47"/>
      <c r="G259" s="47"/>
      <c r="H259" s="47"/>
      <c r="I259" s="47"/>
      <c r="J259" s="47"/>
    </row>
    <row r="260" spans="1:10" ht="14">
      <c r="A260" s="13"/>
      <c r="B260" s="13"/>
      <c r="C260" s="13"/>
      <c r="D260" s="13"/>
      <c r="E260" s="47"/>
      <c r="F260" s="47"/>
      <c r="G260" s="47"/>
      <c r="H260" s="47"/>
      <c r="I260" s="47"/>
      <c r="J260" s="47"/>
    </row>
    <row r="261" spans="1:10" ht="14">
      <c r="A261" s="13"/>
      <c r="B261" s="13"/>
      <c r="C261" s="13"/>
      <c r="D261" s="13"/>
      <c r="E261" s="47"/>
      <c r="F261" s="47"/>
      <c r="G261" s="47"/>
      <c r="H261" s="47"/>
      <c r="I261" s="47"/>
      <c r="J261" s="47"/>
    </row>
    <row r="262" spans="1:10" ht="14">
      <c r="A262" s="13"/>
      <c r="B262" s="13"/>
      <c r="C262" s="13"/>
      <c r="D262" s="13"/>
      <c r="E262" s="47"/>
      <c r="F262" s="47"/>
      <c r="G262" s="47"/>
      <c r="H262" s="47"/>
      <c r="I262" s="47"/>
      <c r="J262" s="47"/>
    </row>
    <row r="263" spans="1:10" ht="14">
      <c r="A263" s="13"/>
      <c r="B263" s="13"/>
      <c r="C263" s="13"/>
      <c r="D263" s="13"/>
      <c r="E263" s="47"/>
      <c r="F263" s="47"/>
      <c r="G263" s="47"/>
      <c r="H263" s="47"/>
      <c r="I263" s="47"/>
      <c r="J263" s="47"/>
    </row>
    <row r="264" spans="1:10" ht="14">
      <c r="A264" s="13"/>
      <c r="B264" s="13"/>
      <c r="C264" s="13"/>
      <c r="D264" s="13"/>
      <c r="E264" s="47"/>
      <c r="F264" s="47"/>
      <c r="G264" s="47"/>
      <c r="H264" s="47"/>
      <c r="I264" s="47"/>
      <c r="J264" s="47"/>
    </row>
    <row r="265" spans="1:10" ht="14">
      <c r="A265" s="13"/>
      <c r="B265" s="13"/>
      <c r="C265" s="13"/>
      <c r="D265" s="13"/>
      <c r="E265" s="47"/>
      <c r="F265" s="47"/>
      <c r="G265" s="47"/>
      <c r="H265" s="47"/>
      <c r="I265" s="47"/>
      <c r="J265" s="47"/>
    </row>
    <row r="266" spans="1:10" ht="14">
      <c r="A266" s="13"/>
      <c r="B266" s="13"/>
      <c r="C266" s="13"/>
      <c r="D266" s="13"/>
      <c r="E266" s="47"/>
      <c r="F266" s="47"/>
      <c r="G266" s="47"/>
      <c r="H266" s="47"/>
      <c r="I266" s="47"/>
      <c r="J266" s="47"/>
    </row>
    <row r="267" spans="1:10" ht="14">
      <c r="A267" s="13"/>
      <c r="B267" s="13"/>
      <c r="C267" s="13"/>
      <c r="D267" s="13"/>
      <c r="E267" s="47"/>
      <c r="F267" s="47"/>
      <c r="G267" s="47"/>
      <c r="H267" s="47"/>
      <c r="I267" s="47"/>
      <c r="J267" s="47"/>
    </row>
    <row r="268" spans="1:10" ht="14">
      <c r="A268" s="13"/>
      <c r="B268" s="13"/>
      <c r="C268" s="13"/>
      <c r="D268" s="13"/>
      <c r="E268" s="47"/>
      <c r="F268" s="47"/>
      <c r="G268" s="47"/>
      <c r="H268" s="47"/>
      <c r="I268" s="47"/>
      <c r="J268" s="47"/>
    </row>
    <row r="269" spans="1:10" ht="14">
      <c r="A269" s="13"/>
      <c r="B269" s="13"/>
      <c r="C269" s="13"/>
      <c r="D269" s="13"/>
      <c r="E269" s="47"/>
      <c r="F269" s="47"/>
      <c r="G269" s="47"/>
      <c r="H269" s="47"/>
      <c r="I269" s="47"/>
      <c r="J269" s="47"/>
    </row>
    <row r="270" spans="1:10" ht="14">
      <c r="A270" s="13"/>
      <c r="B270" s="13"/>
      <c r="C270" s="13"/>
      <c r="D270" s="13"/>
      <c r="E270" s="47"/>
      <c r="F270" s="47"/>
      <c r="G270" s="47"/>
      <c r="H270" s="47"/>
      <c r="I270" s="47"/>
      <c r="J270" s="47"/>
    </row>
    <row r="271" spans="1:10" ht="14">
      <c r="A271" s="13"/>
      <c r="B271" s="13"/>
      <c r="C271" s="13"/>
      <c r="D271" s="13"/>
      <c r="E271" s="47"/>
      <c r="F271" s="47"/>
      <c r="G271" s="47"/>
      <c r="H271" s="47"/>
      <c r="I271" s="47"/>
      <c r="J271" s="47"/>
    </row>
    <row r="272" spans="1:10" ht="14">
      <c r="A272" s="13"/>
      <c r="B272" s="13"/>
      <c r="C272" s="13"/>
      <c r="D272" s="13"/>
      <c r="E272" s="47"/>
      <c r="F272" s="47"/>
      <c r="G272" s="47"/>
      <c r="H272" s="47"/>
      <c r="I272" s="47"/>
      <c r="J272" s="47"/>
    </row>
    <row r="273" spans="1:10" ht="14">
      <c r="A273" s="13"/>
      <c r="B273" s="13"/>
      <c r="C273" s="13"/>
      <c r="D273" s="13"/>
      <c r="E273" s="47"/>
      <c r="F273" s="47"/>
      <c r="G273" s="47"/>
      <c r="H273" s="47"/>
      <c r="I273" s="47"/>
      <c r="J273" s="47"/>
    </row>
    <row r="274" spans="1:10" ht="14">
      <c r="A274" s="13"/>
      <c r="B274" s="13"/>
      <c r="C274" s="13"/>
      <c r="D274" s="13"/>
      <c r="E274" s="47"/>
      <c r="F274" s="47"/>
      <c r="G274" s="47"/>
      <c r="H274" s="47"/>
      <c r="I274" s="47"/>
      <c r="J274" s="47"/>
    </row>
    <row r="275" spans="1:10" ht="14">
      <c r="A275" s="13"/>
      <c r="B275" s="13"/>
      <c r="C275" s="13"/>
      <c r="D275" s="13"/>
      <c r="E275" s="47"/>
      <c r="F275" s="47"/>
      <c r="G275" s="47"/>
      <c r="H275" s="47"/>
      <c r="I275" s="47"/>
      <c r="J275" s="47"/>
    </row>
    <row r="276" spans="1:10" ht="14">
      <c r="A276" s="13"/>
      <c r="B276" s="13"/>
      <c r="C276" s="13"/>
      <c r="D276" s="13"/>
      <c r="E276" s="47"/>
      <c r="F276" s="47"/>
      <c r="G276" s="47"/>
      <c r="H276" s="47"/>
      <c r="I276" s="47"/>
      <c r="J276" s="47"/>
    </row>
    <row r="277" spans="1:10" ht="14">
      <c r="A277" s="13"/>
      <c r="B277" s="13"/>
      <c r="C277" s="13"/>
      <c r="D277" s="13"/>
      <c r="E277" s="47"/>
      <c r="F277" s="47"/>
      <c r="G277" s="47"/>
      <c r="H277" s="47"/>
      <c r="I277" s="47"/>
      <c r="J277" s="47"/>
    </row>
    <row r="278" spans="1:10" ht="14">
      <c r="A278" s="13"/>
      <c r="B278" s="13"/>
      <c r="C278" s="13"/>
      <c r="D278" s="13"/>
      <c r="E278" s="47"/>
      <c r="F278" s="47"/>
      <c r="G278" s="47"/>
      <c r="H278" s="47"/>
      <c r="I278" s="47"/>
      <c r="J278" s="47"/>
    </row>
    <row r="279" spans="1:10" ht="14">
      <c r="A279" s="13"/>
      <c r="B279" s="13"/>
      <c r="C279" s="13"/>
      <c r="D279" s="13"/>
      <c r="E279" s="47"/>
      <c r="F279" s="47"/>
      <c r="G279" s="47"/>
      <c r="H279" s="47"/>
      <c r="I279" s="47"/>
      <c r="J279" s="47"/>
    </row>
    <row r="280" spans="1:10" ht="14">
      <c r="A280" s="13"/>
      <c r="B280" s="13"/>
      <c r="C280" s="13"/>
      <c r="D280" s="13"/>
      <c r="E280" s="47"/>
      <c r="F280" s="47"/>
      <c r="G280" s="47"/>
      <c r="H280" s="47"/>
      <c r="I280" s="47"/>
      <c r="J280" s="47"/>
    </row>
    <row r="281" spans="1:10" ht="14">
      <c r="A281" s="13"/>
      <c r="B281" s="13"/>
      <c r="C281" s="13"/>
      <c r="D281" s="13"/>
      <c r="E281" s="47"/>
      <c r="F281" s="47"/>
      <c r="G281" s="47"/>
      <c r="H281" s="47"/>
      <c r="I281" s="47"/>
      <c r="J281" s="47"/>
    </row>
    <row r="282" spans="1:10" ht="14">
      <c r="A282" s="13"/>
      <c r="B282" s="13"/>
      <c r="C282" s="13"/>
      <c r="D282" s="13"/>
      <c r="E282" s="47"/>
      <c r="F282" s="47"/>
      <c r="G282" s="47"/>
      <c r="H282" s="47"/>
      <c r="I282" s="47"/>
      <c r="J282" s="47"/>
    </row>
    <row r="283" spans="1:10" ht="14">
      <c r="A283" s="13"/>
      <c r="B283" s="13"/>
      <c r="C283" s="13"/>
      <c r="D283" s="13"/>
      <c r="E283" s="47"/>
      <c r="F283" s="47"/>
      <c r="G283" s="47"/>
      <c r="H283" s="47"/>
      <c r="I283" s="47"/>
      <c r="J283" s="47"/>
    </row>
    <row r="284" spans="1:10" ht="14">
      <c r="A284" s="13"/>
      <c r="B284" s="13"/>
      <c r="C284" s="13"/>
      <c r="D284" s="13"/>
      <c r="E284" s="47"/>
      <c r="F284" s="47"/>
      <c r="G284" s="47"/>
      <c r="H284" s="47"/>
      <c r="I284" s="47"/>
      <c r="J284" s="47"/>
    </row>
    <row r="285" spans="1:10" ht="14">
      <c r="A285" s="13"/>
      <c r="B285" s="13"/>
      <c r="C285" s="13"/>
      <c r="D285" s="13"/>
      <c r="E285" s="47"/>
      <c r="F285" s="47"/>
      <c r="G285" s="47"/>
      <c r="H285" s="47"/>
      <c r="I285" s="47"/>
      <c r="J285" s="47"/>
    </row>
    <row r="286" spans="1:10" ht="14">
      <c r="A286" s="13"/>
      <c r="B286" s="13"/>
      <c r="C286" s="13"/>
      <c r="D286" s="13"/>
      <c r="E286" s="47"/>
      <c r="F286" s="47"/>
      <c r="G286" s="47"/>
      <c r="H286" s="47"/>
      <c r="I286" s="47"/>
      <c r="J286" s="47"/>
    </row>
    <row r="287" spans="1:10" ht="14">
      <c r="A287" s="13"/>
      <c r="B287" s="13"/>
      <c r="C287" s="13"/>
      <c r="D287" s="13"/>
      <c r="E287" s="47"/>
      <c r="F287" s="47"/>
      <c r="G287" s="47"/>
      <c r="H287" s="47"/>
      <c r="I287" s="47"/>
      <c r="J287" s="47"/>
    </row>
    <row r="288" spans="1:10" ht="14">
      <c r="A288" s="13"/>
      <c r="B288" s="13"/>
      <c r="C288" s="13"/>
      <c r="D288" s="13"/>
      <c r="E288" s="47"/>
      <c r="F288" s="47"/>
      <c r="G288" s="47"/>
      <c r="H288" s="47"/>
      <c r="I288" s="47"/>
      <c r="J288" s="47"/>
    </row>
    <row r="289" spans="1:10" ht="14">
      <c r="A289" s="13"/>
      <c r="B289" s="13"/>
      <c r="C289" s="13"/>
      <c r="D289" s="13"/>
      <c r="E289" s="47"/>
      <c r="F289" s="47"/>
      <c r="G289" s="47"/>
      <c r="H289" s="47"/>
      <c r="I289" s="47"/>
      <c r="J289" s="47"/>
    </row>
    <row r="290" spans="1:10" ht="14">
      <c r="A290" s="13"/>
      <c r="B290" s="13"/>
      <c r="C290" s="13"/>
      <c r="D290" s="13"/>
      <c r="E290" s="47"/>
      <c r="F290" s="47"/>
      <c r="G290" s="47"/>
      <c r="H290" s="47"/>
      <c r="I290" s="47"/>
      <c r="J290" s="47"/>
    </row>
    <row r="291" spans="1:10" ht="14">
      <c r="A291" s="13"/>
      <c r="B291" s="13"/>
      <c r="C291" s="13"/>
      <c r="D291" s="13"/>
      <c r="E291" s="47"/>
      <c r="F291" s="47"/>
      <c r="G291" s="47"/>
      <c r="H291" s="47"/>
      <c r="I291" s="47"/>
      <c r="J291" s="47"/>
    </row>
    <row r="292" spans="1:10" ht="14">
      <c r="A292" s="13"/>
      <c r="B292" s="13"/>
      <c r="C292" s="13"/>
      <c r="D292" s="13"/>
      <c r="E292" s="47"/>
      <c r="F292" s="47"/>
      <c r="G292" s="47"/>
      <c r="H292" s="47"/>
      <c r="I292" s="47"/>
      <c r="J292" s="47"/>
    </row>
    <row r="293" spans="1:10" ht="14">
      <c r="A293" s="13"/>
      <c r="B293" s="13"/>
      <c r="C293" s="13"/>
      <c r="D293" s="13"/>
      <c r="E293" s="47"/>
      <c r="F293" s="47"/>
      <c r="G293" s="47"/>
      <c r="H293" s="47"/>
      <c r="I293" s="47"/>
      <c r="J293" s="47"/>
    </row>
    <row r="294" spans="1:10" ht="14">
      <c r="A294" s="13"/>
      <c r="B294" s="13"/>
      <c r="C294" s="13"/>
      <c r="D294" s="13"/>
      <c r="E294" s="47"/>
      <c r="F294" s="47"/>
      <c r="G294" s="47"/>
      <c r="H294" s="47"/>
      <c r="I294" s="47"/>
      <c r="J294" s="47"/>
    </row>
    <row r="295" spans="1:10" ht="14">
      <c r="A295" s="13"/>
      <c r="B295" s="13"/>
      <c r="C295" s="13"/>
      <c r="D295" s="13"/>
      <c r="E295" s="47"/>
      <c r="F295" s="47"/>
      <c r="G295" s="47"/>
      <c r="H295" s="47"/>
      <c r="I295" s="47"/>
      <c r="J295" s="47"/>
    </row>
    <row r="296" spans="1:10" ht="14">
      <c r="A296" s="13"/>
      <c r="B296" s="13"/>
      <c r="C296" s="13"/>
      <c r="D296" s="13"/>
      <c r="E296" s="47"/>
      <c r="F296" s="47"/>
      <c r="G296" s="47"/>
      <c r="H296" s="47"/>
      <c r="I296" s="47"/>
      <c r="J296" s="47"/>
    </row>
    <row r="297" spans="1:10" ht="14">
      <c r="A297" s="13"/>
      <c r="B297" s="13"/>
      <c r="C297" s="13"/>
      <c r="D297" s="13"/>
      <c r="E297" s="47"/>
      <c r="F297" s="47"/>
      <c r="G297" s="47"/>
      <c r="H297" s="47"/>
      <c r="I297" s="47"/>
      <c r="J297" s="47"/>
    </row>
    <row r="298" spans="1:10" ht="14">
      <c r="A298" s="13"/>
      <c r="B298" s="13"/>
      <c r="C298" s="13"/>
      <c r="D298" s="13"/>
      <c r="E298" s="47"/>
      <c r="F298" s="47"/>
      <c r="G298" s="47"/>
      <c r="H298" s="47"/>
      <c r="I298" s="47"/>
      <c r="J298" s="47"/>
    </row>
    <row r="299" spans="1:10" ht="14">
      <c r="A299" s="13"/>
      <c r="B299" s="13"/>
      <c r="C299" s="13"/>
      <c r="D299" s="13"/>
      <c r="E299" s="47"/>
      <c r="F299" s="47"/>
      <c r="G299" s="47"/>
      <c r="H299" s="47"/>
      <c r="I299" s="47"/>
      <c r="J299" s="47"/>
    </row>
    <row r="300" spans="1:10" ht="14">
      <c r="A300" s="13"/>
      <c r="B300" s="13"/>
      <c r="C300" s="13"/>
      <c r="D300" s="13"/>
      <c r="E300" s="47"/>
      <c r="F300" s="47"/>
      <c r="G300" s="47"/>
      <c r="H300" s="47"/>
      <c r="I300" s="47"/>
      <c r="J300" s="47"/>
    </row>
    <row r="301" spans="1:10" ht="14">
      <c r="A301" s="13"/>
      <c r="B301" s="13"/>
      <c r="C301" s="13"/>
      <c r="D301" s="13"/>
      <c r="E301" s="47"/>
      <c r="F301" s="47"/>
      <c r="G301" s="47"/>
      <c r="H301" s="47"/>
      <c r="I301" s="47"/>
      <c r="J301" s="47"/>
    </row>
    <row r="302" spans="1:10" ht="14">
      <c r="A302" s="13"/>
      <c r="B302" s="13"/>
      <c r="C302" s="13"/>
      <c r="D302" s="13"/>
      <c r="E302" s="47"/>
      <c r="F302" s="47"/>
      <c r="G302" s="47"/>
      <c r="H302" s="47"/>
      <c r="I302" s="47"/>
      <c r="J302" s="47"/>
    </row>
    <row r="303" spans="1:10" ht="14">
      <c r="A303" s="13"/>
      <c r="B303" s="13"/>
      <c r="C303" s="13"/>
      <c r="D303" s="13"/>
      <c r="E303" s="47"/>
      <c r="F303" s="47"/>
      <c r="G303" s="47"/>
      <c r="H303" s="47"/>
      <c r="I303" s="47"/>
      <c r="J303" s="47"/>
    </row>
    <row r="304" spans="1:10" ht="14">
      <c r="A304" s="13"/>
      <c r="B304" s="13"/>
      <c r="C304" s="13"/>
      <c r="D304" s="13"/>
      <c r="E304" s="47"/>
      <c r="F304" s="47"/>
      <c r="G304" s="47"/>
      <c r="H304" s="47"/>
      <c r="I304" s="47"/>
      <c r="J304" s="47"/>
    </row>
    <row r="305" spans="1:10" ht="14">
      <c r="A305" s="13"/>
      <c r="B305" s="13"/>
      <c r="C305" s="13"/>
      <c r="D305" s="13"/>
      <c r="E305" s="47"/>
      <c r="F305" s="47"/>
      <c r="G305" s="47"/>
      <c r="H305" s="47"/>
      <c r="I305" s="47"/>
      <c r="J305" s="47"/>
    </row>
    <row r="306" spans="1:10" ht="14">
      <c r="A306" s="13"/>
      <c r="B306" s="13"/>
      <c r="C306" s="13"/>
      <c r="D306" s="13"/>
      <c r="E306" s="47"/>
      <c r="F306" s="47"/>
      <c r="G306" s="47"/>
      <c r="H306" s="47"/>
      <c r="I306" s="47"/>
      <c r="J306" s="47"/>
    </row>
    <row r="307" spans="1:10" ht="14">
      <c r="A307" s="13"/>
      <c r="B307" s="13"/>
      <c r="C307" s="13"/>
      <c r="D307" s="13"/>
      <c r="E307" s="47"/>
      <c r="F307" s="47"/>
      <c r="G307" s="47"/>
      <c r="H307" s="47"/>
      <c r="I307" s="47"/>
      <c r="J307" s="47"/>
    </row>
    <row r="308" spans="1:10" ht="14">
      <c r="A308" s="13"/>
      <c r="B308" s="13"/>
      <c r="C308" s="13"/>
      <c r="D308" s="13"/>
      <c r="E308" s="47"/>
      <c r="F308" s="47"/>
      <c r="G308" s="47"/>
      <c r="H308" s="47"/>
      <c r="I308" s="47"/>
      <c r="J308" s="47"/>
    </row>
    <row r="309" spans="1:10" ht="14">
      <c r="A309" s="13"/>
      <c r="B309" s="13"/>
      <c r="C309" s="13"/>
      <c r="D309" s="13"/>
      <c r="E309" s="47"/>
      <c r="F309" s="47"/>
      <c r="G309" s="47"/>
      <c r="H309" s="47"/>
      <c r="I309" s="47"/>
      <c r="J309" s="47"/>
    </row>
    <row r="310" spans="1:10" ht="14">
      <c r="A310" s="13"/>
      <c r="B310" s="13"/>
      <c r="C310" s="13"/>
      <c r="D310" s="13"/>
      <c r="E310" s="47"/>
      <c r="F310" s="47"/>
      <c r="G310" s="47"/>
      <c r="H310" s="47"/>
      <c r="I310" s="47"/>
      <c r="J310" s="47"/>
    </row>
    <row r="311" spans="1:10" ht="14">
      <c r="A311" s="13"/>
      <c r="B311" s="13"/>
      <c r="C311" s="13"/>
      <c r="D311" s="13"/>
      <c r="E311" s="47"/>
      <c r="F311" s="47"/>
      <c r="G311" s="47"/>
      <c r="H311" s="47"/>
      <c r="I311" s="47"/>
      <c r="J311" s="47"/>
    </row>
    <row r="312" spans="1:10" ht="14">
      <c r="A312" s="13"/>
      <c r="B312" s="13"/>
      <c r="C312" s="13"/>
      <c r="D312" s="13"/>
      <c r="E312" s="47"/>
      <c r="F312" s="47"/>
      <c r="G312" s="47"/>
      <c r="H312" s="47"/>
      <c r="I312" s="47"/>
      <c r="J312" s="47"/>
    </row>
    <row r="313" spans="1:10" ht="14">
      <c r="A313" s="13"/>
      <c r="B313" s="13"/>
      <c r="C313" s="13"/>
      <c r="D313" s="13"/>
      <c r="E313" s="47"/>
      <c r="F313" s="47"/>
      <c r="G313" s="47"/>
      <c r="H313" s="47"/>
      <c r="I313" s="47"/>
      <c r="J313" s="47"/>
    </row>
    <row r="314" spans="1:10" ht="14">
      <c r="A314" s="13"/>
      <c r="B314" s="13"/>
      <c r="C314" s="13"/>
      <c r="D314" s="13"/>
      <c r="E314" s="47"/>
      <c r="F314" s="47"/>
      <c r="G314" s="47"/>
      <c r="H314" s="47"/>
      <c r="I314" s="47"/>
      <c r="J314" s="47"/>
    </row>
    <row r="315" spans="1:10" ht="14">
      <c r="A315" s="13"/>
      <c r="B315" s="13"/>
      <c r="C315" s="13"/>
      <c r="D315" s="13"/>
      <c r="E315" s="47"/>
      <c r="F315" s="47"/>
      <c r="G315" s="47"/>
      <c r="H315" s="47"/>
      <c r="I315" s="47"/>
      <c r="J315" s="47"/>
    </row>
    <row r="316" spans="1:10" ht="14">
      <c r="A316" s="13"/>
      <c r="B316" s="13"/>
      <c r="C316" s="13"/>
      <c r="D316" s="13"/>
      <c r="E316" s="47"/>
      <c r="F316" s="47"/>
      <c r="G316" s="47"/>
      <c r="H316" s="47"/>
      <c r="I316" s="47"/>
      <c r="J316" s="47"/>
    </row>
    <row r="317" spans="1:10" ht="14">
      <c r="A317" s="13"/>
      <c r="B317" s="13"/>
      <c r="C317" s="13"/>
      <c r="D317" s="13"/>
      <c r="E317" s="47"/>
      <c r="F317" s="47"/>
      <c r="G317" s="47"/>
      <c r="H317" s="47"/>
      <c r="I317" s="47"/>
      <c r="J317" s="47"/>
    </row>
    <row r="318" spans="1:10" ht="14">
      <c r="A318" s="13"/>
      <c r="B318" s="13"/>
      <c r="C318" s="13"/>
      <c r="D318" s="13"/>
      <c r="E318" s="47"/>
      <c r="F318" s="47"/>
      <c r="G318" s="47"/>
      <c r="H318" s="47"/>
      <c r="I318" s="47"/>
      <c r="J318" s="47"/>
    </row>
    <row r="319" spans="1:10" ht="14">
      <c r="A319" s="13"/>
      <c r="B319" s="13"/>
      <c r="C319" s="13"/>
      <c r="D319" s="13"/>
      <c r="E319" s="47"/>
      <c r="F319" s="47"/>
      <c r="G319" s="47"/>
      <c r="H319" s="47"/>
      <c r="I319" s="47"/>
      <c r="J319" s="47"/>
    </row>
    <row r="320" spans="1:10" ht="14">
      <c r="A320" s="13"/>
      <c r="B320" s="13"/>
      <c r="C320" s="13"/>
      <c r="D320" s="13"/>
      <c r="E320" s="47"/>
      <c r="F320" s="47"/>
      <c r="G320" s="47"/>
      <c r="H320" s="47"/>
      <c r="I320" s="47"/>
      <c r="J320" s="47"/>
    </row>
    <row r="321" spans="1:10" ht="14">
      <c r="A321" s="13"/>
      <c r="B321" s="13"/>
      <c r="C321" s="13"/>
      <c r="D321" s="13"/>
      <c r="E321" s="47"/>
      <c r="F321" s="47"/>
      <c r="G321" s="47"/>
      <c r="H321" s="47"/>
      <c r="I321" s="47"/>
      <c r="J321" s="47"/>
    </row>
    <row r="322" spans="1:10" ht="14">
      <c r="A322" s="13"/>
      <c r="B322" s="13"/>
      <c r="C322" s="13"/>
      <c r="D322" s="13"/>
      <c r="E322" s="47"/>
      <c r="F322" s="47"/>
      <c r="G322" s="47"/>
      <c r="H322" s="47"/>
      <c r="I322" s="47"/>
      <c r="J322" s="47"/>
    </row>
    <row r="323" spans="1:10" ht="14">
      <c r="A323" s="13"/>
      <c r="B323" s="13"/>
      <c r="C323" s="13"/>
      <c r="D323" s="13"/>
      <c r="E323" s="47"/>
      <c r="F323" s="47"/>
      <c r="G323" s="47"/>
      <c r="H323" s="47"/>
      <c r="I323" s="47"/>
      <c r="J323" s="47"/>
    </row>
    <row r="324" spans="1:10" ht="14">
      <c r="A324" s="13"/>
      <c r="B324" s="13"/>
      <c r="C324" s="13"/>
      <c r="D324" s="13"/>
      <c r="E324" s="47"/>
      <c r="F324" s="47"/>
      <c r="G324" s="47"/>
      <c r="H324" s="47"/>
      <c r="I324" s="47"/>
      <c r="J324" s="47"/>
    </row>
    <row r="325" spans="1:10" ht="14">
      <c r="A325" s="13"/>
      <c r="B325" s="13"/>
      <c r="C325" s="13"/>
      <c r="D325" s="13"/>
      <c r="E325" s="47"/>
      <c r="F325" s="47"/>
      <c r="G325" s="47"/>
      <c r="H325" s="47"/>
      <c r="I325" s="47"/>
      <c r="J325" s="47"/>
    </row>
    <row r="326" spans="1:10" ht="14">
      <c r="A326" s="13"/>
      <c r="B326" s="13"/>
      <c r="C326" s="13"/>
      <c r="D326" s="13"/>
      <c r="E326" s="47"/>
      <c r="F326" s="47"/>
      <c r="G326" s="47"/>
      <c r="H326" s="47"/>
      <c r="I326" s="47"/>
      <c r="J326" s="47"/>
    </row>
    <row r="327" spans="1:10" ht="14">
      <c r="A327" s="13"/>
      <c r="B327" s="13"/>
      <c r="C327" s="13"/>
      <c r="D327" s="13"/>
      <c r="E327" s="47"/>
      <c r="F327" s="47"/>
      <c r="G327" s="47"/>
      <c r="H327" s="47"/>
      <c r="I327" s="47"/>
      <c r="J327" s="47"/>
    </row>
    <row r="328" spans="1:10" ht="14">
      <c r="A328" s="13"/>
      <c r="B328" s="13"/>
      <c r="C328" s="13"/>
      <c r="D328" s="13"/>
      <c r="E328" s="47"/>
      <c r="F328" s="47"/>
      <c r="G328" s="47"/>
      <c r="H328" s="47"/>
      <c r="I328" s="47"/>
      <c r="J328" s="47"/>
    </row>
    <row r="329" spans="1:10" ht="14">
      <c r="A329" s="13"/>
      <c r="B329" s="13"/>
      <c r="C329" s="13"/>
      <c r="D329" s="13"/>
      <c r="E329" s="47"/>
      <c r="F329" s="47"/>
      <c r="G329" s="47"/>
      <c r="H329" s="47"/>
      <c r="I329" s="47"/>
      <c r="J329" s="47"/>
    </row>
    <row r="330" spans="1:10" ht="14">
      <c r="A330" s="13"/>
      <c r="B330" s="13"/>
      <c r="C330" s="13"/>
      <c r="D330" s="13"/>
      <c r="E330" s="47"/>
      <c r="F330" s="47"/>
      <c r="G330" s="47"/>
      <c r="H330" s="47"/>
      <c r="I330" s="47"/>
      <c r="J330" s="47"/>
    </row>
    <row r="331" spans="1:10" ht="14">
      <c r="A331" s="13"/>
      <c r="B331" s="13"/>
      <c r="C331" s="13"/>
      <c r="D331" s="13"/>
      <c r="E331" s="47"/>
      <c r="F331" s="47"/>
      <c r="G331" s="47"/>
      <c r="H331" s="47"/>
      <c r="I331" s="47"/>
      <c r="J331" s="47"/>
    </row>
    <row r="332" spans="1:10" ht="14">
      <c r="A332" s="13"/>
      <c r="B332" s="13"/>
      <c r="C332" s="13"/>
      <c r="D332" s="13"/>
      <c r="E332" s="47"/>
      <c r="F332" s="47"/>
      <c r="G332" s="47"/>
      <c r="H332" s="47"/>
      <c r="I332" s="47"/>
      <c r="J332" s="47"/>
    </row>
    <row r="333" spans="1:10" ht="14">
      <c r="A333" s="13"/>
      <c r="B333" s="13"/>
      <c r="C333" s="13"/>
      <c r="D333" s="13"/>
      <c r="E333" s="47"/>
      <c r="F333" s="47"/>
      <c r="G333" s="47"/>
      <c r="H333" s="47"/>
      <c r="I333" s="47"/>
      <c r="J333" s="47"/>
    </row>
    <row r="334" spans="1:10" ht="14">
      <c r="A334" s="13"/>
      <c r="B334" s="13"/>
      <c r="C334" s="13"/>
      <c r="D334" s="13"/>
      <c r="E334" s="47"/>
      <c r="F334" s="47"/>
      <c r="G334" s="47"/>
      <c r="H334" s="47"/>
      <c r="I334" s="47"/>
      <c r="J334" s="47"/>
    </row>
    <row r="335" spans="1:10" ht="14">
      <c r="A335" s="13"/>
      <c r="B335" s="13"/>
      <c r="C335" s="13"/>
      <c r="D335" s="13"/>
      <c r="E335" s="47"/>
      <c r="F335" s="47"/>
      <c r="G335" s="47"/>
      <c r="H335" s="47"/>
      <c r="I335" s="47"/>
      <c r="J335" s="47"/>
    </row>
    <row r="336" spans="1:10" ht="14">
      <c r="A336" s="13"/>
      <c r="B336" s="13"/>
      <c r="C336" s="13"/>
      <c r="D336" s="13"/>
      <c r="E336" s="47"/>
      <c r="F336" s="47"/>
      <c r="G336" s="47"/>
      <c r="H336" s="47"/>
      <c r="I336" s="47"/>
      <c r="J336" s="47"/>
    </row>
    <row r="337" spans="1:10" ht="14">
      <c r="A337" s="13"/>
      <c r="B337" s="13"/>
      <c r="C337" s="13"/>
      <c r="D337" s="13"/>
      <c r="E337" s="47"/>
      <c r="F337" s="47"/>
      <c r="G337" s="47"/>
      <c r="H337" s="47"/>
      <c r="I337" s="47"/>
      <c r="J337" s="47"/>
    </row>
    <row r="338" spans="1:10" ht="14">
      <c r="A338" s="13"/>
      <c r="B338" s="13"/>
      <c r="C338" s="13"/>
      <c r="D338" s="13"/>
      <c r="E338" s="47"/>
      <c r="F338" s="47"/>
      <c r="G338" s="47"/>
      <c r="H338" s="47"/>
      <c r="I338" s="47"/>
      <c r="J338" s="47"/>
    </row>
    <row r="339" spans="1:10" ht="14">
      <c r="A339" s="13"/>
      <c r="B339" s="13"/>
      <c r="C339" s="13"/>
      <c r="D339" s="13"/>
      <c r="E339" s="47"/>
      <c r="F339" s="47"/>
      <c r="G339" s="47"/>
      <c r="H339" s="47"/>
      <c r="I339" s="47"/>
      <c r="J339" s="47"/>
    </row>
    <row r="340" spans="1:10" ht="14">
      <c r="A340" s="13"/>
      <c r="B340" s="13"/>
      <c r="C340" s="13"/>
      <c r="D340" s="13"/>
      <c r="E340" s="47"/>
      <c r="F340" s="47"/>
      <c r="G340" s="47"/>
      <c r="H340" s="47"/>
      <c r="I340" s="47"/>
      <c r="J340" s="47"/>
    </row>
    <row r="341" spans="1:10" ht="14">
      <c r="A341" s="13"/>
      <c r="B341" s="13"/>
      <c r="C341" s="13"/>
      <c r="D341" s="13"/>
      <c r="E341" s="47"/>
      <c r="F341" s="47"/>
      <c r="G341" s="47"/>
      <c r="H341" s="47"/>
      <c r="I341" s="47"/>
      <c r="J341" s="47"/>
    </row>
    <row r="342" spans="1:10" ht="14">
      <c r="A342" s="13"/>
      <c r="B342" s="13"/>
      <c r="C342" s="13"/>
      <c r="D342" s="13"/>
      <c r="E342" s="47"/>
      <c r="F342" s="47"/>
      <c r="G342" s="47"/>
      <c r="H342" s="47"/>
      <c r="I342" s="47"/>
      <c r="J342" s="47"/>
    </row>
    <row r="343" spans="1:10" ht="14">
      <c r="A343" s="13"/>
      <c r="B343" s="13"/>
      <c r="C343" s="13"/>
      <c r="D343" s="13"/>
      <c r="E343" s="47"/>
      <c r="F343" s="47"/>
      <c r="G343" s="47"/>
      <c r="H343" s="47"/>
      <c r="I343" s="47"/>
      <c r="J343" s="47"/>
    </row>
    <row r="344" spans="1:10" ht="14">
      <c r="A344" s="13"/>
      <c r="B344" s="13"/>
      <c r="C344" s="13"/>
      <c r="D344" s="13"/>
      <c r="E344" s="47"/>
      <c r="F344" s="47"/>
      <c r="G344" s="47"/>
      <c r="H344" s="47"/>
      <c r="I344" s="47"/>
      <c r="J344" s="47"/>
    </row>
    <row r="345" spans="1:10" ht="14">
      <c r="A345" s="13"/>
      <c r="B345" s="13"/>
      <c r="C345" s="13"/>
      <c r="D345" s="13"/>
      <c r="E345" s="47"/>
      <c r="F345" s="47"/>
      <c r="G345" s="47"/>
      <c r="H345" s="47"/>
      <c r="I345" s="47"/>
      <c r="J345" s="47"/>
    </row>
    <row r="346" spans="1:10" ht="14">
      <c r="A346" s="13"/>
      <c r="B346" s="13"/>
      <c r="C346" s="13"/>
      <c r="D346" s="13"/>
      <c r="E346" s="47"/>
      <c r="F346" s="47"/>
      <c r="G346" s="47"/>
      <c r="H346" s="47"/>
      <c r="I346" s="47"/>
      <c r="J346" s="47"/>
    </row>
    <row r="347" spans="1:10" ht="14">
      <c r="A347" s="13"/>
      <c r="B347" s="13"/>
      <c r="C347" s="13"/>
      <c r="D347" s="13"/>
      <c r="E347" s="47"/>
      <c r="F347" s="47"/>
      <c r="G347" s="47"/>
      <c r="H347" s="47"/>
      <c r="I347" s="47"/>
      <c r="J347" s="47"/>
    </row>
    <row r="348" spans="1:10" ht="14">
      <c r="A348" s="13"/>
      <c r="B348" s="13"/>
      <c r="C348" s="13"/>
      <c r="D348" s="13"/>
      <c r="E348" s="47"/>
      <c r="F348" s="47"/>
      <c r="G348" s="47"/>
      <c r="H348" s="47"/>
      <c r="I348" s="47"/>
      <c r="J348" s="47"/>
    </row>
    <row r="349" spans="1:10" ht="14">
      <c r="A349" s="13"/>
      <c r="B349" s="13"/>
      <c r="C349" s="13"/>
      <c r="D349" s="13"/>
      <c r="E349" s="47"/>
      <c r="F349" s="47"/>
      <c r="G349" s="47"/>
      <c r="H349" s="47"/>
      <c r="I349" s="47"/>
      <c r="J349" s="47"/>
    </row>
    <row r="350" spans="1:10" ht="14">
      <c r="A350" s="13"/>
      <c r="B350" s="13"/>
      <c r="C350" s="13"/>
      <c r="D350" s="13"/>
      <c r="E350" s="47"/>
      <c r="F350" s="47"/>
      <c r="G350" s="47"/>
      <c r="H350" s="47"/>
      <c r="I350" s="47"/>
      <c r="J350" s="47"/>
    </row>
    <row r="351" spans="1:10" ht="14">
      <c r="A351" s="13"/>
      <c r="B351" s="13"/>
      <c r="C351" s="13"/>
      <c r="D351" s="13"/>
      <c r="E351" s="47"/>
      <c r="F351" s="47"/>
      <c r="G351" s="47"/>
      <c r="H351" s="47"/>
      <c r="I351" s="47"/>
      <c r="J351" s="47"/>
    </row>
    <row r="352" spans="1:10" ht="14">
      <c r="A352" s="13"/>
      <c r="B352" s="13"/>
      <c r="C352" s="13"/>
      <c r="D352" s="13"/>
      <c r="E352" s="47"/>
      <c r="F352" s="47"/>
      <c r="G352" s="47"/>
      <c r="H352" s="47"/>
      <c r="I352" s="47"/>
      <c r="J352" s="47"/>
    </row>
    <row r="353" spans="1:10" ht="14">
      <c r="A353" s="13"/>
      <c r="B353" s="13"/>
      <c r="C353" s="13"/>
      <c r="D353" s="13"/>
      <c r="E353" s="47"/>
      <c r="F353" s="47"/>
      <c r="G353" s="47"/>
      <c r="H353" s="47"/>
      <c r="I353" s="47"/>
      <c r="J353" s="47"/>
    </row>
    <row r="354" spans="1:10" ht="14">
      <c r="A354" s="13"/>
      <c r="B354" s="13"/>
      <c r="C354" s="13"/>
      <c r="D354" s="13"/>
      <c r="E354" s="47"/>
      <c r="F354" s="47"/>
      <c r="G354" s="47"/>
      <c r="H354" s="47"/>
      <c r="I354" s="47"/>
      <c r="J354" s="47"/>
    </row>
    <row r="355" spans="1:10" ht="14">
      <c r="A355" s="13"/>
      <c r="B355" s="13"/>
      <c r="C355" s="13"/>
      <c r="D355" s="13"/>
      <c r="E355" s="47"/>
      <c r="F355" s="47"/>
      <c r="G355" s="47"/>
      <c r="H355" s="47"/>
      <c r="I355" s="47"/>
      <c r="J355" s="47"/>
    </row>
    <row r="356" spans="1:10" ht="14">
      <c r="A356" s="13"/>
      <c r="B356" s="13"/>
      <c r="C356" s="13"/>
      <c r="D356" s="13"/>
      <c r="E356" s="47"/>
      <c r="F356" s="47"/>
      <c r="G356" s="47"/>
      <c r="H356" s="47"/>
      <c r="I356" s="47"/>
      <c r="J356" s="47"/>
    </row>
    <row r="357" spans="1:10" ht="14">
      <c r="A357" s="13"/>
      <c r="B357" s="13"/>
      <c r="C357" s="13"/>
      <c r="D357" s="13"/>
      <c r="E357" s="47"/>
      <c r="F357" s="47"/>
      <c r="G357" s="47"/>
      <c r="H357" s="47"/>
      <c r="I357" s="47"/>
      <c r="J357" s="47"/>
    </row>
    <row r="358" spans="1:10" ht="14">
      <c r="A358" s="13"/>
      <c r="B358" s="13"/>
      <c r="C358" s="13"/>
      <c r="D358" s="13"/>
      <c r="E358" s="47"/>
      <c r="F358" s="47"/>
      <c r="G358" s="47"/>
      <c r="H358" s="47"/>
      <c r="I358" s="47"/>
      <c r="J358" s="47"/>
    </row>
    <row r="359" spans="1:10" ht="14">
      <c r="A359" s="13"/>
      <c r="B359" s="13"/>
      <c r="C359" s="13"/>
      <c r="D359" s="13"/>
      <c r="E359" s="47"/>
      <c r="F359" s="47"/>
      <c r="G359" s="47"/>
      <c r="H359" s="47"/>
      <c r="I359" s="47"/>
      <c r="J359" s="47"/>
    </row>
    <row r="360" spans="1:10" ht="14">
      <c r="A360" s="13"/>
      <c r="B360" s="13"/>
      <c r="C360" s="13"/>
      <c r="D360" s="13"/>
      <c r="E360" s="47"/>
      <c r="F360" s="47"/>
      <c r="G360" s="47"/>
      <c r="H360" s="47"/>
      <c r="I360" s="47"/>
      <c r="J360" s="47"/>
    </row>
    <row r="361" spans="1:10" ht="14">
      <c r="A361" s="13"/>
      <c r="B361" s="13"/>
      <c r="C361" s="13"/>
      <c r="D361" s="13"/>
      <c r="E361" s="47"/>
      <c r="F361" s="47"/>
      <c r="G361" s="47"/>
      <c r="H361" s="47"/>
      <c r="I361" s="47"/>
      <c r="J361" s="47"/>
    </row>
    <row r="362" spans="1:10" ht="14">
      <c r="A362" s="13"/>
      <c r="B362" s="13"/>
      <c r="C362" s="13"/>
      <c r="D362" s="13"/>
      <c r="E362" s="47"/>
      <c r="F362" s="47"/>
      <c r="G362" s="47"/>
      <c r="H362" s="47"/>
      <c r="I362" s="47"/>
      <c r="J362" s="47"/>
    </row>
    <row r="363" spans="1:10" ht="14">
      <c r="A363" s="13"/>
      <c r="B363" s="13"/>
      <c r="C363" s="13"/>
      <c r="D363" s="13"/>
      <c r="E363" s="47"/>
      <c r="F363" s="47"/>
      <c r="G363" s="47"/>
      <c r="H363" s="47"/>
      <c r="I363" s="47"/>
      <c r="J363" s="47"/>
    </row>
    <row r="364" spans="1:10" ht="14">
      <c r="A364" s="13"/>
      <c r="B364" s="13"/>
      <c r="C364" s="13"/>
      <c r="D364" s="13"/>
      <c r="E364" s="47"/>
      <c r="F364" s="47"/>
      <c r="G364" s="47"/>
      <c r="H364" s="47"/>
      <c r="I364" s="47"/>
      <c r="J364" s="47"/>
    </row>
    <row r="365" spans="1:10" ht="14">
      <c r="A365" s="13"/>
      <c r="B365" s="13"/>
      <c r="C365" s="13"/>
      <c r="D365" s="13"/>
      <c r="E365" s="47"/>
      <c r="F365" s="47"/>
      <c r="G365" s="47"/>
      <c r="H365" s="47"/>
      <c r="I365" s="47"/>
      <c r="J365" s="47"/>
    </row>
    <row r="366" spans="1:10" ht="14">
      <c r="A366" s="13"/>
      <c r="B366" s="13"/>
      <c r="C366" s="13"/>
      <c r="D366" s="13"/>
      <c r="E366" s="47"/>
      <c r="F366" s="47"/>
      <c r="G366" s="47"/>
      <c r="H366" s="47"/>
      <c r="I366" s="47"/>
      <c r="J366" s="47"/>
    </row>
    <row r="367" spans="1:10" ht="14">
      <c r="A367" s="13"/>
      <c r="B367" s="13"/>
      <c r="C367" s="13"/>
      <c r="D367" s="13"/>
      <c r="E367" s="47"/>
      <c r="F367" s="47"/>
      <c r="G367" s="47"/>
      <c r="H367" s="47"/>
      <c r="I367" s="47"/>
      <c r="J367" s="47"/>
    </row>
    <row r="368" spans="1:10" ht="14">
      <c r="A368" s="13"/>
      <c r="B368" s="13"/>
      <c r="C368" s="13"/>
      <c r="D368" s="13"/>
      <c r="E368" s="47"/>
      <c r="F368" s="47"/>
      <c r="G368" s="47"/>
      <c r="H368" s="47"/>
      <c r="I368" s="47"/>
      <c r="J368" s="47"/>
    </row>
    <row r="369" spans="1:10" ht="14">
      <c r="A369" s="13"/>
      <c r="B369" s="13"/>
      <c r="C369" s="13"/>
      <c r="D369" s="13"/>
      <c r="E369" s="47"/>
      <c r="F369" s="47"/>
      <c r="G369" s="47"/>
      <c r="H369" s="47"/>
      <c r="I369" s="47"/>
      <c r="J369" s="47"/>
    </row>
    <row r="370" spans="1:10" ht="14">
      <c r="A370" s="13"/>
      <c r="B370" s="13"/>
      <c r="C370" s="13"/>
      <c r="D370" s="13"/>
      <c r="E370" s="47"/>
      <c r="F370" s="47"/>
      <c r="G370" s="47"/>
      <c r="H370" s="47"/>
      <c r="I370" s="47"/>
      <c r="J370" s="47"/>
    </row>
    <row r="371" spans="1:10" ht="14">
      <c r="A371" s="13"/>
      <c r="B371" s="13"/>
      <c r="C371" s="13"/>
      <c r="D371" s="13"/>
      <c r="E371" s="47"/>
      <c r="F371" s="47"/>
      <c r="G371" s="47"/>
      <c r="H371" s="47"/>
      <c r="I371" s="47"/>
      <c r="J371" s="47"/>
    </row>
    <row r="372" spans="1:10" ht="14">
      <c r="A372" s="13"/>
      <c r="B372" s="13"/>
      <c r="C372" s="13"/>
      <c r="D372" s="13"/>
      <c r="E372" s="47"/>
      <c r="F372" s="47"/>
      <c r="G372" s="47"/>
      <c r="H372" s="47"/>
      <c r="I372" s="47"/>
      <c r="J372" s="47"/>
    </row>
    <row r="373" spans="1:10" ht="14">
      <c r="A373" s="13"/>
      <c r="B373" s="13"/>
      <c r="C373" s="13"/>
      <c r="D373" s="13"/>
      <c r="E373" s="47"/>
      <c r="F373" s="47"/>
      <c r="G373" s="47"/>
      <c r="H373" s="47"/>
      <c r="I373" s="47"/>
      <c r="J373" s="47"/>
    </row>
    <row r="374" spans="1:10" ht="14">
      <c r="A374" s="13"/>
      <c r="B374" s="13"/>
      <c r="C374" s="13"/>
      <c r="D374" s="13"/>
      <c r="E374" s="47"/>
      <c r="F374" s="47"/>
      <c r="G374" s="47"/>
      <c r="H374" s="47"/>
      <c r="I374" s="47"/>
      <c r="J374" s="47"/>
    </row>
    <row r="375" spans="1:10" ht="14">
      <c r="A375" s="13"/>
      <c r="B375" s="13"/>
      <c r="C375" s="13"/>
      <c r="D375" s="13"/>
      <c r="E375" s="47"/>
      <c r="F375" s="47"/>
      <c r="G375" s="47"/>
      <c r="H375" s="47"/>
      <c r="I375" s="47"/>
      <c r="J375" s="47"/>
    </row>
    <row r="376" spans="1:10" ht="14">
      <c r="A376" s="13"/>
      <c r="B376" s="13"/>
      <c r="C376" s="13"/>
      <c r="D376" s="13"/>
      <c r="E376" s="47"/>
      <c r="F376" s="47"/>
      <c r="G376" s="47"/>
      <c r="H376" s="47"/>
      <c r="I376" s="47"/>
      <c r="J376" s="47"/>
    </row>
    <row r="377" spans="1:10" ht="14">
      <c r="A377" s="13"/>
      <c r="B377" s="13"/>
      <c r="C377" s="13"/>
      <c r="D377" s="13"/>
      <c r="E377" s="47"/>
      <c r="F377" s="47"/>
      <c r="G377" s="47"/>
      <c r="H377" s="47"/>
      <c r="I377" s="47"/>
      <c r="J377" s="47"/>
    </row>
    <row r="378" spans="1:10" ht="14">
      <c r="A378" s="13"/>
      <c r="B378" s="13"/>
      <c r="C378" s="13"/>
      <c r="D378" s="13"/>
      <c r="E378" s="47"/>
      <c r="F378" s="47"/>
      <c r="G378" s="47"/>
      <c r="H378" s="47"/>
      <c r="I378" s="47"/>
      <c r="J378" s="47"/>
    </row>
    <row r="379" spans="1:10" ht="14">
      <c r="A379" s="13"/>
      <c r="B379" s="13"/>
      <c r="C379" s="13"/>
      <c r="D379" s="13"/>
      <c r="E379" s="47"/>
      <c r="F379" s="47"/>
      <c r="G379" s="47"/>
      <c r="H379" s="47"/>
      <c r="I379" s="47"/>
      <c r="J379" s="47"/>
    </row>
    <row r="380" spans="1:10" ht="14">
      <c r="A380" s="13"/>
      <c r="B380" s="13"/>
      <c r="C380" s="13"/>
      <c r="D380" s="13"/>
      <c r="E380" s="47"/>
      <c r="F380" s="47"/>
      <c r="G380" s="47"/>
      <c r="H380" s="47"/>
      <c r="I380" s="47"/>
      <c r="J380" s="47"/>
    </row>
    <row r="381" spans="1:10" ht="14">
      <c r="A381" s="13"/>
      <c r="B381" s="13"/>
      <c r="C381" s="13"/>
      <c r="D381" s="13"/>
      <c r="E381" s="47"/>
      <c r="F381" s="47"/>
      <c r="G381" s="47"/>
      <c r="H381" s="47"/>
      <c r="I381" s="47"/>
      <c r="J381" s="47"/>
    </row>
    <row r="382" spans="1:10" ht="14">
      <c r="A382" s="13"/>
      <c r="B382" s="13"/>
      <c r="C382" s="13"/>
      <c r="D382" s="13"/>
      <c r="E382" s="47"/>
      <c r="F382" s="47"/>
      <c r="G382" s="47"/>
      <c r="H382" s="47"/>
      <c r="I382" s="47"/>
      <c r="J382" s="47"/>
    </row>
    <row r="383" spans="1:10" ht="14">
      <c r="A383" s="13"/>
      <c r="B383" s="13"/>
      <c r="C383" s="13"/>
      <c r="D383" s="13"/>
      <c r="E383" s="47"/>
      <c r="F383" s="47"/>
      <c r="G383" s="47"/>
      <c r="H383" s="47"/>
      <c r="I383" s="47"/>
      <c r="J383" s="47"/>
    </row>
    <row r="384" spans="1:10" ht="14">
      <c r="A384" s="13"/>
      <c r="B384" s="13"/>
      <c r="C384" s="13"/>
      <c r="D384" s="13"/>
      <c r="E384" s="47"/>
      <c r="F384" s="47"/>
      <c r="G384" s="47"/>
      <c r="H384" s="47"/>
      <c r="I384" s="47"/>
      <c r="J384" s="47"/>
    </row>
    <row r="385" spans="1:10" ht="14">
      <c r="A385" s="13"/>
      <c r="B385" s="13"/>
      <c r="C385" s="13"/>
      <c r="D385" s="13"/>
      <c r="E385" s="47"/>
      <c r="F385" s="47"/>
      <c r="G385" s="47"/>
      <c r="H385" s="47"/>
      <c r="I385" s="47"/>
      <c r="J385" s="47"/>
    </row>
    <row r="386" spans="1:10" ht="14">
      <c r="A386" s="13"/>
      <c r="B386" s="13"/>
      <c r="C386" s="13"/>
      <c r="D386" s="13"/>
      <c r="E386" s="47"/>
      <c r="F386" s="47"/>
      <c r="G386" s="47"/>
      <c r="H386" s="47"/>
      <c r="I386" s="47"/>
      <c r="J386" s="47"/>
    </row>
    <row r="387" spans="1:10" ht="14">
      <c r="A387" s="13"/>
      <c r="B387" s="13"/>
      <c r="C387" s="13"/>
      <c r="D387" s="13"/>
      <c r="E387" s="47"/>
      <c r="F387" s="47"/>
      <c r="G387" s="47"/>
      <c r="H387" s="47"/>
      <c r="I387" s="47"/>
      <c r="J387" s="47"/>
    </row>
    <row r="388" spans="1:10" ht="14">
      <c r="A388" s="13"/>
      <c r="B388" s="13"/>
      <c r="C388" s="13"/>
      <c r="D388" s="13"/>
      <c r="E388" s="47"/>
      <c r="F388" s="47"/>
      <c r="G388" s="47"/>
      <c r="H388" s="47"/>
      <c r="I388" s="47"/>
      <c r="J388" s="47"/>
    </row>
    <row r="389" spans="1:10" ht="14">
      <c r="A389" s="13"/>
      <c r="B389" s="13"/>
      <c r="C389" s="13"/>
      <c r="D389" s="13"/>
      <c r="E389" s="47"/>
      <c r="F389" s="47"/>
      <c r="G389" s="47"/>
      <c r="H389" s="47"/>
      <c r="I389" s="47"/>
      <c r="J389" s="47"/>
    </row>
    <row r="390" spans="1:10" ht="14">
      <c r="A390" s="13"/>
      <c r="B390" s="13"/>
      <c r="C390" s="13"/>
      <c r="D390" s="13"/>
      <c r="E390" s="47"/>
      <c r="F390" s="47"/>
      <c r="G390" s="47"/>
      <c r="H390" s="47"/>
      <c r="I390" s="47"/>
      <c r="J390" s="47"/>
    </row>
    <row r="391" spans="1:10" ht="14">
      <c r="A391" s="13"/>
      <c r="B391" s="13"/>
      <c r="C391" s="13"/>
      <c r="D391" s="13"/>
      <c r="E391" s="47"/>
      <c r="F391" s="47"/>
      <c r="G391" s="47"/>
      <c r="H391" s="47"/>
      <c r="I391" s="47"/>
      <c r="J391" s="47"/>
    </row>
    <row r="392" spans="1:10" ht="14">
      <c r="A392" s="13"/>
      <c r="B392" s="13"/>
      <c r="C392" s="13"/>
      <c r="D392" s="13"/>
      <c r="E392" s="47"/>
      <c r="F392" s="47"/>
      <c r="G392" s="47"/>
      <c r="H392" s="47"/>
      <c r="I392" s="47"/>
      <c r="J392" s="47"/>
    </row>
    <row r="393" spans="1:10" ht="14">
      <c r="A393" s="13"/>
      <c r="B393" s="13"/>
      <c r="C393" s="13"/>
      <c r="D393" s="13"/>
      <c r="E393" s="47"/>
      <c r="F393" s="47"/>
      <c r="G393" s="47"/>
      <c r="H393" s="47"/>
      <c r="I393" s="47"/>
      <c r="J393" s="47"/>
    </row>
    <row r="394" spans="1:10" ht="14">
      <c r="A394" s="13"/>
      <c r="B394" s="13"/>
      <c r="C394" s="13"/>
      <c r="D394" s="13"/>
      <c r="E394" s="47"/>
      <c r="F394" s="47"/>
      <c r="G394" s="47"/>
      <c r="H394" s="47"/>
      <c r="I394" s="47"/>
      <c r="J394" s="47"/>
    </row>
    <row r="395" spans="1:10" ht="14">
      <c r="A395" s="13"/>
      <c r="B395" s="13"/>
      <c r="C395" s="13"/>
      <c r="D395" s="13"/>
      <c r="E395" s="47"/>
      <c r="F395" s="47"/>
      <c r="G395" s="47"/>
      <c r="H395" s="47"/>
      <c r="I395" s="47"/>
      <c r="J395" s="47"/>
    </row>
    <row r="396" spans="1:10" ht="14">
      <c r="A396" s="13"/>
      <c r="B396" s="13"/>
      <c r="C396" s="13"/>
      <c r="D396" s="13"/>
      <c r="E396" s="47"/>
      <c r="F396" s="47"/>
      <c r="G396" s="47"/>
      <c r="H396" s="47"/>
      <c r="I396" s="47"/>
      <c r="J396" s="47"/>
    </row>
    <row r="397" spans="1:10" ht="14">
      <c r="A397" s="13"/>
      <c r="B397" s="13"/>
      <c r="C397" s="13"/>
      <c r="D397" s="13"/>
      <c r="E397" s="47"/>
      <c r="F397" s="47"/>
      <c r="G397" s="47"/>
      <c r="H397" s="47"/>
      <c r="I397" s="47"/>
      <c r="J397" s="47"/>
    </row>
    <row r="398" spans="1:10" ht="14">
      <c r="A398" s="13"/>
      <c r="B398" s="13"/>
      <c r="C398" s="13"/>
      <c r="D398" s="13"/>
      <c r="E398" s="47"/>
      <c r="F398" s="47"/>
      <c r="G398" s="47"/>
      <c r="H398" s="47"/>
      <c r="I398" s="47"/>
      <c r="J398" s="47"/>
    </row>
    <row r="399" spans="1:10" ht="14">
      <c r="A399" s="13"/>
      <c r="B399" s="13"/>
      <c r="C399" s="13"/>
      <c r="D399" s="13"/>
      <c r="E399" s="47"/>
      <c r="F399" s="47"/>
      <c r="G399" s="47"/>
      <c r="H399" s="47"/>
      <c r="I399" s="47"/>
      <c r="J399" s="47"/>
    </row>
    <row r="400" spans="1:10" ht="14">
      <c r="A400" s="13"/>
      <c r="B400" s="13"/>
      <c r="C400" s="13"/>
      <c r="D400" s="13"/>
      <c r="E400" s="47"/>
      <c r="F400" s="47"/>
      <c r="G400" s="47"/>
      <c r="H400" s="47"/>
      <c r="I400" s="47"/>
      <c r="J400" s="47"/>
    </row>
    <row r="401" spans="1:10" ht="14">
      <c r="A401" s="13"/>
      <c r="B401" s="13"/>
      <c r="C401" s="13"/>
      <c r="D401" s="13"/>
      <c r="E401" s="47"/>
      <c r="F401" s="47"/>
      <c r="G401" s="47"/>
      <c r="H401" s="47"/>
      <c r="I401" s="47"/>
      <c r="J401" s="47"/>
    </row>
    <row r="402" spans="1:10" ht="14">
      <c r="A402" s="13"/>
      <c r="B402" s="13"/>
      <c r="C402" s="13"/>
      <c r="D402" s="13"/>
      <c r="E402" s="47"/>
      <c r="F402" s="47"/>
      <c r="G402" s="47"/>
      <c r="H402" s="47"/>
      <c r="I402" s="47"/>
      <c r="J402" s="47"/>
    </row>
    <row r="403" spans="1:10" ht="14">
      <c r="A403" s="13"/>
      <c r="B403" s="13"/>
      <c r="C403" s="13"/>
      <c r="D403" s="13"/>
      <c r="E403" s="47"/>
      <c r="F403" s="47"/>
      <c r="G403" s="47"/>
      <c r="H403" s="47"/>
      <c r="I403" s="47"/>
      <c r="J403" s="47"/>
    </row>
    <row r="404" spans="1:10" ht="14">
      <c r="A404" s="13"/>
      <c r="B404" s="13"/>
      <c r="C404" s="13"/>
      <c r="D404" s="13"/>
      <c r="E404" s="47"/>
      <c r="F404" s="47"/>
      <c r="G404" s="47"/>
      <c r="H404" s="47"/>
      <c r="I404" s="47"/>
      <c r="J404" s="47"/>
    </row>
    <row r="405" spans="1:10" ht="14">
      <c r="A405" s="13"/>
      <c r="B405" s="13"/>
      <c r="C405" s="13"/>
      <c r="D405" s="13"/>
      <c r="E405" s="47"/>
      <c r="F405" s="47"/>
      <c r="G405" s="47"/>
      <c r="H405" s="47"/>
      <c r="I405" s="47"/>
      <c r="J405" s="47"/>
    </row>
    <row r="406" spans="1:10" ht="14">
      <c r="A406" s="13"/>
      <c r="B406" s="13"/>
      <c r="C406" s="13"/>
      <c r="D406" s="13"/>
      <c r="E406" s="47"/>
      <c r="F406" s="47"/>
      <c r="G406" s="47"/>
      <c r="H406" s="47"/>
      <c r="I406" s="47"/>
      <c r="J406" s="47"/>
    </row>
    <row r="407" spans="1:10" ht="14">
      <c r="A407" s="13"/>
      <c r="B407" s="13"/>
      <c r="C407" s="13"/>
      <c r="D407" s="13"/>
      <c r="E407" s="47"/>
      <c r="F407" s="47"/>
      <c r="G407" s="47"/>
      <c r="H407" s="47"/>
      <c r="I407" s="47"/>
      <c r="J407" s="47"/>
    </row>
    <row r="408" spans="1:10" ht="14">
      <c r="A408" s="13"/>
      <c r="B408" s="13"/>
      <c r="C408" s="13"/>
      <c r="D408" s="13"/>
      <c r="E408" s="47"/>
      <c r="F408" s="47"/>
      <c r="G408" s="47"/>
      <c r="H408" s="47"/>
      <c r="I408" s="47"/>
      <c r="J408" s="47"/>
    </row>
    <row r="409" spans="1:10" ht="14">
      <c r="A409" s="13"/>
      <c r="B409" s="13"/>
      <c r="C409" s="13"/>
      <c r="D409" s="13"/>
      <c r="E409" s="47"/>
      <c r="F409" s="47"/>
      <c r="G409" s="47"/>
      <c r="H409" s="47"/>
      <c r="I409" s="47"/>
      <c r="J409" s="47"/>
    </row>
    <row r="410" spans="1:10" ht="14">
      <c r="A410" s="13"/>
      <c r="B410" s="13"/>
      <c r="C410" s="13"/>
      <c r="D410" s="13"/>
      <c r="E410" s="47"/>
      <c r="F410" s="47"/>
      <c r="G410" s="47"/>
      <c r="H410" s="47"/>
      <c r="I410" s="47"/>
      <c r="J410" s="47"/>
    </row>
    <row r="411" spans="1:10" ht="14">
      <c r="A411" s="13"/>
      <c r="B411" s="13"/>
      <c r="C411" s="13"/>
      <c r="D411" s="13"/>
      <c r="E411" s="47"/>
      <c r="F411" s="47"/>
      <c r="G411" s="47"/>
      <c r="H411" s="47"/>
      <c r="I411" s="47"/>
      <c r="J411" s="47"/>
    </row>
    <row r="412" spans="1:10" ht="14">
      <c r="A412" s="13"/>
      <c r="B412" s="13"/>
      <c r="C412" s="13"/>
      <c r="D412" s="13"/>
      <c r="E412" s="47"/>
      <c r="F412" s="47"/>
      <c r="G412" s="47"/>
      <c r="H412" s="47"/>
      <c r="I412" s="47"/>
      <c r="J412" s="47"/>
    </row>
    <row r="413" spans="1:10" ht="14">
      <c r="A413" s="13"/>
      <c r="B413" s="13"/>
      <c r="C413" s="13"/>
      <c r="D413" s="13"/>
      <c r="E413" s="47"/>
      <c r="F413" s="47"/>
      <c r="G413" s="47"/>
      <c r="H413" s="47"/>
      <c r="I413" s="47"/>
      <c r="J413" s="47"/>
    </row>
    <row r="414" spans="1:10" ht="14">
      <c r="A414" s="13"/>
      <c r="B414" s="13"/>
      <c r="C414" s="13"/>
      <c r="D414" s="13"/>
      <c r="E414" s="47"/>
      <c r="F414" s="47"/>
      <c r="G414" s="47"/>
      <c r="H414" s="47"/>
      <c r="I414" s="47"/>
      <c r="J414" s="47"/>
    </row>
    <row r="415" spans="1:10" ht="14">
      <c r="A415" s="13"/>
      <c r="B415" s="13"/>
      <c r="C415" s="13"/>
      <c r="D415" s="13"/>
      <c r="E415" s="47"/>
      <c r="F415" s="47"/>
      <c r="G415" s="47"/>
      <c r="H415" s="47"/>
      <c r="I415" s="47"/>
      <c r="J415" s="47"/>
    </row>
    <row r="416" spans="1:10" ht="14">
      <c r="A416" s="13"/>
      <c r="B416" s="13"/>
      <c r="C416" s="13"/>
      <c r="D416" s="13"/>
      <c r="E416" s="47"/>
      <c r="F416" s="47"/>
      <c r="G416" s="47"/>
      <c r="H416" s="47"/>
      <c r="I416" s="47"/>
      <c r="J416" s="47"/>
    </row>
    <row r="417" spans="1:10" ht="14">
      <c r="A417" s="13"/>
      <c r="B417" s="13"/>
      <c r="C417" s="13"/>
      <c r="D417" s="13"/>
      <c r="E417" s="47"/>
      <c r="F417" s="47"/>
      <c r="G417" s="47"/>
      <c r="H417" s="47"/>
      <c r="I417" s="47"/>
      <c r="J417" s="47"/>
    </row>
    <row r="418" spans="1:10" ht="14">
      <c r="A418" s="13"/>
      <c r="B418" s="13"/>
      <c r="C418" s="13"/>
      <c r="D418" s="13"/>
      <c r="E418" s="47"/>
      <c r="F418" s="47"/>
      <c r="G418" s="47"/>
      <c r="H418" s="47"/>
      <c r="I418" s="47"/>
      <c r="J418" s="47"/>
    </row>
    <row r="419" spans="1:10" ht="14">
      <c r="A419" s="13"/>
      <c r="B419" s="13"/>
      <c r="C419" s="13"/>
      <c r="D419" s="13"/>
      <c r="E419" s="47"/>
      <c r="F419" s="47"/>
      <c r="G419" s="47"/>
      <c r="H419" s="47"/>
      <c r="I419" s="47"/>
      <c r="J419" s="47"/>
    </row>
    <row r="420" spans="1:10" ht="14">
      <c r="A420" s="13"/>
      <c r="B420" s="13"/>
      <c r="C420" s="13"/>
      <c r="D420" s="13"/>
      <c r="E420" s="47"/>
      <c r="F420" s="47"/>
      <c r="G420" s="47"/>
      <c r="H420" s="47"/>
      <c r="I420" s="47"/>
      <c r="J420" s="47"/>
    </row>
    <row r="421" spans="1:10" ht="14">
      <c r="A421" s="13"/>
      <c r="B421" s="13"/>
      <c r="C421" s="13"/>
      <c r="D421" s="13"/>
      <c r="E421" s="47"/>
      <c r="F421" s="47"/>
      <c r="G421" s="47"/>
      <c r="H421" s="47"/>
      <c r="I421" s="47"/>
      <c r="J421" s="47"/>
    </row>
    <row r="422" spans="1:10" ht="14">
      <c r="A422" s="13"/>
      <c r="B422" s="13"/>
      <c r="C422" s="13"/>
      <c r="D422" s="13"/>
      <c r="E422" s="47"/>
      <c r="F422" s="47"/>
      <c r="G422" s="47"/>
      <c r="H422" s="47"/>
      <c r="I422" s="47"/>
      <c r="J422" s="47"/>
    </row>
    <row r="423" spans="1:10" ht="14">
      <c r="A423" s="13"/>
      <c r="B423" s="13"/>
      <c r="C423" s="13"/>
      <c r="D423" s="13"/>
      <c r="E423" s="47"/>
      <c r="F423" s="47"/>
      <c r="G423" s="47"/>
      <c r="H423" s="47"/>
      <c r="I423" s="47"/>
      <c r="J423" s="47"/>
    </row>
    <row r="424" spans="1:10" ht="14">
      <c r="A424" s="13"/>
      <c r="B424" s="13"/>
      <c r="C424" s="13"/>
      <c r="D424" s="13"/>
      <c r="E424" s="47"/>
      <c r="F424" s="47"/>
      <c r="G424" s="47"/>
      <c r="H424" s="47"/>
      <c r="I424" s="47"/>
      <c r="J424" s="47"/>
    </row>
    <row r="425" spans="1:10" ht="14">
      <c r="A425" s="13"/>
      <c r="B425" s="13"/>
      <c r="C425" s="13"/>
      <c r="D425" s="13"/>
      <c r="E425" s="47"/>
      <c r="F425" s="47"/>
      <c r="G425" s="47"/>
      <c r="H425" s="47"/>
      <c r="I425" s="47"/>
      <c r="J425" s="47"/>
    </row>
    <row r="426" spans="1:10" ht="14">
      <c r="A426" s="13"/>
      <c r="B426" s="13"/>
      <c r="C426" s="13"/>
      <c r="D426" s="13"/>
      <c r="E426" s="47"/>
      <c r="F426" s="47"/>
      <c r="G426" s="47"/>
      <c r="H426" s="47"/>
      <c r="I426" s="47"/>
      <c r="J426" s="47"/>
    </row>
    <row r="427" spans="1:10" ht="14">
      <c r="A427" s="13"/>
      <c r="B427" s="13"/>
      <c r="C427" s="13"/>
      <c r="D427" s="13"/>
      <c r="E427" s="47"/>
      <c r="F427" s="47"/>
      <c r="G427" s="47"/>
      <c r="H427" s="47"/>
      <c r="I427" s="47"/>
      <c r="J427" s="47"/>
    </row>
    <row r="428" spans="1:10" ht="14">
      <c r="A428" s="13"/>
      <c r="B428" s="13"/>
      <c r="C428" s="13"/>
      <c r="D428" s="13"/>
      <c r="E428" s="47"/>
      <c r="F428" s="47"/>
      <c r="G428" s="47"/>
      <c r="H428" s="47"/>
      <c r="I428" s="47"/>
      <c r="J428" s="47"/>
    </row>
    <row r="429" spans="1:10" ht="14">
      <c r="A429" s="13"/>
      <c r="B429" s="13"/>
      <c r="C429" s="13"/>
      <c r="D429" s="13"/>
      <c r="E429" s="47"/>
      <c r="F429" s="47"/>
      <c r="G429" s="47"/>
      <c r="H429" s="47"/>
      <c r="I429" s="47"/>
      <c r="J429" s="47"/>
    </row>
    <row r="430" spans="1:10" ht="14">
      <c r="A430" s="13"/>
      <c r="B430" s="13"/>
      <c r="C430" s="13"/>
      <c r="D430" s="13"/>
      <c r="E430" s="47"/>
      <c r="F430" s="47"/>
      <c r="G430" s="47"/>
      <c r="H430" s="47"/>
      <c r="I430" s="47"/>
      <c r="J430" s="47"/>
    </row>
    <row r="431" spans="1:10" ht="14">
      <c r="A431" s="13"/>
      <c r="B431" s="13"/>
      <c r="C431" s="13"/>
      <c r="D431" s="13"/>
      <c r="E431" s="47"/>
      <c r="F431" s="47"/>
      <c r="G431" s="47"/>
      <c r="H431" s="47"/>
      <c r="I431" s="47"/>
      <c r="J431" s="47"/>
    </row>
    <row r="432" spans="1:10" ht="14">
      <c r="A432" s="13"/>
      <c r="B432" s="13"/>
      <c r="C432" s="13"/>
      <c r="D432" s="13"/>
      <c r="E432" s="47"/>
      <c r="F432" s="47"/>
      <c r="G432" s="47"/>
      <c r="H432" s="47"/>
      <c r="I432" s="47"/>
      <c r="J432" s="47"/>
    </row>
    <row r="433" spans="1:10" ht="14">
      <c r="A433" s="13"/>
      <c r="B433" s="13"/>
      <c r="C433" s="13"/>
      <c r="D433" s="13"/>
      <c r="E433" s="47"/>
      <c r="F433" s="47"/>
      <c r="G433" s="47"/>
      <c r="H433" s="47"/>
      <c r="I433" s="47"/>
      <c r="J433" s="47"/>
    </row>
    <row r="434" spans="1:10" ht="14">
      <c r="A434" s="13"/>
      <c r="B434" s="13"/>
      <c r="C434" s="13"/>
      <c r="D434" s="13"/>
      <c r="E434" s="47"/>
      <c r="F434" s="47"/>
      <c r="G434" s="47"/>
      <c r="H434" s="47"/>
      <c r="I434" s="47"/>
      <c r="J434" s="47"/>
    </row>
    <row r="435" spans="1:10" ht="14">
      <c r="A435" s="13"/>
      <c r="B435" s="13"/>
      <c r="C435" s="13"/>
      <c r="D435" s="13"/>
      <c r="E435" s="47"/>
      <c r="F435" s="47"/>
      <c r="G435" s="47"/>
      <c r="H435" s="47"/>
      <c r="I435" s="47"/>
      <c r="J435" s="47"/>
    </row>
    <row r="436" spans="1:10" ht="14">
      <c r="A436" s="13"/>
      <c r="B436" s="13"/>
      <c r="C436" s="13"/>
      <c r="D436" s="13"/>
      <c r="E436" s="47"/>
      <c r="F436" s="47"/>
      <c r="G436" s="47"/>
      <c r="H436" s="47"/>
      <c r="I436" s="47"/>
      <c r="J436" s="47"/>
    </row>
    <row r="437" spans="1:10" ht="14">
      <c r="A437" s="13"/>
      <c r="B437" s="13"/>
      <c r="C437" s="13"/>
      <c r="D437" s="13"/>
      <c r="E437" s="47"/>
      <c r="F437" s="47"/>
      <c r="G437" s="47"/>
      <c r="H437" s="47"/>
      <c r="I437" s="47"/>
      <c r="J437" s="47"/>
    </row>
    <row r="438" spans="1:10" ht="14">
      <c r="A438" s="13"/>
      <c r="B438" s="13"/>
      <c r="C438" s="13"/>
      <c r="D438" s="13"/>
      <c r="E438" s="47"/>
      <c r="F438" s="47"/>
      <c r="G438" s="47"/>
      <c r="H438" s="47"/>
      <c r="I438" s="47"/>
      <c r="J438" s="47"/>
    </row>
    <row r="439" spans="1:10" ht="14">
      <c r="A439" s="13"/>
      <c r="B439" s="13"/>
      <c r="C439" s="13"/>
      <c r="D439" s="13"/>
      <c r="E439" s="47"/>
      <c r="F439" s="47"/>
      <c r="G439" s="47"/>
      <c r="H439" s="47"/>
      <c r="I439" s="47"/>
      <c r="J439" s="47"/>
    </row>
    <row r="440" spans="1:10" ht="14">
      <c r="A440" s="13"/>
      <c r="B440" s="13"/>
      <c r="C440" s="13"/>
      <c r="D440" s="13"/>
      <c r="E440" s="47"/>
      <c r="F440" s="47"/>
      <c r="G440" s="47"/>
      <c r="H440" s="47"/>
      <c r="I440" s="47"/>
      <c r="J440" s="47"/>
    </row>
    <row r="441" spans="1:10" ht="14">
      <c r="A441" s="13"/>
      <c r="B441" s="13"/>
      <c r="C441" s="13"/>
      <c r="D441" s="13"/>
      <c r="E441" s="47"/>
      <c r="F441" s="47"/>
      <c r="G441" s="47"/>
      <c r="H441" s="47"/>
      <c r="I441" s="47"/>
      <c r="J441" s="47"/>
    </row>
    <row r="442" spans="1:10" ht="14">
      <c r="A442" s="13"/>
      <c r="B442" s="13"/>
      <c r="C442" s="13"/>
      <c r="D442" s="13"/>
      <c r="E442" s="47"/>
      <c r="F442" s="47"/>
      <c r="G442" s="47"/>
      <c r="H442" s="47"/>
      <c r="I442" s="47"/>
      <c r="J442" s="47"/>
    </row>
    <row r="443" spans="1:10" ht="14">
      <c r="A443" s="13"/>
      <c r="B443" s="13"/>
      <c r="C443" s="13"/>
      <c r="D443" s="13"/>
      <c r="E443" s="47"/>
      <c r="F443" s="47"/>
      <c r="G443" s="47"/>
      <c r="H443" s="47"/>
      <c r="I443" s="47"/>
      <c r="J443" s="47"/>
    </row>
    <row r="444" spans="1:10" ht="14">
      <c r="A444" s="13"/>
      <c r="B444" s="13"/>
      <c r="C444" s="13"/>
      <c r="D444" s="13"/>
      <c r="E444" s="47"/>
      <c r="F444" s="47"/>
      <c r="G444" s="47"/>
      <c r="H444" s="47"/>
      <c r="I444" s="47"/>
      <c r="J444" s="47"/>
    </row>
    <row r="445" spans="1:10" ht="14">
      <c r="A445" s="13"/>
      <c r="B445" s="13"/>
      <c r="C445" s="13"/>
      <c r="D445" s="13"/>
      <c r="E445" s="47"/>
      <c r="F445" s="47"/>
      <c r="G445" s="47"/>
      <c r="H445" s="47"/>
      <c r="I445" s="47"/>
      <c r="J445" s="47"/>
    </row>
    <row r="446" spans="1:10" ht="14">
      <c r="A446" s="13"/>
      <c r="B446" s="13"/>
      <c r="C446" s="13"/>
      <c r="D446" s="13"/>
      <c r="E446" s="47"/>
      <c r="F446" s="47"/>
      <c r="G446" s="47"/>
      <c r="H446" s="47"/>
      <c r="I446" s="47"/>
      <c r="J446" s="47"/>
    </row>
    <row r="447" spans="1:10" ht="14">
      <c r="A447" s="13"/>
      <c r="B447" s="13"/>
      <c r="C447" s="13"/>
      <c r="D447" s="13"/>
      <c r="E447" s="47"/>
      <c r="F447" s="47"/>
      <c r="G447" s="47"/>
      <c r="H447" s="47"/>
      <c r="I447" s="47"/>
      <c r="J447" s="47"/>
    </row>
    <row r="448" spans="1:10" ht="14">
      <c r="A448" s="13"/>
      <c r="B448" s="13"/>
      <c r="C448" s="13"/>
      <c r="D448" s="13"/>
      <c r="E448" s="47"/>
      <c r="F448" s="47"/>
      <c r="G448" s="47"/>
      <c r="H448" s="47"/>
      <c r="I448" s="47"/>
      <c r="J448" s="47"/>
    </row>
    <row r="449" spans="1:10" ht="14">
      <c r="A449" s="13"/>
      <c r="B449" s="13"/>
      <c r="C449" s="13"/>
      <c r="D449" s="13"/>
      <c r="E449" s="47"/>
      <c r="F449" s="47"/>
      <c r="G449" s="47"/>
      <c r="H449" s="47"/>
      <c r="I449" s="47"/>
      <c r="J449" s="47"/>
    </row>
    <row r="450" spans="1:10" ht="14">
      <c r="A450" s="13"/>
      <c r="B450" s="13"/>
      <c r="C450" s="13"/>
      <c r="D450" s="13"/>
      <c r="E450" s="47"/>
      <c r="F450" s="47"/>
      <c r="G450" s="47"/>
      <c r="H450" s="47"/>
      <c r="I450" s="47"/>
      <c r="J450" s="47"/>
    </row>
    <row r="451" spans="1:10" ht="14">
      <c r="A451" s="13"/>
      <c r="B451" s="13"/>
      <c r="C451" s="13"/>
      <c r="D451" s="13"/>
      <c r="E451" s="47"/>
      <c r="F451" s="47"/>
      <c r="G451" s="47"/>
      <c r="H451" s="47"/>
      <c r="I451" s="47"/>
      <c r="J451" s="47"/>
    </row>
    <row r="452" spans="1:10" ht="14">
      <c r="A452" s="13"/>
      <c r="B452" s="13"/>
      <c r="C452" s="13"/>
      <c r="D452" s="13"/>
      <c r="E452" s="47"/>
      <c r="F452" s="47"/>
      <c r="G452" s="47"/>
      <c r="H452" s="47"/>
      <c r="I452" s="47"/>
      <c r="J452" s="47"/>
    </row>
    <row r="453" spans="1:10" ht="14">
      <c r="A453" s="13"/>
      <c r="B453" s="13"/>
      <c r="C453" s="13"/>
      <c r="D453" s="13"/>
      <c r="E453" s="47"/>
      <c r="F453" s="47"/>
      <c r="G453" s="47"/>
      <c r="H453" s="47"/>
      <c r="I453" s="47"/>
      <c r="J453" s="47"/>
    </row>
    <row r="454" spans="1:10" ht="14">
      <c r="A454" s="13"/>
      <c r="B454" s="13"/>
      <c r="C454" s="13"/>
      <c r="D454" s="13"/>
      <c r="E454" s="47"/>
      <c r="F454" s="47"/>
      <c r="G454" s="47"/>
      <c r="H454" s="47"/>
      <c r="I454" s="47"/>
      <c r="J454" s="47"/>
    </row>
    <row r="455" spans="1:10" ht="14">
      <c r="A455" s="13"/>
      <c r="B455" s="13"/>
      <c r="C455" s="13"/>
      <c r="D455" s="13"/>
      <c r="E455" s="47"/>
      <c r="F455" s="47"/>
      <c r="G455" s="47"/>
      <c r="H455" s="47"/>
      <c r="I455" s="47"/>
      <c r="J455" s="47"/>
    </row>
    <row r="456" spans="1:10" ht="14">
      <c r="A456" s="13"/>
      <c r="B456" s="13"/>
      <c r="C456" s="13"/>
      <c r="D456" s="13"/>
      <c r="E456" s="47"/>
      <c r="F456" s="47"/>
      <c r="G456" s="47"/>
      <c r="H456" s="47"/>
      <c r="I456" s="47"/>
      <c r="J456" s="47"/>
    </row>
    <row r="457" spans="1:10" ht="14">
      <c r="A457" s="13"/>
      <c r="B457" s="13"/>
      <c r="C457" s="13"/>
      <c r="D457" s="13"/>
      <c r="E457" s="47"/>
      <c r="F457" s="47"/>
      <c r="G457" s="47"/>
      <c r="H457" s="47"/>
      <c r="I457" s="47"/>
      <c r="J457" s="47"/>
    </row>
    <row r="458" spans="1:10" ht="14">
      <c r="A458" s="13"/>
      <c r="B458" s="13"/>
      <c r="C458" s="13"/>
      <c r="D458" s="13"/>
      <c r="E458" s="47"/>
      <c r="F458" s="47"/>
      <c r="G458" s="47"/>
      <c r="H458" s="47"/>
      <c r="I458" s="47"/>
      <c r="J458" s="47"/>
    </row>
    <row r="459" spans="1:10" ht="14">
      <c r="A459" s="13"/>
      <c r="B459" s="13"/>
      <c r="C459" s="13"/>
      <c r="D459" s="13"/>
      <c r="E459" s="47"/>
      <c r="F459" s="47"/>
      <c r="G459" s="47"/>
      <c r="H459" s="47"/>
      <c r="I459" s="47"/>
      <c r="J459" s="47"/>
    </row>
    <row r="460" spans="1:10" ht="14">
      <c r="A460" s="13"/>
      <c r="B460" s="13"/>
      <c r="C460" s="13"/>
      <c r="D460" s="13"/>
      <c r="E460" s="47"/>
      <c r="F460" s="47"/>
      <c r="G460" s="47"/>
      <c r="H460" s="47"/>
      <c r="I460" s="47"/>
      <c r="J460" s="47"/>
    </row>
    <row r="461" spans="1:10" ht="14">
      <c r="A461" s="13"/>
      <c r="B461" s="13"/>
      <c r="C461" s="13"/>
      <c r="D461" s="13"/>
      <c r="E461" s="47"/>
      <c r="F461" s="47"/>
      <c r="G461" s="47"/>
      <c r="H461" s="47"/>
      <c r="I461" s="47"/>
      <c r="J461" s="47"/>
    </row>
    <row r="462" spans="1:10" ht="14">
      <c r="A462" s="13"/>
      <c r="B462" s="13"/>
      <c r="C462" s="13"/>
      <c r="D462" s="13"/>
      <c r="E462" s="47"/>
      <c r="F462" s="47"/>
      <c r="G462" s="47"/>
      <c r="H462" s="47"/>
      <c r="I462" s="47"/>
      <c r="J462" s="47"/>
    </row>
    <row r="463" spans="1:10" ht="14">
      <c r="A463" s="13"/>
      <c r="B463" s="13"/>
      <c r="C463" s="13"/>
      <c r="D463" s="13"/>
      <c r="E463" s="47"/>
      <c r="F463" s="47"/>
      <c r="G463" s="47"/>
      <c r="H463" s="47"/>
      <c r="I463" s="47"/>
      <c r="J463" s="47"/>
    </row>
    <row r="464" spans="1:10" ht="14">
      <c r="A464" s="13"/>
      <c r="B464" s="13"/>
      <c r="C464" s="13"/>
      <c r="D464" s="13"/>
      <c r="E464" s="47"/>
      <c r="F464" s="47"/>
      <c r="G464" s="47"/>
      <c r="H464" s="47"/>
      <c r="I464" s="47"/>
      <c r="J464" s="47"/>
    </row>
    <row r="465" spans="1:10" ht="14">
      <c r="A465" s="13"/>
      <c r="B465" s="13"/>
      <c r="C465" s="13"/>
      <c r="D465" s="13"/>
      <c r="E465" s="47"/>
      <c r="F465" s="47"/>
      <c r="G465" s="47"/>
      <c r="H465" s="47"/>
      <c r="I465" s="47"/>
      <c r="J465" s="47"/>
    </row>
    <row r="466" spans="1:10" ht="14">
      <c r="A466" s="13"/>
      <c r="B466" s="13"/>
      <c r="C466" s="13"/>
      <c r="D466" s="13"/>
      <c r="E466" s="47"/>
      <c r="F466" s="47"/>
      <c r="G466" s="47"/>
      <c r="H466" s="47"/>
      <c r="I466" s="47"/>
      <c r="J466" s="47"/>
    </row>
    <row r="467" spans="1:10" ht="14">
      <c r="A467" s="13"/>
      <c r="B467" s="13"/>
      <c r="C467" s="13"/>
      <c r="D467" s="13"/>
      <c r="E467" s="47"/>
      <c r="F467" s="47"/>
      <c r="G467" s="47"/>
      <c r="H467" s="47"/>
      <c r="I467" s="47"/>
      <c r="J467" s="47"/>
    </row>
    <row r="468" spans="1:10" ht="14">
      <c r="A468" s="13"/>
      <c r="B468" s="13"/>
      <c r="C468" s="13"/>
      <c r="D468" s="13"/>
      <c r="E468" s="47"/>
      <c r="F468" s="47"/>
      <c r="G468" s="47"/>
      <c r="H468" s="47"/>
      <c r="I468" s="47"/>
      <c r="J468" s="47"/>
    </row>
    <row r="469" spans="1:10" ht="14">
      <c r="A469" s="13"/>
      <c r="B469" s="13"/>
      <c r="C469" s="13"/>
      <c r="D469" s="13"/>
      <c r="E469" s="47"/>
      <c r="F469" s="47"/>
      <c r="G469" s="47"/>
      <c r="H469" s="47"/>
      <c r="I469" s="47"/>
      <c r="J469" s="47"/>
    </row>
    <row r="470" spans="1:10" ht="14">
      <c r="A470" s="13"/>
      <c r="B470" s="13"/>
      <c r="C470" s="13"/>
      <c r="D470" s="13"/>
      <c r="E470" s="47"/>
      <c r="F470" s="47"/>
      <c r="G470" s="47"/>
      <c r="H470" s="47"/>
      <c r="I470" s="47"/>
      <c r="J470" s="47"/>
    </row>
    <row r="471" spans="1:10" ht="14">
      <c r="A471" s="13"/>
      <c r="B471" s="13"/>
      <c r="C471" s="13"/>
      <c r="D471" s="13"/>
      <c r="E471" s="47"/>
      <c r="F471" s="47"/>
      <c r="G471" s="47"/>
      <c r="H471" s="47"/>
      <c r="I471" s="47"/>
      <c r="J471" s="47"/>
    </row>
    <row r="472" spans="1:10" ht="14">
      <c r="A472" s="13"/>
      <c r="B472" s="13"/>
      <c r="C472" s="13"/>
      <c r="D472" s="13"/>
      <c r="E472" s="47"/>
      <c r="F472" s="47"/>
      <c r="G472" s="47"/>
      <c r="H472" s="47"/>
      <c r="I472" s="47"/>
      <c r="J472" s="47"/>
    </row>
    <row r="473" spans="1:10" ht="14">
      <c r="A473" s="13"/>
      <c r="B473" s="13"/>
      <c r="C473" s="13"/>
      <c r="D473" s="13"/>
      <c r="E473" s="47"/>
      <c r="F473" s="47"/>
      <c r="G473" s="47"/>
      <c r="H473" s="47"/>
      <c r="I473" s="47"/>
      <c r="J473" s="47"/>
    </row>
    <row r="474" spans="1:10" ht="14">
      <c r="A474" s="13"/>
      <c r="B474" s="13"/>
      <c r="C474" s="13"/>
      <c r="D474" s="13"/>
      <c r="E474" s="47"/>
      <c r="F474" s="47"/>
      <c r="G474" s="47"/>
      <c r="H474" s="47"/>
      <c r="I474" s="47"/>
      <c r="J474" s="47"/>
    </row>
    <row r="475" spans="1:10" ht="14">
      <c r="A475" s="13"/>
      <c r="B475" s="13"/>
      <c r="C475" s="13"/>
      <c r="D475" s="13"/>
      <c r="E475" s="47"/>
      <c r="F475" s="47"/>
      <c r="G475" s="47"/>
      <c r="H475" s="47"/>
      <c r="I475" s="47"/>
      <c r="J475" s="47"/>
    </row>
    <row r="476" spans="1:10" ht="14">
      <c r="A476" s="13"/>
      <c r="B476" s="13"/>
      <c r="C476" s="13"/>
      <c r="D476" s="13"/>
      <c r="E476" s="47"/>
      <c r="F476" s="47"/>
      <c r="G476" s="47"/>
      <c r="H476" s="47"/>
      <c r="I476" s="47"/>
      <c r="J476" s="47"/>
    </row>
    <row r="477" spans="1:10" ht="14">
      <c r="A477" s="13"/>
      <c r="B477" s="13"/>
      <c r="C477" s="13"/>
      <c r="D477" s="13"/>
      <c r="E477" s="47"/>
      <c r="F477" s="47"/>
      <c r="G477" s="47"/>
      <c r="H477" s="47"/>
      <c r="I477" s="47"/>
      <c r="J477" s="47"/>
    </row>
    <row r="478" spans="1:10" ht="14">
      <c r="A478" s="13"/>
      <c r="B478" s="13"/>
      <c r="C478" s="13"/>
      <c r="D478" s="13"/>
      <c r="E478" s="47"/>
      <c r="F478" s="47"/>
      <c r="G478" s="47"/>
      <c r="H478" s="47"/>
      <c r="I478" s="47"/>
      <c r="J478" s="47"/>
    </row>
    <row r="479" spans="1:10" ht="14">
      <c r="A479" s="13"/>
      <c r="B479" s="13"/>
      <c r="C479" s="13"/>
      <c r="D479" s="13"/>
      <c r="E479" s="47"/>
      <c r="F479" s="47"/>
      <c r="G479" s="47"/>
      <c r="H479" s="47"/>
      <c r="I479" s="47"/>
      <c r="J479" s="47"/>
    </row>
    <row r="480" spans="1:10" ht="14">
      <c r="A480" s="13"/>
      <c r="B480" s="13"/>
      <c r="C480" s="13"/>
      <c r="D480" s="13"/>
      <c r="E480" s="47"/>
      <c r="F480" s="47"/>
      <c r="G480" s="47"/>
      <c r="H480" s="47"/>
      <c r="I480" s="47"/>
      <c r="J480" s="47"/>
    </row>
    <row r="481" spans="1:10" ht="14">
      <c r="A481" s="13"/>
      <c r="B481" s="13"/>
      <c r="C481" s="13"/>
      <c r="D481" s="13"/>
      <c r="E481" s="47"/>
      <c r="F481" s="47"/>
      <c r="G481" s="47"/>
      <c r="H481" s="47"/>
      <c r="I481" s="47"/>
      <c r="J481" s="47"/>
    </row>
    <row r="482" spans="1:10" ht="14">
      <c r="A482" s="13"/>
      <c r="B482" s="13"/>
      <c r="C482" s="13"/>
      <c r="D482" s="13"/>
      <c r="E482" s="47"/>
      <c r="F482" s="47"/>
      <c r="G482" s="47"/>
      <c r="H482" s="47"/>
      <c r="I482" s="47"/>
      <c r="J482" s="47"/>
    </row>
    <row r="483" spans="1:10" ht="14">
      <c r="A483" s="13"/>
      <c r="B483" s="13"/>
      <c r="C483" s="13"/>
      <c r="D483" s="13"/>
      <c r="E483" s="47"/>
      <c r="F483" s="47"/>
      <c r="G483" s="47"/>
      <c r="H483" s="47"/>
      <c r="I483" s="47"/>
      <c r="J483" s="47"/>
    </row>
    <row r="484" spans="1:10" ht="14">
      <c r="A484" s="13"/>
      <c r="B484" s="13"/>
      <c r="C484" s="13"/>
      <c r="D484" s="13"/>
      <c r="E484" s="47"/>
      <c r="F484" s="47"/>
      <c r="G484" s="47"/>
      <c r="H484" s="47"/>
      <c r="I484" s="47"/>
      <c r="J484" s="47"/>
    </row>
    <row r="485" spans="1:10" ht="14">
      <c r="A485" s="13"/>
      <c r="B485" s="13"/>
      <c r="C485" s="13"/>
      <c r="D485" s="13"/>
      <c r="E485" s="47"/>
      <c r="F485" s="47"/>
      <c r="G485" s="47"/>
      <c r="H485" s="47"/>
      <c r="I485" s="47"/>
      <c r="J485" s="47"/>
    </row>
    <row r="486" spans="1:10" ht="14">
      <c r="A486" s="13"/>
      <c r="B486" s="13"/>
      <c r="C486" s="13"/>
      <c r="D486" s="13"/>
      <c r="E486" s="47"/>
      <c r="F486" s="47"/>
      <c r="G486" s="47"/>
      <c r="H486" s="47"/>
      <c r="I486" s="47"/>
      <c r="J486" s="47"/>
    </row>
    <row r="487" spans="1:10" ht="14">
      <c r="A487" s="13"/>
      <c r="B487" s="13"/>
      <c r="C487" s="13"/>
      <c r="D487" s="13"/>
      <c r="E487" s="47"/>
      <c r="F487" s="47"/>
      <c r="G487" s="47"/>
      <c r="H487" s="47"/>
      <c r="I487" s="47"/>
      <c r="J487" s="47"/>
    </row>
    <row r="488" spans="1:10" ht="14">
      <c r="A488" s="13"/>
      <c r="B488" s="13"/>
      <c r="C488" s="13"/>
      <c r="D488" s="13"/>
      <c r="E488" s="47"/>
      <c r="F488" s="47"/>
      <c r="G488" s="47"/>
      <c r="H488" s="47"/>
      <c r="I488" s="47"/>
      <c r="J488" s="47"/>
    </row>
    <row r="489" spans="1:10" ht="14">
      <c r="A489" s="13"/>
      <c r="B489" s="13"/>
      <c r="C489" s="13"/>
      <c r="D489" s="13"/>
      <c r="E489" s="47"/>
      <c r="F489" s="47"/>
      <c r="G489" s="47"/>
      <c r="H489" s="47"/>
      <c r="I489" s="47"/>
      <c r="J489" s="47"/>
    </row>
    <row r="490" spans="1:10" ht="14">
      <c r="A490" s="13"/>
      <c r="B490" s="13"/>
      <c r="C490" s="13"/>
      <c r="D490" s="13"/>
      <c r="E490" s="47"/>
      <c r="F490" s="47"/>
      <c r="G490" s="47"/>
      <c r="H490" s="47"/>
      <c r="I490" s="47"/>
      <c r="J490" s="47"/>
    </row>
    <row r="491" spans="1:10" ht="14">
      <c r="A491" s="13"/>
      <c r="B491" s="13"/>
      <c r="C491" s="13"/>
      <c r="D491" s="13"/>
      <c r="E491" s="47"/>
      <c r="F491" s="47"/>
      <c r="G491" s="47"/>
      <c r="H491" s="47"/>
      <c r="I491" s="47"/>
      <c r="J491" s="47"/>
    </row>
    <row r="492" spans="1:10" ht="14">
      <c r="A492" s="13"/>
      <c r="B492" s="13"/>
      <c r="C492" s="13"/>
      <c r="D492" s="13"/>
      <c r="E492" s="47"/>
      <c r="F492" s="47"/>
      <c r="G492" s="47"/>
      <c r="H492" s="47"/>
      <c r="I492" s="47"/>
      <c r="J492" s="47"/>
    </row>
    <row r="493" spans="1:10" ht="14">
      <c r="A493" s="13"/>
      <c r="B493" s="13"/>
      <c r="C493" s="13"/>
      <c r="D493" s="13"/>
      <c r="E493" s="47"/>
      <c r="F493" s="47"/>
      <c r="G493" s="47"/>
      <c r="H493" s="47"/>
      <c r="I493" s="47"/>
      <c r="J493" s="47"/>
    </row>
    <row r="494" spans="1:10" ht="14">
      <c r="A494" s="13"/>
      <c r="B494" s="13"/>
      <c r="C494" s="13"/>
      <c r="D494" s="13"/>
      <c r="E494" s="47"/>
      <c r="F494" s="47"/>
      <c r="G494" s="47"/>
      <c r="H494" s="47"/>
      <c r="I494" s="47"/>
      <c r="J494" s="47"/>
    </row>
    <row r="495" spans="1:10" ht="14">
      <c r="A495" s="13"/>
      <c r="B495" s="13"/>
      <c r="C495" s="13"/>
      <c r="D495" s="13"/>
      <c r="E495" s="47"/>
      <c r="F495" s="47"/>
      <c r="G495" s="47"/>
      <c r="H495" s="47"/>
      <c r="I495" s="47"/>
      <c r="J495" s="47"/>
    </row>
    <row r="496" spans="1:10" ht="14">
      <c r="A496" s="13"/>
      <c r="B496" s="13"/>
      <c r="C496" s="13"/>
      <c r="D496" s="13"/>
      <c r="E496" s="47"/>
      <c r="F496" s="47"/>
      <c r="G496" s="47"/>
      <c r="H496" s="47"/>
      <c r="I496" s="47"/>
      <c r="J496" s="47"/>
    </row>
    <row r="497" spans="1:10" ht="14">
      <c r="A497" s="13"/>
      <c r="B497" s="13"/>
      <c r="C497" s="13"/>
      <c r="D497" s="13"/>
      <c r="E497" s="47"/>
      <c r="F497" s="47"/>
      <c r="G497" s="47"/>
      <c r="H497" s="47"/>
      <c r="I497" s="47"/>
      <c r="J497" s="47"/>
    </row>
    <row r="498" spans="1:10" ht="14">
      <c r="A498" s="13"/>
      <c r="B498" s="13"/>
      <c r="C498" s="13"/>
      <c r="D498" s="13"/>
      <c r="E498" s="47"/>
      <c r="F498" s="47"/>
      <c r="G498" s="47"/>
      <c r="H498" s="47"/>
      <c r="I498" s="47"/>
      <c r="J498" s="47"/>
    </row>
    <row r="499" spans="1:10" ht="14">
      <c r="A499" s="13"/>
      <c r="B499" s="13"/>
      <c r="C499" s="13"/>
      <c r="D499" s="13"/>
      <c r="E499" s="47"/>
      <c r="F499" s="47"/>
      <c r="G499" s="47"/>
      <c r="H499" s="47"/>
      <c r="I499" s="47"/>
      <c r="J499" s="47"/>
    </row>
    <row r="500" spans="1:10" ht="14">
      <c r="A500" s="13"/>
      <c r="B500" s="13"/>
      <c r="C500" s="13"/>
      <c r="D500" s="13"/>
      <c r="E500" s="47"/>
      <c r="F500" s="47"/>
      <c r="G500" s="47"/>
      <c r="H500" s="47"/>
      <c r="I500" s="47"/>
      <c r="J500" s="47"/>
    </row>
    <row r="501" spans="1:10" ht="14">
      <c r="A501" s="13"/>
      <c r="B501" s="13"/>
      <c r="C501" s="13"/>
      <c r="D501" s="13"/>
      <c r="E501" s="47"/>
      <c r="F501" s="47"/>
      <c r="G501" s="47"/>
      <c r="H501" s="47"/>
      <c r="I501" s="47"/>
      <c r="J501" s="47"/>
    </row>
    <row r="502" spans="1:10" ht="14">
      <c r="A502" s="13"/>
      <c r="B502" s="13"/>
      <c r="C502" s="13"/>
      <c r="D502" s="13"/>
      <c r="E502" s="47"/>
      <c r="F502" s="47"/>
      <c r="G502" s="47"/>
      <c r="H502" s="47"/>
      <c r="I502" s="47"/>
      <c r="J502" s="47"/>
    </row>
    <row r="503" spans="1:10" ht="14">
      <c r="A503" s="13"/>
      <c r="B503" s="13"/>
      <c r="C503" s="13"/>
      <c r="D503" s="13"/>
      <c r="E503" s="47"/>
      <c r="F503" s="47"/>
      <c r="G503" s="47"/>
      <c r="H503" s="47"/>
      <c r="I503" s="47"/>
      <c r="J503" s="47"/>
    </row>
    <row r="504" spans="1:10" ht="14">
      <c r="A504" s="13"/>
      <c r="B504" s="13"/>
      <c r="C504" s="13"/>
      <c r="D504" s="13"/>
      <c r="E504" s="47"/>
      <c r="F504" s="47"/>
      <c r="G504" s="47"/>
      <c r="H504" s="47"/>
      <c r="I504" s="47"/>
      <c r="J504" s="47"/>
    </row>
    <row r="505" spans="1:10" ht="14">
      <c r="A505" s="13"/>
      <c r="B505" s="13"/>
      <c r="C505" s="13"/>
      <c r="D505" s="13"/>
      <c r="E505" s="47"/>
      <c r="F505" s="47"/>
      <c r="G505" s="47"/>
      <c r="H505" s="47"/>
      <c r="I505" s="47"/>
      <c r="J505" s="47"/>
    </row>
    <row r="506" spans="1:10" ht="14">
      <c r="A506" s="13"/>
      <c r="B506" s="13"/>
      <c r="C506" s="13"/>
      <c r="D506" s="13"/>
      <c r="E506" s="47"/>
      <c r="F506" s="47"/>
      <c r="G506" s="47"/>
      <c r="H506" s="47"/>
      <c r="I506" s="47"/>
      <c r="J506" s="47"/>
    </row>
    <row r="507" spans="1:10" ht="14">
      <c r="A507" s="13"/>
      <c r="B507" s="13"/>
      <c r="C507" s="13"/>
      <c r="D507" s="13"/>
      <c r="E507" s="47"/>
      <c r="F507" s="47"/>
      <c r="G507" s="47"/>
      <c r="H507" s="47"/>
      <c r="I507" s="47"/>
      <c r="J507" s="47"/>
    </row>
    <row r="508" spans="1:10" ht="14">
      <c r="A508" s="13"/>
      <c r="B508" s="13"/>
      <c r="C508" s="13"/>
      <c r="D508" s="13"/>
      <c r="E508" s="47"/>
      <c r="F508" s="47"/>
      <c r="G508" s="47"/>
      <c r="H508" s="47"/>
      <c r="I508" s="47"/>
      <c r="J508" s="47"/>
    </row>
    <row r="509" spans="1:10" ht="14">
      <c r="A509" s="13"/>
      <c r="B509" s="13"/>
      <c r="C509" s="13"/>
      <c r="D509" s="13"/>
      <c r="E509" s="47"/>
      <c r="F509" s="47"/>
      <c r="G509" s="47"/>
      <c r="H509" s="47"/>
      <c r="I509" s="47"/>
      <c r="J509" s="47"/>
    </row>
    <row r="510" spans="1:10" ht="14">
      <c r="A510" s="13"/>
      <c r="B510" s="13"/>
      <c r="C510" s="13"/>
      <c r="D510" s="13"/>
      <c r="E510" s="47"/>
      <c r="F510" s="47"/>
      <c r="G510" s="47"/>
      <c r="H510" s="47"/>
      <c r="I510" s="47"/>
      <c r="J510" s="47"/>
    </row>
    <row r="511" spans="1:10" ht="14">
      <c r="A511" s="13"/>
      <c r="B511" s="13"/>
      <c r="C511" s="13"/>
      <c r="D511" s="13"/>
      <c r="E511" s="47"/>
      <c r="F511" s="47"/>
      <c r="G511" s="47"/>
      <c r="H511" s="47"/>
      <c r="I511" s="47"/>
      <c r="J511" s="47"/>
    </row>
    <row r="512" spans="1:10" ht="14">
      <c r="A512" s="13"/>
      <c r="B512" s="13"/>
      <c r="C512" s="13"/>
      <c r="D512" s="13"/>
      <c r="E512" s="47"/>
      <c r="F512" s="47"/>
      <c r="G512" s="47"/>
      <c r="H512" s="47"/>
      <c r="I512" s="47"/>
      <c r="J512" s="47"/>
    </row>
    <row r="513" spans="1:10" ht="14">
      <c r="A513" s="13"/>
      <c r="B513" s="13"/>
      <c r="C513" s="13"/>
      <c r="D513" s="13"/>
      <c r="E513" s="47"/>
      <c r="F513" s="47"/>
      <c r="G513" s="47"/>
      <c r="H513" s="47"/>
      <c r="I513" s="47"/>
      <c r="J513" s="47"/>
    </row>
    <row r="514" spans="1:10" ht="14">
      <c r="A514" s="13"/>
      <c r="B514" s="13"/>
      <c r="C514" s="13"/>
      <c r="D514" s="13"/>
      <c r="E514" s="47"/>
      <c r="F514" s="47"/>
      <c r="G514" s="47"/>
      <c r="H514" s="47"/>
      <c r="I514" s="47"/>
      <c r="J514" s="47"/>
    </row>
    <row r="515" spans="1:10" ht="14">
      <c r="A515" s="13"/>
      <c r="B515" s="13"/>
      <c r="C515" s="13"/>
      <c r="D515" s="13"/>
      <c r="E515" s="47"/>
      <c r="F515" s="47"/>
      <c r="G515" s="47"/>
      <c r="H515" s="47"/>
      <c r="I515" s="47"/>
      <c r="J515" s="47"/>
    </row>
    <row r="516" spans="1:10" ht="14">
      <c r="A516" s="13"/>
      <c r="B516" s="13"/>
      <c r="C516" s="13"/>
      <c r="D516" s="13"/>
      <c r="E516" s="47"/>
      <c r="F516" s="47"/>
      <c r="G516" s="47"/>
      <c r="H516" s="47"/>
      <c r="I516" s="47"/>
      <c r="J516" s="47"/>
    </row>
    <row r="517" spans="1:10" ht="14">
      <c r="A517" s="13"/>
      <c r="B517" s="13"/>
      <c r="C517" s="13"/>
      <c r="D517" s="13"/>
      <c r="E517" s="47"/>
      <c r="F517" s="47"/>
      <c r="G517" s="47"/>
      <c r="H517" s="47"/>
      <c r="I517" s="47"/>
      <c r="J517" s="47"/>
    </row>
    <row r="518" spans="1:10" ht="14">
      <c r="A518" s="13"/>
      <c r="B518" s="13"/>
      <c r="C518" s="13"/>
      <c r="D518" s="13"/>
      <c r="E518" s="47"/>
      <c r="F518" s="47"/>
      <c r="G518" s="47"/>
      <c r="H518" s="47"/>
      <c r="I518" s="47"/>
      <c r="J518" s="47"/>
    </row>
    <row r="519" spans="1:10" ht="14">
      <c r="A519" s="13"/>
      <c r="B519" s="13"/>
      <c r="C519" s="13"/>
      <c r="D519" s="13"/>
      <c r="E519" s="47"/>
      <c r="F519" s="47"/>
      <c r="G519" s="47"/>
      <c r="H519" s="47"/>
      <c r="I519" s="47"/>
      <c r="J519" s="47"/>
    </row>
    <row r="520" spans="1:10" ht="14">
      <c r="A520" s="13"/>
      <c r="B520" s="13"/>
      <c r="C520" s="13"/>
      <c r="D520" s="13"/>
      <c r="E520" s="47"/>
      <c r="F520" s="47"/>
      <c r="G520" s="47"/>
      <c r="H520" s="47"/>
      <c r="I520" s="47"/>
      <c r="J520" s="47"/>
    </row>
    <row r="521" spans="1:10" ht="14">
      <c r="A521" s="13"/>
      <c r="B521" s="13"/>
      <c r="C521" s="13"/>
      <c r="D521" s="13"/>
      <c r="E521" s="47"/>
      <c r="F521" s="47"/>
      <c r="G521" s="47"/>
      <c r="H521" s="47"/>
      <c r="I521" s="47"/>
      <c r="J521" s="47"/>
    </row>
    <row r="522" spans="1:10" ht="14">
      <c r="A522" s="13"/>
      <c r="B522" s="13"/>
      <c r="C522" s="13"/>
      <c r="D522" s="13"/>
      <c r="E522" s="47"/>
      <c r="F522" s="47"/>
      <c r="G522" s="47"/>
      <c r="H522" s="47"/>
      <c r="I522" s="47"/>
      <c r="J522" s="47"/>
    </row>
    <row r="523" spans="1:10" ht="14">
      <c r="A523" s="13"/>
      <c r="B523" s="13"/>
      <c r="C523" s="13"/>
      <c r="D523" s="13"/>
      <c r="E523" s="47"/>
      <c r="F523" s="47"/>
      <c r="G523" s="47"/>
      <c r="H523" s="47"/>
      <c r="I523" s="47"/>
      <c r="J523" s="47"/>
    </row>
    <row r="524" spans="1:10" ht="14">
      <c r="A524" s="13"/>
      <c r="B524" s="13"/>
      <c r="C524" s="13"/>
      <c r="D524" s="13"/>
      <c r="E524" s="47"/>
      <c r="F524" s="47"/>
      <c r="G524" s="47"/>
      <c r="H524" s="47"/>
      <c r="I524" s="47"/>
      <c r="J524" s="47"/>
    </row>
    <row r="525" spans="1:10" ht="14">
      <c r="A525" s="13"/>
      <c r="B525" s="13"/>
      <c r="C525" s="13"/>
      <c r="D525" s="13"/>
      <c r="E525" s="47"/>
      <c r="F525" s="47"/>
      <c r="G525" s="47"/>
      <c r="H525" s="47"/>
      <c r="I525" s="47"/>
      <c r="J525" s="47"/>
    </row>
    <row r="526" spans="1:10" ht="14">
      <c r="A526" s="13"/>
      <c r="B526" s="13"/>
      <c r="C526" s="13"/>
      <c r="D526" s="13"/>
      <c r="E526" s="47"/>
      <c r="F526" s="47"/>
      <c r="G526" s="47"/>
      <c r="H526" s="47"/>
      <c r="I526" s="47"/>
      <c r="J526" s="47"/>
    </row>
    <row r="527" spans="1:10" ht="14">
      <c r="A527" s="13"/>
      <c r="B527" s="13"/>
      <c r="C527" s="13"/>
      <c r="D527" s="13"/>
      <c r="E527" s="47"/>
      <c r="F527" s="47"/>
      <c r="G527" s="47"/>
      <c r="H527" s="47"/>
      <c r="I527" s="47"/>
      <c r="J527" s="47"/>
    </row>
    <row r="528" spans="1:10" ht="14">
      <c r="A528" s="13"/>
      <c r="B528" s="13"/>
      <c r="C528" s="13"/>
      <c r="D528" s="13"/>
      <c r="E528" s="47"/>
      <c r="F528" s="47"/>
      <c r="G528" s="47"/>
      <c r="H528" s="47"/>
      <c r="I528" s="47"/>
      <c r="J528" s="47"/>
    </row>
    <row r="529" spans="1:10" ht="14">
      <c r="A529" s="13"/>
      <c r="B529" s="13"/>
      <c r="C529" s="13"/>
      <c r="D529" s="13"/>
      <c r="E529" s="47"/>
      <c r="F529" s="47"/>
      <c r="G529" s="47"/>
      <c r="H529" s="47"/>
      <c r="I529" s="47"/>
      <c r="J529" s="47"/>
    </row>
    <row r="530" spans="1:10" ht="14">
      <c r="A530" s="13"/>
      <c r="B530" s="13"/>
      <c r="C530" s="13"/>
      <c r="D530" s="13"/>
      <c r="E530" s="47"/>
      <c r="F530" s="47"/>
      <c r="G530" s="47"/>
      <c r="H530" s="47"/>
      <c r="I530" s="47"/>
      <c r="J530" s="47"/>
    </row>
    <row r="531" spans="1:10" ht="14">
      <c r="A531" s="13"/>
      <c r="B531" s="13"/>
      <c r="C531" s="13"/>
      <c r="D531" s="13"/>
      <c r="E531" s="47"/>
      <c r="F531" s="47"/>
      <c r="G531" s="47"/>
      <c r="H531" s="47"/>
      <c r="I531" s="47"/>
      <c r="J531" s="47"/>
    </row>
    <row r="532" spans="1:10" ht="14">
      <c r="A532" s="13"/>
      <c r="B532" s="13"/>
      <c r="C532" s="13"/>
      <c r="D532" s="13"/>
      <c r="E532" s="47"/>
      <c r="F532" s="47"/>
      <c r="G532" s="47"/>
      <c r="H532" s="47"/>
      <c r="I532" s="47"/>
      <c r="J532" s="47"/>
    </row>
    <row r="533" spans="1:10" ht="14">
      <c r="A533" s="13"/>
      <c r="B533" s="13"/>
      <c r="C533" s="13"/>
      <c r="D533" s="13"/>
      <c r="E533" s="47"/>
      <c r="F533" s="47"/>
      <c r="G533" s="47"/>
      <c r="H533" s="47"/>
      <c r="I533" s="47"/>
      <c r="J533" s="47"/>
    </row>
    <row r="534" spans="1:10" ht="14">
      <c r="A534" s="13"/>
      <c r="B534" s="13"/>
      <c r="C534" s="13"/>
      <c r="D534" s="13"/>
      <c r="E534" s="47"/>
      <c r="F534" s="47"/>
      <c r="G534" s="47"/>
      <c r="H534" s="47"/>
      <c r="I534" s="47"/>
      <c r="J534" s="47"/>
    </row>
    <row r="535" spans="1:10" ht="14">
      <c r="A535" s="13"/>
      <c r="B535" s="13"/>
      <c r="C535" s="13"/>
      <c r="D535" s="13"/>
      <c r="E535" s="47"/>
      <c r="F535" s="47"/>
      <c r="G535" s="47"/>
      <c r="H535" s="47"/>
      <c r="I535" s="47"/>
      <c r="J535" s="47"/>
    </row>
    <row r="536" spans="1:10" ht="14">
      <c r="A536" s="13"/>
      <c r="B536" s="13"/>
      <c r="C536" s="13"/>
      <c r="D536" s="13"/>
      <c r="E536" s="47"/>
      <c r="F536" s="47"/>
      <c r="G536" s="47"/>
      <c r="H536" s="47"/>
      <c r="I536" s="47"/>
      <c r="J536" s="47"/>
    </row>
    <row r="537" spans="1:10" ht="14">
      <c r="A537" s="13"/>
      <c r="B537" s="13"/>
      <c r="C537" s="13"/>
      <c r="D537" s="13"/>
      <c r="E537" s="47"/>
      <c r="F537" s="47"/>
      <c r="G537" s="47"/>
      <c r="H537" s="47"/>
      <c r="I537" s="47"/>
      <c r="J537" s="47"/>
    </row>
    <row r="538" spans="1:10" ht="14">
      <c r="A538" s="13"/>
      <c r="B538" s="13"/>
      <c r="C538" s="13"/>
      <c r="D538" s="13"/>
      <c r="E538" s="47"/>
      <c r="F538" s="47"/>
      <c r="G538" s="47"/>
      <c r="H538" s="47"/>
      <c r="I538" s="47"/>
      <c r="J538" s="47"/>
    </row>
    <row r="539" spans="1:10" ht="14">
      <c r="A539" s="13"/>
      <c r="B539" s="13"/>
      <c r="C539" s="13"/>
      <c r="D539" s="13"/>
      <c r="E539" s="47"/>
      <c r="F539" s="47"/>
      <c r="G539" s="47"/>
      <c r="H539" s="47"/>
      <c r="I539" s="47"/>
      <c r="J539" s="47"/>
    </row>
    <row r="540" spans="1:10" ht="14">
      <c r="A540" s="13"/>
      <c r="B540" s="13"/>
      <c r="C540" s="13"/>
      <c r="D540" s="13"/>
      <c r="E540" s="47"/>
      <c r="F540" s="47"/>
      <c r="G540" s="47"/>
      <c r="H540" s="47"/>
      <c r="I540" s="47"/>
      <c r="J540" s="47"/>
    </row>
    <row r="541" spans="1:10" ht="14">
      <c r="A541" s="13"/>
      <c r="B541" s="13"/>
      <c r="C541" s="13"/>
      <c r="D541" s="13"/>
      <c r="E541" s="47"/>
      <c r="F541" s="47"/>
      <c r="G541" s="47"/>
      <c r="H541" s="47"/>
      <c r="I541" s="47"/>
      <c r="J541" s="47"/>
    </row>
    <row r="542" spans="1:10" ht="14">
      <c r="A542" s="13"/>
      <c r="B542" s="13"/>
      <c r="C542" s="13"/>
      <c r="D542" s="13"/>
      <c r="E542" s="47"/>
      <c r="F542" s="47"/>
      <c r="G542" s="47"/>
      <c r="H542" s="47"/>
      <c r="I542" s="47"/>
      <c r="J542" s="47"/>
    </row>
    <row r="543" spans="1:10" ht="14">
      <c r="A543" s="13"/>
      <c r="B543" s="13"/>
      <c r="C543" s="13"/>
      <c r="D543" s="13"/>
      <c r="E543" s="47"/>
      <c r="F543" s="47"/>
      <c r="G543" s="47"/>
      <c r="H543" s="47"/>
      <c r="I543" s="47"/>
      <c r="J543" s="47"/>
    </row>
    <row r="544" spans="1:10" ht="14">
      <c r="A544" s="13"/>
      <c r="B544" s="13"/>
      <c r="C544" s="13"/>
      <c r="D544" s="13"/>
      <c r="E544" s="47"/>
      <c r="F544" s="47"/>
      <c r="G544" s="47"/>
      <c r="H544" s="47"/>
      <c r="I544" s="47"/>
      <c r="J544" s="47"/>
    </row>
    <row r="545" spans="1:10" ht="14">
      <c r="A545" s="13"/>
      <c r="B545" s="13"/>
      <c r="C545" s="13"/>
      <c r="D545" s="13"/>
      <c r="E545" s="47"/>
      <c r="F545" s="47"/>
      <c r="G545" s="47"/>
      <c r="H545" s="47"/>
      <c r="I545" s="47"/>
      <c r="J545" s="47"/>
    </row>
    <row r="546" spans="1:10" ht="14">
      <c r="A546" s="13"/>
      <c r="B546" s="13"/>
      <c r="C546" s="13"/>
      <c r="D546" s="13"/>
      <c r="E546" s="47"/>
      <c r="F546" s="47"/>
      <c r="G546" s="47"/>
      <c r="H546" s="47"/>
      <c r="I546" s="47"/>
      <c r="J546" s="47"/>
    </row>
    <row r="547" spans="1:10" ht="14">
      <c r="A547" s="13"/>
      <c r="B547" s="13"/>
      <c r="C547" s="13"/>
      <c r="D547" s="13"/>
      <c r="E547" s="47"/>
      <c r="F547" s="47"/>
      <c r="G547" s="47"/>
      <c r="H547" s="47"/>
      <c r="I547" s="47"/>
      <c r="J547" s="47"/>
    </row>
    <row r="548" spans="1:10" ht="14">
      <c r="A548" s="13"/>
      <c r="B548" s="13"/>
      <c r="C548" s="13"/>
      <c r="D548" s="13"/>
      <c r="E548" s="47"/>
      <c r="F548" s="47"/>
      <c r="G548" s="47"/>
      <c r="H548" s="47"/>
      <c r="I548" s="47"/>
      <c r="J548" s="47"/>
    </row>
    <row r="549" spans="1:10" ht="14">
      <c r="A549" s="13"/>
      <c r="B549" s="13"/>
      <c r="C549" s="13"/>
      <c r="D549" s="13"/>
      <c r="E549" s="47"/>
      <c r="F549" s="47"/>
      <c r="G549" s="47"/>
      <c r="H549" s="47"/>
      <c r="I549" s="47"/>
      <c r="J549" s="47"/>
    </row>
    <row r="550" spans="1:10" ht="14">
      <c r="A550" s="13"/>
      <c r="B550" s="13"/>
      <c r="C550" s="13"/>
      <c r="D550" s="13"/>
      <c r="E550" s="47"/>
      <c r="F550" s="47"/>
      <c r="G550" s="47"/>
      <c r="H550" s="47"/>
      <c r="I550" s="47"/>
      <c r="J550" s="47"/>
    </row>
    <row r="551" spans="1:10" ht="14">
      <c r="A551" s="13"/>
      <c r="B551" s="13"/>
      <c r="C551" s="13"/>
      <c r="D551" s="13"/>
      <c r="E551" s="47"/>
      <c r="F551" s="47"/>
      <c r="G551" s="47"/>
      <c r="H551" s="47"/>
      <c r="I551" s="47"/>
      <c r="J551" s="47"/>
    </row>
    <row r="552" spans="1:10" ht="14">
      <c r="A552" s="13"/>
      <c r="B552" s="13"/>
      <c r="C552" s="13"/>
      <c r="D552" s="13"/>
      <c r="E552" s="47"/>
      <c r="F552" s="47"/>
      <c r="G552" s="47"/>
      <c r="H552" s="47"/>
      <c r="I552" s="47"/>
      <c r="J552" s="47"/>
    </row>
    <row r="553" spans="1:10" ht="14">
      <c r="A553" s="13"/>
      <c r="B553" s="13"/>
      <c r="C553" s="13"/>
      <c r="D553" s="13"/>
      <c r="E553" s="47"/>
      <c r="F553" s="47"/>
      <c r="G553" s="47"/>
      <c r="H553" s="47"/>
      <c r="I553" s="47"/>
      <c r="J553" s="47"/>
    </row>
    <row r="554" spans="1:10" ht="14">
      <c r="A554" s="13"/>
      <c r="B554" s="13"/>
      <c r="C554" s="13"/>
      <c r="D554" s="13"/>
      <c r="E554" s="47"/>
      <c r="F554" s="47"/>
      <c r="G554" s="47"/>
      <c r="H554" s="47"/>
      <c r="I554" s="47"/>
      <c r="J554" s="47"/>
    </row>
    <row r="555" spans="1:10" ht="14">
      <c r="A555" s="13"/>
      <c r="B555" s="13"/>
      <c r="C555" s="13"/>
      <c r="D555" s="13"/>
      <c r="E555" s="47"/>
      <c r="F555" s="47"/>
      <c r="G555" s="47"/>
      <c r="H555" s="47"/>
      <c r="I555" s="47"/>
      <c r="J555" s="47"/>
    </row>
    <row r="556" spans="1:10" ht="14">
      <c r="A556" s="13"/>
      <c r="B556" s="13"/>
      <c r="C556" s="13"/>
      <c r="D556" s="13"/>
      <c r="E556" s="47"/>
      <c r="F556" s="47"/>
      <c r="G556" s="47"/>
      <c r="H556" s="47"/>
      <c r="I556" s="47"/>
      <c r="J556" s="47"/>
    </row>
    <row r="557" spans="1:10" ht="14">
      <c r="A557" s="13"/>
      <c r="B557" s="13"/>
      <c r="C557" s="13"/>
      <c r="D557" s="13"/>
      <c r="E557" s="47"/>
      <c r="F557" s="47"/>
      <c r="G557" s="47"/>
      <c r="H557" s="47"/>
      <c r="I557" s="47"/>
      <c r="J557" s="47"/>
    </row>
    <row r="558" spans="1:10" ht="14">
      <c r="A558" s="13"/>
      <c r="B558" s="13"/>
      <c r="C558" s="13"/>
      <c r="D558" s="13"/>
      <c r="E558" s="47"/>
      <c r="F558" s="47"/>
      <c r="G558" s="47"/>
      <c r="H558" s="47"/>
      <c r="I558" s="47"/>
      <c r="J558" s="47"/>
    </row>
    <row r="559" spans="1:10" ht="14">
      <c r="A559" s="13"/>
      <c r="B559" s="13"/>
      <c r="C559" s="13"/>
      <c r="D559" s="13"/>
      <c r="E559" s="47"/>
      <c r="F559" s="47"/>
      <c r="G559" s="47"/>
      <c r="H559" s="47"/>
      <c r="I559" s="47"/>
      <c r="J559" s="47"/>
    </row>
    <row r="560" spans="1:10" ht="14">
      <c r="A560" s="13"/>
      <c r="B560" s="13"/>
      <c r="C560" s="13"/>
      <c r="D560" s="13"/>
      <c r="E560" s="47"/>
      <c r="F560" s="47"/>
      <c r="G560" s="47"/>
      <c r="H560" s="47"/>
      <c r="I560" s="47"/>
      <c r="J560" s="47"/>
    </row>
    <row r="561" spans="1:10" ht="14">
      <c r="A561" s="13"/>
      <c r="B561" s="13"/>
      <c r="C561" s="13"/>
      <c r="D561" s="13"/>
      <c r="E561" s="47"/>
      <c r="F561" s="47"/>
      <c r="G561" s="47"/>
      <c r="H561" s="47"/>
      <c r="I561" s="47"/>
      <c r="J561" s="47"/>
    </row>
    <row r="562" spans="1:10" ht="14">
      <c r="A562" s="13"/>
      <c r="B562" s="13"/>
      <c r="C562" s="13"/>
      <c r="D562" s="13"/>
      <c r="E562" s="47"/>
      <c r="F562" s="47"/>
      <c r="G562" s="47"/>
      <c r="H562" s="47"/>
      <c r="I562" s="47"/>
      <c r="J562" s="47"/>
    </row>
    <row r="563" spans="1:10" ht="14">
      <c r="A563" s="13"/>
      <c r="B563" s="13"/>
      <c r="C563" s="13"/>
      <c r="D563" s="13"/>
      <c r="E563" s="47"/>
      <c r="F563" s="47"/>
      <c r="G563" s="47"/>
      <c r="H563" s="47"/>
      <c r="I563" s="47"/>
      <c r="J563" s="47"/>
    </row>
    <row r="564" spans="1:10" ht="14">
      <c r="A564" s="13"/>
      <c r="B564" s="13"/>
      <c r="C564" s="13"/>
      <c r="D564" s="13"/>
      <c r="E564" s="47"/>
      <c r="F564" s="47"/>
      <c r="G564" s="47"/>
      <c r="H564" s="47"/>
      <c r="I564" s="47"/>
      <c r="J564" s="47"/>
    </row>
    <row r="565" spans="1:10" ht="14">
      <c r="A565" s="13"/>
      <c r="B565" s="13"/>
      <c r="C565" s="13"/>
      <c r="D565" s="13"/>
      <c r="E565" s="47"/>
      <c r="F565" s="47"/>
      <c r="G565" s="47"/>
      <c r="H565" s="47"/>
      <c r="I565" s="47"/>
      <c r="J565" s="47"/>
    </row>
    <row r="566" spans="1:10" ht="14">
      <c r="A566" s="13"/>
      <c r="B566" s="13"/>
      <c r="C566" s="13"/>
      <c r="D566" s="13"/>
      <c r="E566" s="47"/>
      <c r="F566" s="47"/>
      <c r="G566" s="47"/>
      <c r="H566" s="47"/>
      <c r="I566" s="47"/>
      <c r="J566" s="47"/>
    </row>
    <row r="567" spans="1:10" ht="14">
      <c r="A567" s="13"/>
      <c r="B567" s="13"/>
      <c r="C567" s="13"/>
      <c r="D567" s="13"/>
      <c r="E567" s="47"/>
      <c r="F567" s="47"/>
      <c r="G567" s="47"/>
      <c r="H567" s="47"/>
      <c r="I567" s="47"/>
      <c r="J567" s="47"/>
    </row>
    <row r="568" spans="1:10" ht="14">
      <c r="A568" s="13"/>
      <c r="B568" s="13"/>
      <c r="C568" s="13"/>
      <c r="D568" s="13"/>
      <c r="E568" s="47"/>
      <c r="F568" s="47"/>
      <c r="G568" s="47"/>
      <c r="H568" s="47"/>
      <c r="I568" s="47"/>
      <c r="J568" s="47"/>
    </row>
    <row r="569" spans="1:10" ht="14">
      <c r="A569" s="13"/>
      <c r="B569" s="13"/>
      <c r="C569" s="13"/>
      <c r="D569" s="13"/>
      <c r="E569" s="47"/>
      <c r="F569" s="47"/>
      <c r="G569" s="47"/>
      <c r="H569" s="47"/>
      <c r="I569" s="47"/>
      <c r="J569" s="47"/>
    </row>
    <row r="570" spans="1:10" ht="14">
      <c r="A570" s="13"/>
      <c r="B570" s="13"/>
      <c r="C570" s="13"/>
      <c r="D570" s="13"/>
      <c r="E570" s="47"/>
      <c r="F570" s="47"/>
      <c r="G570" s="47"/>
      <c r="H570" s="47"/>
      <c r="I570" s="47"/>
      <c r="J570" s="47"/>
    </row>
    <row r="571" spans="1:10" ht="14">
      <c r="A571" s="13"/>
      <c r="B571" s="13"/>
      <c r="C571" s="13"/>
      <c r="D571" s="13"/>
      <c r="E571" s="47"/>
      <c r="F571" s="47"/>
      <c r="G571" s="47"/>
      <c r="H571" s="47"/>
      <c r="I571" s="47"/>
      <c r="J571" s="47"/>
    </row>
    <row r="572" spans="1:10" ht="14">
      <c r="A572" s="13"/>
      <c r="B572" s="13"/>
      <c r="C572" s="13"/>
      <c r="D572" s="13"/>
      <c r="E572" s="47"/>
      <c r="F572" s="47"/>
      <c r="G572" s="47"/>
      <c r="H572" s="47"/>
      <c r="I572" s="47"/>
      <c r="J572" s="47"/>
    </row>
    <row r="573" spans="1:10" ht="14">
      <c r="A573" s="13"/>
      <c r="B573" s="13"/>
      <c r="C573" s="13"/>
      <c r="D573" s="13"/>
      <c r="E573" s="47"/>
      <c r="F573" s="47"/>
      <c r="G573" s="47"/>
      <c r="H573" s="47"/>
      <c r="I573" s="47"/>
      <c r="J573" s="47"/>
    </row>
    <row r="574" spans="1:10" ht="14">
      <c r="A574" s="13"/>
      <c r="B574" s="13"/>
      <c r="C574" s="13"/>
      <c r="D574" s="13"/>
      <c r="E574" s="47"/>
      <c r="F574" s="47"/>
      <c r="G574" s="47"/>
      <c r="H574" s="47"/>
      <c r="I574" s="47"/>
      <c r="J574" s="47"/>
    </row>
    <row r="575" spans="1:10" ht="14">
      <c r="A575" s="13"/>
      <c r="B575" s="13"/>
      <c r="C575" s="13"/>
      <c r="D575" s="13"/>
      <c r="E575" s="47"/>
      <c r="F575" s="47"/>
      <c r="G575" s="47"/>
      <c r="H575" s="47"/>
      <c r="I575" s="47"/>
      <c r="J575" s="47"/>
    </row>
    <row r="576" spans="1:10" ht="14">
      <c r="A576" s="13"/>
      <c r="B576" s="13"/>
      <c r="C576" s="13"/>
      <c r="D576" s="13"/>
      <c r="E576" s="47"/>
      <c r="F576" s="47"/>
      <c r="G576" s="47"/>
      <c r="H576" s="47"/>
      <c r="I576" s="47"/>
      <c r="J576" s="47"/>
    </row>
    <row r="577" spans="1:10" ht="14">
      <c r="A577" s="13"/>
      <c r="B577" s="13"/>
      <c r="C577" s="13"/>
      <c r="D577" s="13"/>
      <c r="E577" s="47"/>
      <c r="F577" s="47"/>
      <c r="G577" s="47"/>
      <c r="H577" s="47"/>
      <c r="I577" s="47"/>
      <c r="J577" s="47"/>
    </row>
    <row r="578" spans="1:10" ht="14">
      <c r="A578" s="13"/>
      <c r="B578" s="13"/>
      <c r="C578" s="13"/>
      <c r="D578" s="13"/>
      <c r="E578" s="47"/>
      <c r="F578" s="47"/>
      <c r="G578" s="47"/>
      <c r="H578" s="47"/>
      <c r="I578" s="47"/>
      <c r="J578" s="47"/>
    </row>
    <row r="579" spans="1:10" ht="14">
      <c r="A579" s="13"/>
      <c r="B579" s="13"/>
      <c r="C579" s="13"/>
      <c r="D579" s="13"/>
      <c r="E579" s="47"/>
      <c r="F579" s="47"/>
      <c r="G579" s="47"/>
      <c r="H579" s="47"/>
      <c r="I579" s="47"/>
      <c r="J579" s="47"/>
    </row>
    <row r="580" spans="1:10" ht="14">
      <c r="A580" s="13"/>
      <c r="B580" s="13"/>
      <c r="C580" s="13"/>
      <c r="D580" s="13"/>
      <c r="E580" s="47"/>
      <c r="F580" s="47"/>
      <c r="G580" s="47"/>
      <c r="H580" s="47"/>
      <c r="I580" s="47"/>
      <c r="J580" s="47"/>
    </row>
    <row r="581" spans="1:10" ht="14">
      <c r="A581" s="13"/>
      <c r="B581" s="13"/>
      <c r="C581" s="13"/>
      <c r="D581" s="13"/>
      <c r="E581" s="47"/>
      <c r="F581" s="47"/>
      <c r="G581" s="47"/>
      <c r="H581" s="47"/>
      <c r="I581" s="47"/>
      <c r="J581" s="47"/>
    </row>
    <row r="582" spans="1:10" ht="14">
      <c r="A582" s="13"/>
      <c r="B582" s="13"/>
      <c r="C582" s="13"/>
      <c r="D582" s="13"/>
      <c r="E582" s="47"/>
      <c r="F582" s="47"/>
      <c r="G582" s="47"/>
      <c r="H582" s="47"/>
      <c r="I582" s="47"/>
      <c r="J582" s="47"/>
    </row>
    <row r="583" spans="1:10" ht="14">
      <c r="A583" s="13"/>
      <c r="B583" s="13"/>
      <c r="C583" s="13"/>
      <c r="D583" s="13"/>
      <c r="E583" s="47"/>
      <c r="F583" s="47"/>
      <c r="G583" s="47"/>
      <c r="H583" s="47"/>
      <c r="I583" s="47"/>
      <c r="J583" s="47"/>
    </row>
    <row r="584" spans="1:10" ht="14">
      <c r="A584" s="13"/>
      <c r="B584" s="13"/>
      <c r="C584" s="13"/>
      <c r="D584" s="13"/>
      <c r="E584" s="47"/>
      <c r="F584" s="47"/>
      <c r="G584" s="47"/>
      <c r="H584" s="47"/>
      <c r="I584" s="47"/>
      <c r="J584" s="47"/>
    </row>
    <row r="585" spans="1:10" ht="14">
      <c r="A585" s="13"/>
      <c r="B585" s="13"/>
      <c r="C585" s="13"/>
      <c r="D585" s="13"/>
      <c r="E585" s="47"/>
      <c r="F585" s="47"/>
      <c r="G585" s="47"/>
      <c r="H585" s="47"/>
      <c r="I585" s="47"/>
      <c r="J585" s="47"/>
    </row>
    <row r="586" spans="1:10" ht="14">
      <c r="A586" s="13"/>
      <c r="B586" s="13"/>
      <c r="C586" s="13"/>
      <c r="D586" s="13"/>
      <c r="E586" s="47"/>
      <c r="F586" s="47"/>
      <c r="G586" s="47"/>
      <c r="H586" s="47"/>
      <c r="I586" s="47"/>
      <c r="J586" s="47"/>
    </row>
    <row r="587" spans="1:10" ht="14">
      <c r="A587" s="13"/>
      <c r="B587" s="13"/>
      <c r="C587" s="13"/>
      <c r="D587" s="13"/>
      <c r="E587" s="47"/>
      <c r="F587" s="47"/>
      <c r="G587" s="47"/>
      <c r="H587" s="47"/>
      <c r="I587" s="47"/>
      <c r="J587" s="47"/>
    </row>
    <row r="588" spans="1:10" ht="14">
      <c r="A588" s="13"/>
      <c r="B588" s="13"/>
      <c r="C588" s="13"/>
      <c r="D588" s="13"/>
      <c r="E588" s="47"/>
      <c r="F588" s="47"/>
      <c r="G588" s="47"/>
      <c r="H588" s="47"/>
      <c r="I588" s="47"/>
      <c r="J588" s="47"/>
    </row>
    <row r="589" spans="1:10" ht="14">
      <c r="A589" s="13"/>
      <c r="B589" s="13"/>
      <c r="C589" s="13"/>
      <c r="D589" s="13"/>
      <c r="E589" s="47"/>
      <c r="F589" s="47"/>
      <c r="G589" s="47"/>
      <c r="H589" s="47"/>
      <c r="I589" s="47"/>
      <c r="J589" s="47"/>
    </row>
    <row r="590" spans="1:10" ht="14">
      <c r="A590" s="13"/>
      <c r="B590" s="13"/>
      <c r="C590" s="13"/>
      <c r="D590" s="13"/>
      <c r="E590" s="47"/>
      <c r="F590" s="47"/>
      <c r="G590" s="47"/>
      <c r="H590" s="47"/>
      <c r="I590" s="47"/>
      <c r="J590" s="47"/>
    </row>
    <row r="591" spans="1:10" ht="14">
      <c r="A591" s="13"/>
      <c r="B591" s="13"/>
      <c r="C591" s="13"/>
      <c r="D591" s="13"/>
      <c r="E591" s="47"/>
      <c r="F591" s="47"/>
      <c r="G591" s="47"/>
      <c r="H591" s="47"/>
      <c r="I591" s="47"/>
      <c r="J591" s="47"/>
    </row>
    <row r="592" spans="1:10" ht="14">
      <c r="A592" s="13"/>
      <c r="B592" s="13"/>
      <c r="C592" s="13"/>
      <c r="D592" s="13"/>
      <c r="E592" s="47"/>
      <c r="F592" s="47"/>
      <c r="G592" s="47"/>
      <c r="H592" s="47"/>
      <c r="I592" s="47"/>
      <c r="J592" s="47"/>
    </row>
    <row r="593" spans="1:10" ht="14">
      <c r="A593" s="13"/>
      <c r="B593" s="13"/>
      <c r="C593" s="13"/>
      <c r="D593" s="13"/>
      <c r="E593" s="47"/>
      <c r="F593" s="47"/>
      <c r="G593" s="47"/>
      <c r="H593" s="47"/>
      <c r="I593" s="47"/>
      <c r="J593" s="47"/>
    </row>
    <row r="594" spans="1:10" ht="14">
      <c r="A594" s="13"/>
      <c r="B594" s="13"/>
      <c r="C594" s="13"/>
      <c r="D594" s="13"/>
      <c r="E594" s="47"/>
      <c r="F594" s="47"/>
      <c r="G594" s="47"/>
      <c r="H594" s="47"/>
      <c r="I594" s="47"/>
      <c r="J594" s="47"/>
    </row>
    <row r="595" spans="1:10" ht="14">
      <c r="A595" s="13"/>
      <c r="B595" s="13"/>
      <c r="C595" s="13"/>
      <c r="D595" s="13"/>
      <c r="E595" s="47"/>
      <c r="F595" s="47"/>
      <c r="G595" s="47"/>
      <c r="H595" s="47"/>
      <c r="I595" s="47"/>
      <c r="J595" s="47"/>
    </row>
    <row r="596" spans="1:10" ht="14">
      <c r="A596" s="13"/>
      <c r="B596" s="13"/>
      <c r="C596" s="13"/>
      <c r="D596" s="13"/>
      <c r="E596" s="47"/>
      <c r="F596" s="47"/>
      <c r="G596" s="47"/>
      <c r="H596" s="47"/>
      <c r="I596" s="47"/>
      <c r="J596" s="47"/>
    </row>
    <row r="597" spans="1:10" ht="14">
      <c r="A597" s="13"/>
      <c r="B597" s="13"/>
      <c r="C597" s="13"/>
      <c r="D597" s="13"/>
      <c r="E597" s="47"/>
      <c r="F597" s="47"/>
      <c r="G597" s="47"/>
      <c r="H597" s="47"/>
      <c r="I597" s="47"/>
      <c r="J597" s="47"/>
    </row>
    <row r="598" spans="1:10" ht="14">
      <c r="A598" s="13"/>
      <c r="B598" s="13"/>
      <c r="C598" s="13"/>
      <c r="D598" s="13"/>
      <c r="E598" s="47"/>
      <c r="F598" s="47"/>
      <c r="G598" s="47"/>
      <c r="H598" s="47"/>
      <c r="I598" s="47"/>
      <c r="J598" s="47"/>
    </row>
    <row r="599" spans="1:10" ht="14">
      <c r="A599" s="13"/>
      <c r="B599" s="13"/>
      <c r="C599" s="13"/>
      <c r="D599" s="13"/>
      <c r="E599" s="47"/>
      <c r="F599" s="47"/>
      <c r="G599" s="47"/>
      <c r="H599" s="47"/>
      <c r="I599" s="47"/>
      <c r="J599" s="47"/>
    </row>
    <row r="600" spans="1:10" ht="14">
      <c r="A600" s="13"/>
      <c r="B600" s="13"/>
      <c r="C600" s="13"/>
      <c r="D600" s="13"/>
      <c r="E600" s="47"/>
      <c r="F600" s="47"/>
      <c r="G600" s="47"/>
      <c r="H600" s="47"/>
      <c r="I600" s="47"/>
      <c r="J600" s="47"/>
    </row>
    <row r="601" spans="1:10" ht="14">
      <c r="A601" s="13"/>
      <c r="B601" s="13"/>
      <c r="C601" s="13"/>
      <c r="D601" s="13"/>
      <c r="E601" s="47"/>
      <c r="F601" s="47"/>
      <c r="G601" s="47"/>
      <c r="H601" s="47"/>
      <c r="I601" s="47"/>
      <c r="J601" s="47"/>
    </row>
    <row r="602" spans="1:10" ht="14">
      <c r="A602" s="13"/>
      <c r="B602" s="13"/>
      <c r="C602" s="13"/>
      <c r="D602" s="13"/>
      <c r="E602" s="47"/>
      <c r="F602" s="47"/>
      <c r="G602" s="47"/>
      <c r="H602" s="47"/>
      <c r="I602" s="47"/>
      <c r="J602" s="47"/>
    </row>
    <row r="603" spans="1:10" ht="14">
      <c r="A603" s="13"/>
      <c r="B603" s="13"/>
      <c r="C603" s="13"/>
      <c r="D603" s="13"/>
      <c r="E603" s="47"/>
      <c r="F603" s="47"/>
      <c r="G603" s="47"/>
      <c r="H603" s="47"/>
      <c r="I603" s="47"/>
      <c r="J603" s="47"/>
    </row>
    <row r="604" spans="1:10" ht="14">
      <c r="A604" s="13"/>
      <c r="B604" s="13"/>
      <c r="C604" s="13"/>
      <c r="D604" s="13"/>
      <c r="E604" s="47"/>
      <c r="F604" s="47"/>
      <c r="G604" s="47"/>
      <c r="H604" s="47"/>
      <c r="I604" s="47"/>
      <c r="J604" s="47"/>
    </row>
    <row r="605" spans="1:10" ht="14">
      <c r="A605" s="13"/>
      <c r="B605" s="13"/>
      <c r="C605" s="13"/>
      <c r="D605" s="13"/>
      <c r="E605" s="47"/>
      <c r="F605" s="47"/>
      <c r="G605" s="47"/>
      <c r="H605" s="47"/>
      <c r="I605" s="47"/>
      <c r="J605" s="47"/>
    </row>
    <row r="606" spans="1:10" ht="14">
      <c r="A606" s="13"/>
      <c r="B606" s="13"/>
      <c r="C606" s="13"/>
      <c r="D606" s="13"/>
      <c r="E606" s="47"/>
      <c r="F606" s="47"/>
      <c r="G606" s="47"/>
      <c r="H606" s="47"/>
      <c r="I606" s="47"/>
      <c r="J606" s="47"/>
    </row>
    <row r="607" spans="1:10" ht="14">
      <c r="A607" s="13"/>
      <c r="B607" s="13"/>
      <c r="C607" s="13"/>
      <c r="D607" s="13"/>
      <c r="E607" s="47"/>
      <c r="F607" s="47"/>
      <c r="G607" s="47"/>
      <c r="H607" s="47"/>
      <c r="I607" s="47"/>
      <c r="J607" s="47"/>
    </row>
    <row r="608" spans="1:10" ht="14">
      <c r="A608" s="13"/>
      <c r="B608" s="13"/>
      <c r="C608" s="13"/>
      <c r="D608" s="13"/>
      <c r="E608" s="47"/>
      <c r="F608" s="47"/>
      <c r="G608" s="47"/>
      <c r="H608" s="47"/>
      <c r="I608" s="47"/>
      <c r="J608" s="47"/>
    </row>
    <row r="609" spans="1:10" ht="14">
      <c r="A609" s="13"/>
      <c r="B609" s="13"/>
      <c r="C609" s="13"/>
      <c r="D609" s="13"/>
      <c r="E609" s="47"/>
      <c r="F609" s="47"/>
      <c r="G609" s="47"/>
      <c r="H609" s="47"/>
      <c r="I609" s="47"/>
      <c r="J609" s="47"/>
    </row>
    <row r="610" spans="1:10" ht="14">
      <c r="A610" s="13"/>
      <c r="B610" s="13"/>
      <c r="C610" s="13"/>
      <c r="D610" s="13"/>
      <c r="E610" s="47"/>
      <c r="F610" s="47"/>
      <c r="G610" s="47"/>
      <c r="H610" s="47"/>
      <c r="I610" s="47"/>
      <c r="J610" s="47"/>
    </row>
    <row r="611" spans="1:10" ht="14">
      <c r="A611" s="13"/>
      <c r="B611" s="13"/>
      <c r="C611" s="13"/>
      <c r="D611" s="13"/>
      <c r="E611" s="47"/>
      <c r="F611" s="47"/>
      <c r="G611" s="47"/>
      <c r="H611" s="47"/>
      <c r="I611" s="47"/>
      <c r="J611" s="47"/>
    </row>
    <row r="612" spans="1:10" ht="14">
      <c r="A612" s="13"/>
      <c r="B612" s="13"/>
      <c r="C612" s="13"/>
      <c r="D612" s="13"/>
      <c r="E612" s="47"/>
      <c r="F612" s="47"/>
      <c r="G612" s="47"/>
      <c r="H612" s="47"/>
      <c r="I612" s="47"/>
      <c r="J612" s="47"/>
    </row>
    <row r="613" spans="1:10" ht="14">
      <c r="A613" s="13"/>
      <c r="B613" s="13"/>
      <c r="C613" s="13"/>
      <c r="D613" s="13"/>
      <c r="E613" s="47"/>
      <c r="F613" s="47"/>
      <c r="G613" s="47"/>
      <c r="H613" s="47"/>
      <c r="I613" s="47"/>
      <c r="J613" s="47"/>
    </row>
    <row r="614" spans="1:10" ht="14">
      <c r="A614" s="13"/>
      <c r="B614" s="13"/>
      <c r="C614" s="13"/>
      <c r="D614" s="13"/>
      <c r="E614" s="47"/>
      <c r="F614" s="47"/>
      <c r="G614" s="47"/>
      <c r="H614" s="47"/>
      <c r="I614" s="47"/>
      <c r="J614" s="47"/>
    </row>
    <row r="615" spans="1:10" ht="14">
      <c r="A615" s="13"/>
      <c r="B615" s="13"/>
      <c r="C615" s="13"/>
      <c r="D615" s="13"/>
      <c r="E615" s="47"/>
      <c r="F615" s="47"/>
      <c r="G615" s="47"/>
      <c r="H615" s="47"/>
      <c r="I615" s="47"/>
      <c r="J615" s="47"/>
    </row>
    <row r="616" spans="1:10" ht="14">
      <c r="A616" s="13"/>
      <c r="B616" s="13"/>
      <c r="C616" s="13"/>
      <c r="D616" s="13"/>
      <c r="E616" s="47"/>
      <c r="F616" s="47"/>
      <c r="G616" s="47"/>
      <c r="H616" s="47"/>
      <c r="I616" s="47"/>
      <c r="J616" s="47"/>
    </row>
    <row r="617" spans="1:10" ht="14">
      <c r="A617" s="13"/>
      <c r="B617" s="13"/>
      <c r="C617" s="13"/>
      <c r="D617" s="13"/>
      <c r="E617" s="47"/>
      <c r="F617" s="47"/>
      <c r="G617" s="47"/>
      <c r="H617" s="47"/>
      <c r="I617" s="47"/>
      <c r="J617" s="47"/>
    </row>
    <row r="618" spans="1:10" ht="14">
      <c r="A618" s="13"/>
      <c r="B618" s="13"/>
      <c r="C618" s="13"/>
      <c r="D618" s="13"/>
      <c r="E618" s="47"/>
      <c r="F618" s="47"/>
      <c r="G618" s="47"/>
      <c r="H618" s="47"/>
      <c r="I618" s="47"/>
      <c r="J618" s="47"/>
    </row>
    <row r="619" spans="1:10" ht="14">
      <c r="A619" s="13"/>
      <c r="B619" s="13"/>
      <c r="C619" s="13"/>
      <c r="D619" s="13"/>
      <c r="E619" s="47"/>
      <c r="F619" s="47"/>
      <c r="G619" s="47"/>
      <c r="H619" s="47"/>
      <c r="I619" s="47"/>
      <c r="J619" s="47"/>
    </row>
    <row r="620" spans="1:10" ht="14">
      <c r="A620" s="13"/>
      <c r="B620" s="13"/>
      <c r="C620" s="13"/>
      <c r="D620" s="13"/>
      <c r="E620" s="47"/>
      <c r="F620" s="47"/>
      <c r="G620" s="47"/>
      <c r="H620" s="47"/>
      <c r="I620" s="47"/>
      <c r="J620" s="47"/>
    </row>
    <row r="621" spans="1:10" ht="14">
      <c r="A621" s="13"/>
      <c r="B621" s="13"/>
      <c r="C621" s="13"/>
      <c r="D621" s="13"/>
      <c r="E621" s="47"/>
      <c r="F621" s="47"/>
      <c r="G621" s="47"/>
      <c r="H621" s="47"/>
      <c r="I621" s="47"/>
      <c r="J621" s="47"/>
    </row>
    <row r="622" spans="1:10" ht="14">
      <c r="A622" s="13"/>
      <c r="B622" s="13"/>
      <c r="C622" s="13"/>
      <c r="D622" s="13"/>
      <c r="E622" s="47"/>
      <c r="F622" s="47"/>
      <c r="G622" s="47"/>
      <c r="H622" s="47"/>
      <c r="I622" s="47"/>
      <c r="J622" s="47"/>
    </row>
    <row r="623" spans="1:10" ht="14">
      <c r="A623" s="13"/>
      <c r="B623" s="13"/>
      <c r="C623" s="13"/>
      <c r="D623" s="13"/>
      <c r="E623" s="47"/>
      <c r="F623" s="47"/>
      <c r="G623" s="47"/>
      <c r="H623" s="47"/>
      <c r="I623" s="47"/>
      <c r="J623" s="47"/>
    </row>
    <row r="624" spans="1:10" ht="14">
      <c r="A624" s="13"/>
      <c r="B624" s="13"/>
      <c r="C624" s="13"/>
      <c r="D624" s="13"/>
      <c r="E624" s="47"/>
      <c r="F624" s="47"/>
      <c r="G624" s="47"/>
      <c r="H624" s="47"/>
      <c r="I624" s="47"/>
      <c r="J624" s="47"/>
    </row>
    <row r="625" spans="1:10" ht="14">
      <c r="A625" s="13"/>
      <c r="B625" s="13"/>
      <c r="C625" s="13"/>
      <c r="D625" s="13"/>
      <c r="E625" s="47"/>
      <c r="F625" s="47"/>
      <c r="G625" s="47"/>
      <c r="H625" s="47"/>
      <c r="I625" s="47"/>
      <c r="J625" s="47"/>
    </row>
    <row r="626" spans="1:10" ht="14">
      <c r="A626" s="13"/>
      <c r="B626" s="13"/>
      <c r="C626" s="13"/>
      <c r="D626" s="13"/>
      <c r="E626" s="47"/>
      <c r="F626" s="47"/>
      <c r="G626" s="47"/>
      <c r="H626" s="47"/>
      <c r="I626" s="47"/>
      <c r="J626" s="47"/>
    </row>
    <row r="627" spans="1:10" ht="14">
      <c r="A627" s="13"/>
      <c r="B627" s="13"/>
      <c r="C627" s="13"/>
      <c r="D627" s="13"/>
      <c r="E627" s="47"/>
      <c r="F627" s="47"/>
      <c r="G627" s="47"/>
      <c r="H627" s="47"/>
      <c r="I627" s="47"/>
      <c r="J627" s="47"/>
    </row>
    <row r="628" spans="1:10" ht="14">
      <c r="A628" s="13"/>
      <c r="B628" s="13"/>
      <c r="C628" s="13"/>
      <c r="D628" s="13"/>
      <c r="E628" s="47"/>
      <c r="F628" s="47"/>
      <c r="G628" s="47"/>
      <c r="H628" s="47"/>
      <c r="I628" s="47"/>
      <c r="J628" s="47"/>
    </row>
    <row r="629" spans="1:10" ht="14">
      <c r="A629" s="13"/>
      <c r="B629" s="13"/>
      <c r="C629" s="13"/>
      <c r="D629" s="13"/>
      <c r="E629" s="47"/>
      <c r="F629" s="47"/>
      <c r="G629" s="47"/>
      <c r="H629" s="47"/>
      <c r="I629" s="47"/>
      <c r="J629" s="47"/>
    </row>
    <row r="630" spans="1:10" ht="14">
      <c r="A630" s="13"/>
      <c r="B630" s="13"/>
      <c r="C630" s="13"/>
      <c r="D630" s="13"/>
      <c r="E630" s="47"/>
      <c r="F630" s="47"/>
      <c r="G630" s="47"/>
      <c r="H630" s="47"/>
      <c r="I630" s="47"/>
      <c r="J630" s="47"/>
    </row>
    <row r="631" spans="1:10" ht="14">
      <c r="A631" s="13"/>
      <c r="B631" s="13"/>
      <c r="C631" s="13"/>
      <c r="D631" s="13"/>
      <c r="E631" s="47"/>
      <c r="F631" s="47"/>
      <c r="G631" s="47"/>
      <c r="H631" s="47"/>
      <c r="I631" s="47"/>
      <c r="J631" s="47"/>
    </row>
    <row r="632" spans="1:10" ht="14">
      <c r="A632" s="13"/>
      <c r="B632" s="13"/>
      <c r="C632" s="13"/>
      <c r="D632" s="13"/>
      <c r="E632" s="47"/>
      <c r="F632" s="47"/>
      <c r="G632" s="47"/>
      <c r="H632" s="47"/>
      <c r="I632" s="47"/>
      <c r="J632" s="47"/>
    </row>
    <row r="633" spans="1:10" ht="14">
      <c r="A633" s="13"/>
      <c r="B633" s="13"/>
      <c r="C633" s="13"/>
      <c r="D633" s="13"/>
      <c r="E633" s="47"/>
      <c r="F633" s="47"/>
      <c r="G633" s="47"/>
      <c r="H633" s="47"/>
      <c r="I633" s="47"/>
      <c r="J633" s="47"/>
    </row>
    <row r="634" spans="1:10" ht="14">
      <c r="A634" s="13"/>
      <c r="B634" s="13"/>
      <c r="C634" s="13"/>
      <c r="D634" s="13"/>
      <c r="E634" s="47"/>
      <c r="F634" s="47"/>
      <c r="G634" s="47"/>
      <c r="H634" s="47"/>
      <c r="I634" s="47"/>
      <c r="J634" s="47"/>
    </row>
    <row r="635" spans="1:10" ht="14">
      <c r="A635" s="13"/>
      <c r="B635" s="13"/>
      <c r="C635" s="13"/>
      <c r="D635" s="13"/>
      <c r="E635" s="47"/>
      <c r="F635" s="47"/>
      <c r="G635" s="47"/>
      <c r="H635" s="47"/>
      <c r="I635" s="47"/>
      <c r="J635" s="47"/>
    </row>
    <row r="636" spans="1:10" ht="14">
      <c r="A636" s="13"/>
      <c r="B636" s="13"/>
      <c r="C636" s="13"/>
      <c r="D636" s="13"/>
      <c r="E636" s="47"/>
      <c r="F636" s="47"/>
      <c r="G636" s="47"/>
      <c r="H636" s="47"/>
      <c r="I636" s="47"/>
      <c r="J636" s="47"/>
    </row>
    <row r="637" spans="1:10" ht="14">
      <c r="A637" s="13"/>
      <c r="B637" s="13"/>
      <c r="C637" s="13"/>
      <c r="D637" s="13"/>
      <c r="E637" s="47"/>
      <c r="F637" s="47"/>
      <c r="G637" s="47"/>
      <c r="H637" s="47"/>
      <c r="I637" s="47"/>
      <c r="J637" s="47"/>
    </row>
    <row r="638" spans="1:10" ht="14">
      <c r="A638" s="13"/>
      <c r="B638" s="13"/>
      <c r="C638" s="13"/>
      <c r="D638" s="13"/>
      <c r="E638" s="47"/>
      <c r="F638" s="47"/>
      <c r="G638" s="47"/>
      <c r="H638" s="47"/>
      <c r="I638" s="47"/>
      <c r="J638" s="47"/>
    </row>
    <row r="639" spans="1:10" ht="14">
      <c r="A639" s="13"/>
      <c r="B639" s="13"/>
      <c r="C639" s="13"/>
      <c r="D639" s="13"/>
      <c r="E639" s="47"/>
      <c r="F639" s="47"/>
      <c r="G639" s="47"/>
      <c r="H639" s="47"/>
      <c r="I639" s="47"/>
      <c r="J639" s="47"/>
    </row>
    <row r="640" spans="1:10" ht="14">
      <c r="A640" s="13"/>
      <c r="B640" s="13"/>
      <c r="C640" s="13"/>
      <c r="D640" s="13"/>
      <c r="E640" s="47"/>
      <c r="F640" s="47"/>
      <c r="G640" s="47"/>
      <c r="H640" s="47"/>
      <c r="I640" s="47"/>
      <c r="J640" s="47"/>
    </row>
    <row r="641" spans="1:10" ht="14">
      <c r="A641" s="13"/>
      <c r="B641" s="13"/>
      <c r="C641" s="13"/>
      <c r="D641" s="13"/>
      <c r="E641" s="47"/>
      <c r="F641" s="47"/>
      <c r="G641" s="47"/>
      <c r="H641" s="47"/>
      <c r="I641" s="47"/>
      <c r="J641" s="47"/>
    </row>
    <row r="642" spans="1:10" ht="14">
      <c r="A642" s="13"/>
      <c r="B642" s="13"/>
      <c r="C642" s="13"/>
      <c r="D642" s="13"/>
      <c r="E642" s="47"/>
      <c r="F642" s="47"/>
      <c r="G642" s="47"/>
      <c r="H642" s="47"/>
      <c r="I642" s="47"/>
      <c r="J642" s="47"/>
    </row>
    <row r="643" spans="1:10" ht="14">
      <c r="A643" s="13"/>
      <c r="B643" s="13"/>
      <c r="C643" s="13"/>
      <c r="D643" s="13"/>
      <c r="E643" s="47"/>
      <c r="F643" s="47"/>
      <c r="G643" s="47"/>
      <c r="H643" s="47"/>
      <c r="I643" s="47"/>
      <c r="J643" s="47"/>
    </row>
    <row r="644" spans="1:10" ht="14">
      <c r="A644" s="13"/>
      <c r="B644" s="13"/>
      <c r="C644" s="13"/>
      <c r="D644" s="13"/>
      <c r="E644" s="47"/>
      <c r="F644" s="47"/>
      <c r="G644" s="47"/>
      <c r="H644" s="47"/>
      <c r="I644" s="47"/>
      <c r="J644" s="47"/>
    </row>
    <row r="645" spans="1:10" ht="14">
      <c r="A645" s="13"/>
      <c r="B645" s="13"/>
      <c r="C645" s="13"/>
      <c r="D645" s="13"/>
      <c r="E645" s="47"/>
      <c r="F645" s="47"/>
      <c r="G645" s="47"/>
      <c r="H645" s="47"/>
      <c r="I645" s="47"/>
      <c r="J645" s="47"/>
    </row>
    <row r="646" spans="1:10" ht="14">
      <c r="A646" s="13"/>
      <c r="B646" s="13"/>
      <c r="C646" s="13"/>
      <c r="D646" s="13"/>
      <c r="E646" s="47"/>
      <c r="F646" s="47"/>
      <c r="G646" s="47"/>
      <c r="H646" s="47"/>
      <c r="I646" s="47"/>
      <c r="J646" s="47"/>
    </row>
    <row r="647" spans="1:10" ht="14">
      <c r="A647" s="13"/>
      <c r="B647" s="13"/>
      <c r="C647" s="13"/>
      <c r="D647" s="13"/>
      <c r="E647" s="47"/>
      <c r="F647" s="47"/>
      <c r="G647" s="47"/>
      <c r="H647" s="47"/>
      <c r="I647" s="47"/>
      <c r="J647" s="47"/>
    </row>
    <row r="648" spans="1:10" ht="14">
      <c r="A648" s="13"/>
      <c r="B648" s="13"/>
      <c r="C648" s="13"/>
      <c r="D648" s="13"/>
      <c r="E648" s="47"/>
      <c r="F648" s="47"/>
      <c r="G648" s="47"/>
      <c r="H648" s="47"/>
      <c r="I648" s="47"/>
      <c r="J648" s="47"/>
    </row>
    <row r="649" spans="1:10" ht="14">
      <c r="A649" s="13"/>
      <c r="B649" s="13"/>
      <c r="C649" s="13"/>
      <c r="D649" s="13"/>
      <c r="E649" s="47"/>
      <c r="F649" s="47"/>
      <c r="G649" s="47"/>
      <c r="H649" s="47"/>
      <c r="I649" s="47"/>
      <c r="J649" s="47"/>
    </row>
    <row r="650" spans="1:10" ht="14">
      <c r="A650" s="13"/>
      <c r="B650" s="13"/>
      <c r="C650" s="13"/>
      <c r="D650" s="13"/>
      <c r="E650" s="47"/>
      <c r="F650" s="47"/>
      <c r="G650" s="47"/>
      <c r="H650" s="47"/>
      <c r="I650" s="47"/>
      <c r="J650" s="47"/>
    </row>
    <row r="651" spans="1:10" ht="14">
      <c r="A651" s="13"/>
      <c r="B651" s="13"/>
      <c r="C651" s="13"/>
      <c r="D651" s="13"/>
      <c r="E651" s="47"/>
      <c r="F651" s="47"/>
      <c r="G651" s="47"/>
      <c r="H651" s="47"/>
      <c r="I651" s="47"/>
      <c r="J651" s="47"/>
    </row>
    <row r="652" spans="1:10" ht="14">
      <c r="A652" s="13"/>
      <c r="B652" s="13"/>
      <c r="C652" s="13"/>
      <c r="D652" s="13"/>
      <c r="E652" s="47"/>
      <c r="F652" s="47"/>
      <c r="G652" s="47"/>
      <c r="H652" s="47"/>
      <c r="I652" s="47"/>
      <c r="J652" s="47"/>
    </row>
    <row r="653" spans="1:10" ht="14">
      <c r="A653" s="13"/>
      <c r="B653" s="13"/>
      <c r="C653" s="13"/>
      <c r="D653" s="13"/>
      <c r="E653" s="47"/>
      <c r="F653" s="47"/>
      <c r="G653" s="47"/>
      <c r="H653" s="47"/>
      <c r="I653" s="47"/>
      <c r="J653" s="47"/>
    </row>
    <row r="654" spans="1:10" ht="14">
      <c r="A654" s="13"/>
      <c r="B654" s="13"/>
      <c r="C654" s="13"/>
      <c r="D654" s="13"/>
      <c r="E654" s="47"/>
      <c r="F654" s="47"/>
      <c r="G654" s="47"/>
      <c r="H654" s="47"/>
      <c r="I654" s="47"/>
      <c r="J654" s="47"/>
    </row>
    <row r="655" spans="1:10" ht="14">
      <c r="A655" s="13"/>
      <c r="B655" s="13"/>
      <c r="C655" s="13"/>
      <c r="D655" s="13"/>
      <c r="E655" s="47"/>
      <c r="F655" s="47"/>
      <c r="G655" s="47"/>
      <c r="H655" s="47"/>
      <c r="I655" s="47"/>
      <c r="J655" s="47"/>
    </row>
    <row r="656" spans="1:10" ht="14">
      <c r="A656" s="13"/>
      <c r="B656" s="13"/>
      <c r="C656" s="13"/>
      <c r="D656" s="13"/>
      <c r="E656" s="47"/>
      <c r="F656" s="47"/>
      <c r="G656" s="47"/>
      <c r="H656" s="47"/>
      <c r="I656" s="47"/>
      <c r="J656" s="47"/>
    </row>
    <row r="657" spans="1:10" ht="14">
      <c r="A657" s="13"/>
      <c r="B657" s="13"/>
      <c r="C657" s="13"/>
      <c r="D657" s="13"/>
      <c r="E657" s="47"/>
      <c r="F657" s="47"/>
      <c r="G657" s="47"/>
      <c r="H657" s="47"/>
      <c r="I657" s="47"/>
      <c r="J657" s="47"/>
    </row>
    <row r="658" spans="1:10" ht="14">
      <c r="A658" s="13"/>
      <c r="B658" s="13"/>
      <c r="C658" s="13"/>
      <c r="D658" s="13"/>
      <c r="E658" s="47"/>
      <c r="F658" s="47"/>
      <c r="G658" s="47"/>
      <c r="H658" s="47"/>
      <c r="I658" s="47"/>
      <c r="J658" s="47"/>
    </row>
    <row r="659" spans="1:10" ht="14">
      <c r="A659" s="13"/>
      <c r="B659" s="13"/>
      <c r="C659" s="13"/>
      <c r="D659" s="13"/>
      <c r="E659" s="47"/>
      <c r="F659" s="47"/>
      <c r="G659" s="47"/>
      <c r="H659" s="47"/>
      <c r="I659" s="47"/>
      <c r="J659" s="47"/>
    </row>
    <row r="660" spans="1:10" ht="14">
      <c r="A660" s="13"/>
      <c r="B660" s="13"/>
      <c r="C660" s="13"/>
      <c r="D660" s="13"/>
      <c r="E660" s="47"/>
      <c r="F660" s="47"/>
      <c r="G660" s="47"/>
      <c r="H660" s="47"/>
      <c r="I660" s="47"/>
      <c r="J660" s="47"/>
    </row>
    <row r="661" spans="1:10" ht="14">
      <c r="A661" s="13"/>
      <c r="B661" s="13"/>
      <c r="C661" s="13"/>
      <c r="D661" s="13"/>
      <c r="E661" s="47"/>
      <c r="F661" s="47"/>
      <c r="G661" s="47"/>
      <c r="H661" s="47"/>
      <c r="I661" s="47"/>
      <c r="J661" s="47"/>
    </row>
    <row r="662" spans="1:10" ht="14">
      <c r="A662" s="13"/>
      <c r="B662" s="13"/>
      <c r="C662" s="13"/>
      <c r="D662" s="13"/>
      <c r="E662" s="47"/>
      <c r="F662" s="47"/>
      <c r="G662" s="47"/>
      <c r="H662" s="47"/>
      <c r="I662" s="47"/>
      <c r="J662" s="47"/>
    </row>
    <row r="663" spans="1:10" ht="14">
      <c r="A663" s="13"/>
      <c r="B663" s="13"/>
      <c r="C663" s="13"/>
      <c r="D663" s="13"/>
      <c r="E663" s="47"/>
      <c r="F663" s="47"/>
      <c r="G663" s="47"/>
      <c r="H663" s="47"/>
      <c r="I663" s="47"/>
      <c r="J663" s="47"/>
    </row>
    <row r="664" spans="1:10" ht="14">
      <c r="A664" s="13"/>
      <c r="B664" s="13"/>
      <c r="C664" s="13"/>
      <c r="D664" s="13"/>
      <c r="E664" s="47"/>
      <c r="F664" s="47"/>
      <c r="G664" s="47"/>
      <c r="H664" s="47"/>
      <c r="I664" s="47"/>
      <c r="J664" s="47"/>
    </row>
    <row r="665" spans="1:10" ht="14">
      <c r="A665" s="13"/>
      <c r="B665" s="13"/>
      <c r="C665" s="13"/>
      <c r="D665" s="13"/>
      <c r="E665" s="47"/>
      <c r="F665" s="47"/>
      <c r="G665" s="47"/>
      <c r="H665" s="47"/>
      <c r="I665" s="47"/>
      <c r="J665" s="47"/>
    </row>
    <row r="666" spans="1:10" ht="14">
      <c r="A666" s="13"/>
      <c r="B666" s="13"/>
      <c r="C666" s="13"/>
      <c r="D666" s="13"/>
      <c r="E666" s="47"/>
      <c r="F666" s="47"/>
      <c r="G666" s="47"/>
      <c r="H666" s="47"/>
      <c r="I666" s="47"/>
      <c r="J666" s="47"/>
    </row>
    <row r="667" spans="1:10" ht="14">
      <c r="A667" s="13"/>
      <c r="B667" s="13"/>
      <c r="C667" s="13"/>
      <c r="D667" s="13"/>
      <c r="E667" s="47"/>
      <c r="F667" s="47"/>
      <c r="G667" s="47"/>
      <c r="H667" s="47"/>
      <c r="I667" s="47"/>
      <c r="J667" s="47"/>
    </row>
    <row r="668" spans="1:10" ht="14">
      <c r="A668" s="13"/>
      <c r="B668" s="13"/>
      <c r="C668" s="13"/>
      <c r="D668" s="13"/>
      <c r="E668" s="47"/>
      <c r="F668" s="47"/>
      <c r="G668" s="47"/>
      <c r="H668" s="47"/>
      <c r="I668" s="47"/>
      <c r="J668" s="47"/>
    </row>
    <row r="669" spans="1:10" ht="14">
      <c r="A669" s="13"/>
      <c r="B669" s="13"/>
      <c r="C669" s="13"/>
      <c r="D669" s="13"/>
      <c r="E669" s="47"/>
      <c r="F669" s="47"/>
      <c r="G669" s="47"/>
      <c r="H669" s="47"/>
      <c r="I669" s="47"/>
      <c r="J669" s="47"/>
    </row>
    <row r="670" spans="1:10" ht="14">
      <c r="A670" s="13"/>
      <c r="B670" s="13"/>
      <c r="C670" s="13"/>
      <c r="D670" s="13"/>
      <c r="E670" s="47"/>
      <c r="F670" s="47"/>
      <c r="G670" s="47"/>
      <c r="H670" s="47"/>
      <c r="I670" s="47"/>
      <c r="J670" s="47"/>
    </row>
    <row r="671" spans="1:10" ht="14">
      <c r="A671" s="13"/>
      <c r="B671" s="13"/>
      <c r="C671" s="13"/>
      <c r="D671" s="13"/>
      <c r="E671" s="47"/>
      <c r="F671" s="47"/>
      <c r="G671" s="47"/>
      <c r="H671" s="47"/>
      <c r="I671" s="47"/>
      <c r="J671" s="47"/>
    </row>
    <row r="672" spans="1:10" ht="14">
      <c r="A672" s="13"/>
      <c r="B672" s="13"/>
      <c r="C672" s="13"/>
      <c r="D672" s="13"/>
      <c r="E672" s="47"/>
      <c r="F672" s="47"/>
      <c r="G672" s="47"/>
      <c r="H672" s="47"/>
      <c r="I672" s="47"/>
      <c r="J672" s="47"/>
    </row>
    <row r="673" spans="1:10" ht="14">
      <c r="A673" s="13"/>
      <c r="B673" s="13"/>
      <c r="C673" s="13"/>
      <c r="D673" s="13"/>
      <c r="E673" s="47"/>
      <c r="F673" s="47"/>
      <c r="G673" s="47"/>
      <c r="H673" s="47"/>
      <c r="I673" s="47"/>
      <c r="J673" s="47"/>
    </row>
    <row r="674" spans="1:10" ht="14">
      <c r="A674" s="13"/>
      <c r="B674" s="13"/>
      <c r="C674" s="13"/>
      <c r="D674" s="13"/>
      <c r="E674" s="47"/>
      <c r="F674" s="47"/>
      <c r="G674" s="47"/>
      <c r="H674" s="47"/>
      <c r="I674" s="47"/>
      <c r="J674" s="47"/>
    </row>
    <row r="675" spans="1:10" ht="14">
      <c r="A675" s="13"/>
      <c r="B675" s="13"/>
      <c r="C675" s="13"/>
      <c r="D675" s="13"/>
      <c r="E675" s="47"/>
      <c r="F675" s="47"/>
      <c r="G675" s="47"/>
      <c r="H675" s="47"/>
      <c r="I675" s="47"/>
      <c r="J675" s="47"/>
    </row>
    <row r="676" spans="1:10" ht="14">
      <c r="A676" s="13"/>
      <c r="B676" s="13"/>
      <c r="C676" s="13"/>
      <c r="D676" s="13"/>
      <c r="E676" s="47"/>
      <c r="F676" s="47"/>
      <c r="G676" s="47"/>
      <c r="H676" s="47"/>
      <c r="I676" s="47"/>
      <c r="J676" s="47"/>
    </row>
    <row r="677" spans="1:10" ht="14">
      <c r="A677" s="13"/>
      <c r="B677" s="13"/>
      <c r="C677" s="13"/>
      <c r="D677" s="13"/>
      <c r="E677" s="47"/>
      <c r="F677" s="47"/>
      <c r="G677" s="47"/>
      <c r="H677" s="47"/>
      <c r="I677" s="47"/>
      <c r="J677" s="47"/>
    </row>
    <row r="678" spans="1:10" ht="14">
      <c r="A678" s="13"/>
      <c r="B678" s="13"/>
      <c r="C678" s="13"/>
      <c r="D678" s="13"/>
      <c r="E678" s="47"/>
      <c r="F678" s="47"/>
      <c r="G678" s="47"/>
      <c r="H678" s="47"/>
      <c r="I678" s="47"/>
      <c r="J678" s="47"/>
    </row>
    <row r="679" spans="1:10" ht="14">
      <c r="A679" s="13"/>
      <c r="B679" s="13"/>
      <c r="C679" s="13"/>
      <c r="D679" s="13"/>
      <c r="E679" s="47"/>
      <c r="F679" s="47"/>
      <c r="G679" s="47"/>
      <c r="H679" s="47"/>
      <c r="I679" s="47"/>
      <c r="J679" s="47"/>
    </row>
    <row r="680" spans="1:10" ht="14">
      <c r="A680" s="13"/>
      <c r="B680" s="13"/>
      <c r="C680" s="13"/>
      <c r="D680" s="13"/>
      <c r="E680" s="47"/>
      <c r="F680" s="47"/>
      <c r="G680" s="47"/>
      <c r="H680" s="47"/>
      <c r="I680" s="47"/>
      <c r="J680" s="47"/>
    </row>
    <row r="681" spans="1:10" ht="14">
      <c r="A681" s="13"/>
      <c r="B681" s="13"/>
      <c r="C681" s="13"/>
      <c r="D681" s="13"/>
      <c r="E681" s="47"/>
      <c r="F681" s="47"/>
      <c r="G681" s="47"/>
      <c r="H681" s="47"/>
      <c r="I681" s="47"/>
      <c r="J681" s="47"/>
    </row>
    <row r="682" spans="1:10" ht="14">
      <c r="A682" s="13"/>
      <c r="B682" s="13"/>
      <c r="C682" s="13"/>
      <c r="D682" s="13"/>
      <c r="E682" s="47"/>
      <c r="F682" s="47"/>
      <c r="G682" s="47"/>
      <c r="H682" s="47"/>
      <c r="I682" s="47"/>
      <c r="J682" s="47"/>
    </row>
    <row r="683" spans="1:10" ht="14">
      <c r="A683" s="13"/>
      <c r="B683" s="13"/>
      <c r="C683" s="13"/>
      <c r="D683" s="13"/>
      <c r="E683" s="47"/>
      <c r="F683" s="47"/>
      <c r="G683" s="47"/>
      <c r="H683" s="47"/>
      <c r="I683" s="47"/>
      <c r="J683" s="47"/>
    </row>
    <row r="684" spans="1:10" ht="14">
      <c r="A684" s="13"/>
      <c r="B684" s="13"/>
      <c r="C684" s="13"/>
      <c r="D684" s="13"/>
      <c r="E684" s="47"/>
      <c r="F684" s="47"/>
      <c r="G684" s="47"/>
      <c r="H684" s="47"/>
      <c r="I684" s="47"/>
      <c r="J684" s="47"/>
    </row>
    <row r="685" spans="1:10" ht="14">
      <c r="A685" s="13"/>
      <c r="B685" s="13"/>
      <c r="C685" s="13"/>
      <c r="D685" s="13"/>
      <c r="E685" s="47"/>
      <c r="F685" s="47"/>
      <c r="G685" s="47"/>
      <c r="H685" s="47"/>
      <c r="I685" s="47"/>
      <c r="J685" s="47"/>
    </row>
    <row r="686" spans="1:10" ht="14">
      <c r="A686" s="13"/>
      <c r="B686" s="13"/>
      <c r="C686" s="13"/>
      <c r="D686" s="13"/>
      <c r="E686" s="47"/>
      <c r="F686" s="47"/>
      <c r="G686" s="47"/>
      <c r="H686" s="47"/>
      <c r="I686" s="47"/>
      <c r="J686" s="47"/>
    </row>
    <row r="687" spans="1:10" ht="14">
      <c r="A687" s="13"/>
      <c r="B687" s="13"/>
      <c r="C687" s="13"/>
      <c r="D687" s="13"/>
      <c r="E687" s="47"/>
      <c r="F687" s="47"/>
      <c r="G687" s="47"/>
      <c r="H687" s="47"/>
      <c r="I687" s="47"/>
      <c r="J687" s="47"/>
    </row>
    <row r="688" spans="1:10" ht="14">
      <c r="A688" s="13"/>
      <c r="B688" s="13"/>
      <c r="C688" s="13"/>
      <c r="D688" s="13"/>
      <c r="E688" s="47"/>
      <c r="F688" s="47"/>
      <c r="G688" s="47"/>
      <c r="H688" s="47"/>
      <c r="I688" s="47"/>
      <c r="J688" s="47"/>
    </row>
    <row r="689" spans="1:10" ht="14">
      <c r="A689" s="13"/>
      <c r="B689" s="13"/>
      <c r="C689" s="13"/>
      <c r="D689" s="13"/>
      <c r="E689" s="47"/>
      <c r="F689" s="47"/>
      <c r="G689" s="47"/>
      <c r="H689" s="47"/>
      <c r="I689" s="47"/>
      <c r="J689" s="47"/>
    </row>
    <row r="690" spans="1:10" ht="14">
      <c r="A690" s="13"/>
      <c r="B690" s="13"/>
      <c r="C690" s="13"/>
      <c r="D690" s="13"/>
      <c r="E690" s="47"/>
      <c r="F690" s="47"/>
      <c r="G690" s="47"/>
      <c r="H690" s="47"/>
      <c r="I690" s="47"/>
      <c r="J690" s="47"/>
    </row>
    <row r="691" spans="1:10" ht="14">
      <c r="A691" s="13"/>
      <c r="B691" s="13"/>
      <c r="C691" s="13"/>
      <c r="D691" s="13"/>
      <c r="E691" s="47"/>
      <c r="F691" s="47"/>
      <c r="G691" s="47"/>
      <c r="H691" s="47"/>
      <c r="I691" s="47"/>
      <c r="J691" s="47"/>
    </row>
    <row r="692" spans="1:10" ht="14">
      <c r="A692" s="13"/>
      <c r="B692" s="13"/>
      <c r="C692" s="13"/>
      <c r="D692" s="13"/>
      <c r="E692" s="47"/>
      <c r="F692" s="47"/>
      <c r="G692" s="47"/>
      <c r="H692" s="47"/>
      <c r="I692" s="47"/>
      <c r="J692" s="47"/>
    </row>
    <row r="693" spans="1:10" ht="14">
      <c r="A693" s="13"/>
      <c r="B693" s="13"/>
      <c r="C693" s="13"/>
      <c r="D693" s="13"/>
      <c r="E693" s="47"/>
      <c r="F693" s="47"/>
      <c r="G693" s="47"/>
      <c r="H693" s="47"/>
      <c r="I693" s="47"/>
      <c r="J693" s="47"/>
    </row>
    <row r="694" spans="1:10" ht="14">
      <c r="A694" s="13"/>
      <c r="B694" s="13"/>
      <c r="C694" s="13"/>
      <c r="D694" s="13"/>
      <c r="E694" s="47"/>
      <c r="F694" s="47"/>
      <c r="G694" s="47"/>
      <c r="H694" s="47"/>
      <c r="I694" s="47"/>
      <c r="J694" s="47"/>
    </row>
    <row r="695" spans="1:10" ht="14">
      <c r="A695" s="13"/>
      <c r="B695" s="13"/>
      <c r="C695" s="13"/>
      <c r="D695" s="13"/>
      <c r="E695" s="47"/>
      <c r="F695" s="47"/>
      <c r="G695" s="47"/>
      <c r="H695" s="47"/>
      <c r="I695" s="47"/>
      <c r="J695" s="47"/>
    </row>
    <row r="696" spans="1:10" ht="14">
      <c r="A696" s="13"/>
      <c r="B696" s="13"/>
      <c r="C696" s="13"/>
      <c r="D696" s="13"/>
      <c r="E696" s="47"/>
      <c r="F696" s="47"/>
      <c r="G696" s="47"/>
      <c r="H696" s="47"/>
      <c r="I696" s="47"/>
      <c r="J696" s="47"/>
    </row>
    <row r="697" spans="1:10" ht="14">
      <c r="A697" s="13"/>
      <c r="B697" s="13"/>
      <c r="C697" s="13"/>
      <c r="D697" s="13"/>
      <c r="E697" s="47"/>
      <c r="F697" s="47"/>
      <c r="G697" s="47"/>
      <c r="H697" s="47"/>
      <c r="I697" s="47"/>
      <c r="J697" s="47"/>
    </row>
    <row r="698" spans="1:10" ht="14">
      <c r="A698" s="13"/>
      <c r="B698" s="13"/>
      <c r="C698" s="13"/>
      <c r="D698" s="13"/>
      <c r="E698" s="47"/>
      <c r="F698" s="47"/>
      <c r="G698" s="47"/>
      <c r="H698" s="47"/>
      <c r="I698" s="47"/>
      <c r="J698" s="47"/>
    </row>
    <row r="699" spans="1:10" ht="14">
      <c r="A699" s="13"/>
      <c r="B699" s="13"/>
      <c r="C699" s="13"/>
      <c r="D699" s="13"/>
      <c r="E699" s="47"/>
      <c r="F699" s="47"/>
      <c r="G699" s="47"/>
      <c r="H699" s="47"/>
      <c r="I699" s="47"/>
      <c r="J699" s="47"/>
    </row>
    <row r="700" spans="1:10" ht="14">
      <c r="A700" s="13"/>
      <c r="B700" s="13"/>
      <c r="C700" s="13"/>
      <c r="D700" s="13"/>
      <c r="E700" s="47"/>
      <c r="F700" s="47"/>
      <c r="G700" s="47"/>
      <c r="H700" s="47"/>
      <c r="I700" s="47"/>
      <c r="J700" s="47"/>
    </row>
    <row r="701" spans="1:10" ht="14">
      <c r="A701" s="13"/>
      <c r="B701" s="13"/>
      <c r="C701" s="13"/>
      <c r="D701" s="13"/>
      <c r="E701" s="47"/>
      <c r="F701" s="47"/>
      <c r="G701" s="47"/>
      <c r="H701" s="47"/>
      <c r="I701" s="47"/>
      <c r="J701" s="47"/>
    </row>
    <row r="702" spans="1:10" ht="14">
      <c r="A702" s="13"/>
      <c r="B702" s="13"/>
      <c r="C702" s="13"/>
      <c r="D702" s="13"/>
      <c r="E702" s="47"/>
      <c r="F702" s="47"/>
      <c r="G702" s="47"/>
      <c r="H702" s="47"/>
      <c r="I702" s="47"/>
      <c r="J702" s="47"/>
    </row>
    <row r="703" spans="1:10" ht="14">
      <c r="A703" s="13"/>
      <c r="B703" s="13"/>
      <c r="C703" s="13"/>
      <c r="D703" s="13"/>
      <c r="E703" s="47"/>
      <c r="F703" s="47"/>
      <c r="G703" s="47"/>
      <c r="H703" s="47"/>
      <c r="I703" s="47"/>
      <c r="J703" s="47"/>
    </row>
    <row r="704" spans="1:10" ht="14">
      <c r="A704" s="13"/>
      <c r="B704" s="13"/>
      <c r="C704" s="13"/>
      <c r="D704" s="13"/>
      <c r="E704" s="47"/>
      <c r="F704" s="47"/>
      <c r="G704" s="47"/>
      <c r="H704" s="47"/>
      <c r="I704" s="47"/>
      <c r="J704" s="47"/>
    </row>
    <row r="705" spans="1:10" ht="14">
      <c r="A705" s="13"/>
      <c r="B705" s="13"/>
      <c r="C705" s="13"/>
      <c r="D705" s="13"/>
      <c r="E705" s="47"/>
      <c r="F705" s="47"/>
      <c r="G705" s="47"/>
      <c r="H705" s="47"/>
      <c r="I705" s="47"/>
      <c r="J705" s="47"/>
    </row>
    <row r="706" spans="1:10" ht="14">
      <c r="A706" s="13"/>
      <c r="B706" s="13"/>
      <c r="C706" s="13"/>
      <c r="D706" s="13"/>
      <c r="E706" s="47"/>
      <c r="F706" s="47"/>
      <c r="G706" s="47"/>
      <c r="H706" s="47"/>
      <c r="I706" s="47"/>
      <c r="J706" s="47"/>
    </row>
    <row r="707" spans="1:10" ht="14">
      <c r="A707" s="13"/>
      <c r="B707" s="13"/>
      <c r="C707" s="13"/>
      <c r="D707" s="13"/>
      <c r="E707" s="47"/>
      <c r="F707" s="47"/>
      <c r="G707" s="47"/>
      <c r="H707" s="47"/>
      <c r="I707" s="47"/>
      <c r="J707" s="47"/>
    </row>
    <row r="708" spans="1:10" ht="14">
      <c r="A708" s="13"/>
      <c r="B708" s="13"/>
      <c r="C708" s="13"/>
      <c r="D708" s="13"/>
      <c r="E708" s="47"/>
      <c r="F708" s="47"/>
      <c r="G708" s="47"/>
      <c r="H708" s="47"/>
      <c r="I708" s="47"/>
      <c r="J708" s="47"/>
    </row>
    <row r="709" spans="1:10" ht="14">
      <c r="A709" s="13"/>
      <c r="B709" s="13"/>
      <c r="C709" s="13"/>
      <c r="D709" s="13"/>
      <c r="E709" s="47"/>
      <c r="F709" s="47"/>
      <c r="G709" s="47"/>
      <c r="H709" s="47"/>
      <c r="I709" s="47"/>
      <c r="J709" s="47"/>
    </row>
    <row r="710" spans="1:10" ht="14">
      <c r="A710" s="13"/>
      <c r="B710" s="13"/>
      <c r="C710" s="13"/>
      <c r="D710" s="13"/>
      <c r="E710" s="47"/>
      <c r="F710" s="47"/>
      <c r="G710" s="47"/>
      <c r="H710" s="47"/>
      <c r="I710" s="47"/>
      <c r="J710" s="47"/>
    </row>
    <row r="711" spans="1:10" ht="14">
      <c r="A711" s="13"/>
      <c r="B711" s="13"/>
      <c r="C711" s="13"/>
      <c r="D711" s="13"/>
      <c r="E711" s="47"/>
      <c r="F711" s="47"/>
      <c r="G711" s="47"/>
      <c r="H711" s="47"/>
      <c r="I711" s="47"/>
      <c r="J711" s="47"/>
    </row>
    <row r="712" spans="1:10" ht="14">
      <c r="A712" s="13"/>
      <c r="B712" s="13"/>
      <c r="C712" s="13"/>
      <c r="D712" s="13"/>
      <c r="E712" s="47"/>
      <c r="F712" s="47"/>
      <c r="G712" s="47"/>
      <c r="H712" s="47"/>
      <c r="I712" s="47"/>
      <c r="J712" s="47"/>
    </row>
    <row r="713" spans="1:10" ht="14">
      <c r="A713" s="13"/>
      <c r="B713" s="13"/>
      <c r="C713" s="13"/>
      <c r="D713" s="13"/>
      <c r="E713" s="47"/>
      <c r="F713" s="47"/>
      <c r="G713" s="47"/>
      <c r="H713" s="47"/>
      <c r="I713" s="47"/>
      <c r="J713" s="47"/>
    </row>
    <row r="714" spans="1:10" ht="14">
      <c r="A714" s="13"/>
      <c r="B714" s="13"/>
      <c r="C714" s="13"/>
      <c r="D714" s="13"/>
      <c r="E714" s="47"/>
      <c r="F714" s="47"/>
      <c r="G714" s="47"/>
      <c r="H714" s="47"/>
      <c r="I714" s="47"/>
      <c r="J714" s="47"/>
    </row>
    <row r="715" spans="1:10" ht="14">
      <c r="A715" s="13"/>
      <c r="B715" s="13"/>
      <c r="C715" s="13"/>
      <c r="D715" s="13"/>
      <c r="E715" s="47"/>
      <c r="F715" s="47"/>
      <c r="G715" s="47"/>
      <c r="H715" s="47"/>
      <c r="I715" s="47"/>
      <c r="J715" s="47"/>
    </row>
    <row r="716" spans="1:10" ht="14">
      <c r="A716" s="13"/>
      <c r="B716" s="13"/>
      <c r="C716" s="13"/>
      <c r="D716" s="13"/>
      <c r="E716" s="47"/>
      <c r="F716" s="47"/>
      <c r="G716" s="47"/>
      <c r="H716" s="47"/>
      <c r="I716" s="47"/>
      <c r="J716" s="47"/>
    </row>
    <row r="717" spans="1:10" ht="14">
      <c r="A717" s="13"/>
      <c r="B717" s="13"/>
      <c r="C717" s="13"/>
      <c r="D717" s="13"/>
      <c r="E717" s="47"/>
      <c r="F717" s="47"/>
      <c r="G717" s="47"/>
      <c r="H717" s="47"/>
      <c r="I717" s="47"/>
      <c r="J717" s="47"/>
    </row>
    <row r="718" spans="1:10" ht="14">
      <c r="A718" s="13"/>
      <c r="B718" s="13"/>
      <c r="C718" s="13"/>
      <c r="D718" s="13"/>
      <c r="E718" s="47"/>
      <c r="F718" s="47"/>
      <c r="G718" s="47"/>
      <c r="H718" s="47"/>
      <c r="I718" s="47"/>
      <c r="J718" s="47"/>
    </row>
    <row r="719" spans="1:10" ht="14">
      <c r="A719" s="13"/>
      <c r="B719" s="13"/>
      <c r="C719" s="13"/>
      <c r="D719" s="13"/>
      <c r="E719" s="47"/>
      <c r="F719" s="47"/>
      <c r="G719" s="47"/>
      <c r="H719" s="47"/>
      <c r="I719" s="47"/>
      <c r="J719" s="47"/>
    </row>
    <row r="720" spans="1:10" ht="14">
      <c r="A720" s="13"/>
      <c r="B720" s="13"/>
      <c r="C720" s="13"/>
      <c r="D720" s="13"/>
      <c r="E720" s="47"/>
      <c r="F720" s="47"/>
      <c r="G720" s="47"/>
      <c r="H720" s="47"/>
      <c r="I720" s="47"/>
      <c r="J720" s="47"/>
    </row>
    <row r="721" spans="1:10" ht="14">
      <c r="A721" s="13"/>
      <c r="B721" s="13"/>
      <c r="C721" s="13"/>
      <c r="D721" s="13"/>
      <c r="E721" s="47"/>
      <c r="F721" s="47"/>
      <c r="G721" s="47"/>
      <c r="H721" s="47"/>
      <c r="I721" s="47"/>
      <c r="J721" s="47"/>
    </row>
    <row r="722" spans="1:10" ht="14">
      <c r="A722" s="13"/>
      <c r="B722" s="13"/>
      <c r="C722" s="13"/>
      <c r="D722" s="13"/>
      <c r="E722" s="47"/>
      <c r="F722" s="47"/>
      <c r="G722" s="47"/>
      <c r="H722" s="47"/>
      <c r="I722" s="47"/>
      <c r="J722" s="47"/>
    </row>
    <row r="723" spans="1:10" ht="14">
      <c r="A723" s="13"/>
      <c r="B723" s="13"/>
      <c r="C723" s="13"/>
      <c r="D723" s="13"/>
      <c r="E723" s="47"/>
      <c r="F723" s="47"/>
      <c r="G723" s="47"/>
      <c r="H723" s="47"/>
      <c r="I723" s="47"/>
      <c r="J723" s="47"/>
    </row>
    <row r="724" spans="1:10" ht="14">
      <c r="A724" s="13"/>
      <c r="B724" s="13"/>
      <c r="C724" s="13"/>
      <c r="D724" s="13"/>
      <c r="E724" s="47"/>
      <c r="F724" s="47"/>
      <c r="G724" s="47"/>
      <c r="H724" s="47"/>
      <c r="I724" s="47"/>
      <c r="J724" s="47"/>
    </row>
    <row r="725" spans="1:10" ht="14">
      <c r="A725" s="13"/>
      <c r="B725" s="13"/>
      <c r="C725" s="13"/>
      <c r="D725" s="13"/>
      <c r="E725" s="47"/>
      <c r="F725" s="47"/>
      <c r="G725" s="47"/>
      <c r="H725" s="47"/>
      <c r="I725" s="47"/>
      <c r="J725" s="47"/>
    </row>
    <row r="726" spans="1:10" ht="14">
      <c r="A726" s="13"/>
      <c r="B726" s="13"/>
      <c r="C726" s="13"/>
      <c r="D726" s="13"/>
      <c r="E726" s="47"/>
      <c r="F726" s="47"/>
      <c r="G726" s="47"/>
      <c r="H726" s="47"/>
      <c r="I726" s="47"/>
      <c r="J726" s="47"/>
    </row>
    <row r="727" spans="1:10" ht="14">
      <c r="A727" s="13"/>
      <c r="B727" s="13"/>
      <c r="C727" s="13"/>
      <c r="D727" s="13"/>
      <c r="E727" s="47"/>
      <c r="F727" s="47"/>
      <c r="G727" s="47"/>
      <c r="H727" s="47"/>
      <c r="I727" s="47"/>
      <c r="J727" s="47"/>
    </row>
    <row r="728" spans="1:10" ht="14">
      <c r="A728" s="13"/>
      <c r="B728" s="13"/>
      <c r="C728" s="13"/>
      <c r="D728" s="13"/>
      <c r="E728" s="47"/>
      <c r="F728" s="47"/>
      <c r="G728" s="47"/>
      <c r="H728" s="47"/>
      <c r="I728" s="47"/>
      <c r="J728" s="47"/>
    </row>
    <row r="729" spans="1:10" ht="14">
      <c r="A729" s="13"/>
      <c r="B729" s="13"/>
      <c r="C729" s="13"/>
      <c r="D729" s="13"/>
      <c r="E729" s="47"/>
      <c r="F729" s="47"/>
      <c r="G729" s="47"/>
      <c r="H729" s="47"/>
      <c r="I729" s="47"/>
      <c r="J729" s="47"/>
    </row>
    <row r="730" spans="1:10" ht="14">
      <c r="A730" s="13"/>
      <c r="B730" s="13"/>
      <c r="C730" s="13"/>
      <c r="D730" s="13"/>
      <c r="E730" s="47"/>
      <c r="F730" s="47"/>
      <c r="G730" s="47"/>
      <c r="H730" s="47"/>
      <c r="I730" s="47"/>
      <c r="J730" s="47"/>
    </row>
    <row r="731" spans="1:10" ht="14">
      <c r="A731" s="13"/>
      <c r="B731" s="13"/>
      <c r="C731" s="13"/>
      <c r="D731" s="13"/>
      <c r="E731" s="47"/>
      <c r="F731" s="47"/>
      <c r="G731" s="47"/>
      <c r="H731" s="47"/>
      <c r="I731" s="47"/>
      <c r="J731" s="47"/>
    </row>
    <row r="732" spans="1:10" ht="14">
      <c r="A732" s="13"/>
      <c r="B732" s="13"/>
      <c r="C732" s="13"/>
      <c r="D732" s="13"/>
      <c r="E732" s="47"/>
      <c r="F732" s="47"/>
      <c r="G732" s="47"/>
      <c r="H732" s="47"/>
      <c r="I732" s="47"/>
      <c r="J732" s="47"/>
    </row>
    <row r="733" spans="1:10" ht="14">
      <c r="A733" s="13"/>
      <c r="B733" s="13"/>
      <c r="C733" s="13"/>
      <c r="D733" s="13"/>
      <c r="E733" s="47"/>
      <c r="F733" s="47"/>
      <c r="G733" s="47"/>
      <c r="H733" s="47"/>
      <c r="I733" s="47"/>
      <c r="J733" s="47"/>
    </row>
    <row r="734" spans="1:10" ht="14">
      <c r="A734" s="13"/>
      <c r="B734" s="13"/>
      <c r="C734" s="13"/>
      <c r="D734" s="13"/>
      <c r="E734" s="47"/>
      <c r="F734" s="47"/>
      <c r="G734" s="47"/>
      <c r="H734" s="47"/>
      <c r="I734" s="47"/>
      <c r="J734" s="47"/>
    </row>
    <row r="735" spans="1:10" ht="14">
      <c r="A735" s="13"/>
      <c r="B735" s="13"/>
      <c r="C735" s="13"/>
      <c r="D735" s="13"/>
      <c r="E735" s="47"/>
      <c r="F735" s="47"/>
      <c r="G735" s="47"/>
      <c r="H735" s="47"/>
      <c r="I735" s="47"/>
      <c r="J735" s="47"/>
    </row>
    <row r="736" spans="1:10" ht="14">
      <c r="A736" s="13"/>
      <c r="B736" s="13"/>
      <c r="C736" s="13"/>
      <c r="D736" s="13"/>
      <c r="E736" s="47"/>
      <c r="F736" s="47"/>
      <c r="G736" s="47"/>
      <c r="H736" s="47"/>
      <c r="I736" s="47"/>
      <c r="J736" s="47"/>
    </row>
    <row r="737" spans="1:10" ht="14">
      <c r="A737" s="13"/>
      <c r="B737" s="13"/>
      <c r="C737" s="13"/>
      <c r="D737" s="13"/>
      <c r="E737" s="47"/>
      <c r="F737" s="47"/>
      <c r="G737" s="47"/>
      <c r="H737" s="47"/>
      <c r="I737" s="47"/>
      <c r="J737" s="47"/>
    </row>
    <row r="738" spans="1:10" ht="14">
      <c r="A738" s="13"/>
      <c r="B738" s="13"/>
      <c r="C738" s="13"/>
      <c r="D738" s="13"/>
      <c r="E738" s="47"/>
      <c r="F738" s="47"/>
      <c r="G738" s="47"/>
      <c r="H738" s="47"/>
      <c r="I738" s="47"/>
      <c r="J738" s="47"/>
    </row>
    <row r="739" spans="1:10" ht="14">
      <c r="A739" s="13"/>
      <c r="B739" s="13"/>
      <c r="C739" s="13"/>
      <c r="D739" s="13"/>
      <c r="E739" s="47"/>
      <c r="F739" s="47"/>
      <c r="G739" s="47"/>
      <c r="H739" s="47"/>
      <c r="I739" s="47"/>
      <c r="J739" s="47"/>
    </row>
    <row r="740" spans="1:10" ht="14">
      <c r="A740" s="13"/>
      <c r="B740" s="13"/>
      <c r="C740" s="13"/>
      <c r="D740" s="13"/>
      <c r="E740" s="47"/>
      <c r="F740" s="47"/>
      <c r="G740" s="47"/>
      <c r="H740" s="47"/>
      <c r="I740" s="47"/>
      <c r="J740" s="47"/>
    </row>
    <row r="741" spans="1:10" ht="14">
      <c r="A741" s="13"/>
      <c r="B741" s="13"/>
      <c r="C741" s="13"/>
      <c r="D741" s="13"/>
      <c r="E741" s="47"/>
      <c r="F741" s="47"/>
      <c r="G741" s="47"/>
      <c r="H741" s="47"/>
      <c r="I741" s="47"/>
      <c r="J741" s="47"/>
    </row>
    <row r="742" spans="1:10" ht="14">
      <c r="A742" s="13"/>
      <c r="B742" s="13"/>
      <c r="C742" s="13"/>
      <c r="D742" s="13"/>
      <c r="E742" s="47"/>
      <c r="F742" s="47"/>
      <c r="G742" s="47"/>
      <c r="H742" s="47"/>
      <c r="I742" s="47"/>
      <c r="J742" s="47"/>
    </row>
    <row r="743" spans="1:10" ht="14">
      <c r="A743" s="13"/>
      <c r="B743" s="13"/>
      <c r="C743" s="13"/>
      <c r="D743" s="13"/>
      <c r="E743" s="47"/>
      <c r="F743" s="47"/>
      <c r="G743" s="47"/>
      <c r="H743" s="47"/>
      <c r="I743" s="47"/>
      <c r="J743" s="47"/>
    </row>
    <row r="744" spans="1:10" ht="14">
      <c r="A744" s="13"/>
      <c r="B744" s="13"/>
      <c r="C744" s="13"/>
      <c r="D744" s="13"/>
      <c r="E744" s="47"/>
      <c r="F744" s="47"/>
      <c r="G744" s="47"/>
      <c r="H744" s="47"/>
      <c r="I744" s="47"/>
      <c r="J744" s="47"/>
    </row>
    <row r="745" spans="1:10" ht="14">
      <c r="A745" s="13"/>
      <c r="B745" s="13"/>
      <c r="C745" s="13"/>
      <c r="D745" s="13"/>
      <c r="E745" s="47"/>
      <c r="F745" s="47"/>
      <c r="G745" s="47"/>
      <c r="H745" s="47"/>
      <c r="I745" s="47"/>
      <c r="J745" s="47"/>
    </row>
    <row r="746" spans="1:10" ht="14">
      <c r="A746" s="13"/>
      <c r="B746" s="13"/>
      <c r="C746" s="13"/>
      <c r="D746" s="13"/>
      <c r="E746" s="47"/>
      <c r="F746" s="47"/>
      <c r="G746" s="47"/>
      <c r="H746" s="47"/>
      <c r="I746" s="47"/>
      <c r="J746" s="47"/>
    </row>
    <row r="747" spans="1:10" ht="14">
      <c r="A747" s="13"/>
      <c r="B747" s="13"/>
      <c r="C747" s="13"/>
      <c r="D747" s="13"/>
      <c r="E747" s="47"/>
      <c r="F747" s="47"/>
      <c r="G747" s="47"/>
      <c r="H747" s="47"/>
      <c r="I747" s="47"/>
      <c r="J747" s="47"/>
    </row>
    <row r="748" spans="1:10" ht="14">
      <c r="A748" s="13"/>
      <c r="B748" s="13"/>
      <c r="C748" s="13"/>
      <c r="D748" s="13"/>
      <c r="E748" s="47"/>
      <c r="F748" s="47"/>
      <c r="G748" s="47"/>
      <c r="H748" s="47"/>
      <c r="I748" s="47"/>
      <c r="J748" s="47"/>
    </row>
    <row r="749" spans="1:10" ht="14">
      <c r="A749" s="13"/>
      <c r="B749" s="13"/>
      <c r="C749" s="13"/>
      <c r="D749" s="13"/>
      <c r="E749" s="47"/>
      <c r="F749" s="47"/>
      <c r="G749" s="47"/>
      <c r="H749" s="47"/>
      <c r="I749" s="47"/>
      <c r="J749" s="47"/>
    </row>
    <row r="750" spans="1:10" ht="14">
      <c r="A750" s="13"/>
      <c r="B750" s="13"/>
      <c r="C750" s="13"/>
      <c r="D750" s="13"/>
      <c r="E750" s="47"/>
      <c r="F750" s="47"/>
      <c r="G750" s="47"/>
      <c r="H750" s="47"/>
      <c r="I750" s="47"/>
      <c r="J750" s="47"/>
    </row>
    <row r="751" spans="1:10" ht="14">
      <c r="A751" s="13"/>
      <c r="B751" s="13"/>
      <c r="C751" s="13"/>
      <c r="D751" s="13"/>
      <c r="E751" s="47"/>
      <c r="F751" s="47"/>
      <c r="G751" s="47"/>
      <c r="H751" s="47"/>
      <c r="I751" s="47"/>
      <c r="J751" s="47"/>
    </row>
    <row r="752" spans="1:10" ht="14">
      <c r="A752" s="13"/>
      <c r="B752" s="13"/>
      <c r="C752" s="13"/>
      <c r="D752" s="13"/>
      <c r="E752" s="47"/>
      <c r="F752" s="47"/>
      <c r="G752" s="47"/>
      <c r="H752" s="47"/>
      <c r="I752" s="47"/>
      <c r="J752" s="47"/>
    </row>
    <row r="753" spans="1:10" ht="14">
      <c r="A753" s="13"/>
      <c r="B753" s="13"/>
      <c r="C753" s="13"/>
      <c r="D753" s="13"/>
      <c r="E753" s="47"/>
      <c r="F753" s="47"/>
      <c r="G753" s="47"/>
      <c r="H753" s="47"/>
      <c r="I753" s="47"/>
      <c r="J753" s="47"/>
    </row>
    <row r="754" spans="1:10" ht="14">
      <c r="A754" s="13"/>
      <c r="B754" s="13"/>
      <c r="C754" s="13"/>
      <c r="D754" s="13"/>
      <c r="E754" s="47"/>
      <c r="F754" s="47"/>
      <c r="G754" s="47"/>
      <c r="H754" s="47"/>
      <c r="I754" s="47"/>
      <c r="J754" s="47"/>
    </row>
    <row r="755" spans="1:10" ht="14">
      <c r="A755" s="13"/>
      <c r="B755" s="13"/>
      <c r="C755" s="13"/>
      <c r="D755" s="13"/>
      <c r="E755" s="47"/>
      <c r="F755" s="47"/>
      <c r="G755" s="47"/>
      <c r="H755" s="47"/>
      <c r="I755" s="47"/>
      <c r="J755" s="47"/>
    </row>
    <row r="756" spans="1:10" ht="14">
      <c r="A756" s="13"/>
      <c r="B756" s="13"/>
      <c r="C756" s="13"/>
      <c r="D756" s="13"/>
      <c r="E756" s="47"/>
      <c r="F756" s="47"/>
      <c r="G756" s="47"/>
      <c r="H756" s="47"/>
      <c r="I756" s="47"/>
      <c r="J756" s="47"/>
    </row>
    <row r="757" spans="1:10" ht="14">
      <c r="A757" s="13"/>
      <c r="B757" s="13"/>
      <c r="C757" s="13"/>
      <c r="D757" s="13"/>
      <c r="E757" s="47"/>
      <c r="F757" s="47"/>
      <c r="G757" s="47"/>
      <c r="H757" s="47"/>
      <c r="I757" s="47"/>
      <c r="J757" s="47"/>
    </row>
    <row r="758" spans="1:10" ht="14">
      <c r="A758" s="13"/>
      <c r="B758" s="13"/>
      <c r="C758" s="13"/>
      <c r="D758" s="13"/>
      <c r="E758" s="47"/>
      <c r="F758" s="47"/>
      <c r="G758" s="47"/>
      <c r="H758" s="47"/>
      <c r="I758" s="47"/>
      <c r="J758" s="47"/>
    </row>
    <row r="759" spans="1:10" ht="14">
      <c r="A759" s="13"/>
      <c r="B759" s="13"/>
      <c r="C759" s="13"/>
      <c r="D759" s="13"/>
      <c r="E759" s="47"/>
      <c r="F759" s="47"/>
      <c r="G759" s="47"/>
      <c r="H759" s="47"/>
      <c r="I759" s="47"/>
      <c r="J759" s="47"/>
    </row>
    <row r="760" spans="1:10" ht="14">
      <c r="A760" s="13"/>
      <c r="B760" s="13"/>
      <c r="C760" s="13"/>
      <c r="D760" s="13"/>
      <c r="E760" s="47"/>
      <c r="F760" s="47"/>
      <c r="G760" s="47"/>
      <c r="H760" s="47"/>
      <c r="I760" s="47"/>
      <c r="J760" s="47"/>
    </row>
    <row r="761" spans="1:10" ht="14">
      <c r="A761" s="13"/>
      <c r="B761" s="13"/>
      <c r="C761" s="13"/>
      <c r="D761" s="13"/>
      <c r="E761" s="47"/>
      <c r="F761" s="47"/>
      <c r="G761" s="47"/>
      <c r="H761" s="47"/>
      <c r="I761" s="47"/>
      <c r="J761" s="47"/>
    </row>
    <row r="762" spans="1:10" ht="14">
      <c r="A762" s="13"/>
      <c r="B762" s="13"/>
      <c r="C762" s="13"/>
      <c r="D762" s="13"/>
      <c r="E762" s="47"/>
      <c r="F762" s="47"/>
      <c r="G762" s="47"/>
      <c r="H762" s="47"/>
      <c r="I762" s="47"/>
      <c r="J762" s="47"/>
    </row>
    <row r="763" spans="1:10" ht="14">
      <c r="A763" s="13"/>
      <c r="B763" s="13"/>
      <c r="C763" s="13"/>
      <c r="D763" s="13"/>
      <c r="E763" s="47"/>
      <c r="F763" s="47"/>
      <c r="G763" s="47"/>
      <c r="H763" s="47"/>
      <c r="I763" s="47"/>
      <c r="J763" s="47"/>
    </row>
    <row r="764" spans="1:10" ht="14">
      <c r="A764" s="13"/>
      <c r="B764" s="13"/>
      <c r="C764" s="13"/>
      <c r="D764" s="13"/>
      <c r="E764" s="47"/>
      <c r="F764" s="47"/>
      <c r="G764" s="47"/>
      <c r="H764" s="47"/>
      <c r="I764" s="47"/>
      <c r="J764" s="47"/>
    </row>
    <row r="765" spans="1:10" ht="14">
      <c r="A765" s="13"/>
      <c r="B765" s="13"/>
      <c r="C765" s="13"/>
      <c r="D765" s="13"/>
      <c r="E765" s="47"/>
      <c r="F765" s="47"/>
      <c r="G765" s="47"/>
      <c r="H765" s="47"/>
      <c r="I765" s="47"/>
      <c r="J765" s="47"/>
    </row>
    <row r="766" spans="1:10" ht="14">
      <c r="A766" s="13"/>
      <c r="B766" s="13"/>
      <c r="C766" s="13"/>
      <c r="D766" s="13"/>
      <c r="E766" s="47"/>
      <c r="F766" s="47"/>
      <c r="G766" s="47"/>
      <c r="H766" s="47"/>
      <c r="I766" s="47"/>
      <c r="J766" s="47"/>
    </row>
    <row r="767" spans="1:10" ht="14">
      <c r="A767" s="13"/>
      <c r="B767" s="13"/>
      <c r="C767" s="13"/>
      <c r="D767" s="13"/>
      <c r="E767" s="47"/>
      <c r="F767" s="47"/>
      <c r="G767" s="47"/>
      <c r="H767" s="47"/>
      <c r="I767" s="47"/>
      <c r="J767" s="47"/>
    </row>
    <row r="768" spans="1:10" ht="14">
      <c r="A768" s="13"/>
      <c r="B768" s="13"/>
      <c r="C768" s="13"/>
      <c r="D768" s="13"/>
      <c r="E768" s="47"/>
      <c r="F768" s="47"/>
      <c r="G768" s="47"/>
      <c r="H768" s="47"/>
      <c r="I768" s="47"/>
      <c r="J768" s="47"/>
    </row>
    <row r="769" spans="1:10" ht="14">
      <c r="A769" s="13"/>
      <c r="B769" s="13"/>
      <c r="C769" s="13"/>
      <c r="D769" s="13"/>
      <c r="E769" s="47"/>
      <c r="F769" s="47"/>
      <c r="G769" s="47"/>
      <c r="H769" s="47"/>
      <c r="I769" s="47"/>
      <c r="J769" s="47"/>
    </row>
    <row r="770" spans="1:10" ht="14">
      <c r="A770" s="13"/>
      <c r="B770" s="13"/>
      <c r="C770" s="13"/>
      <c r="D770" s="13"/>
      <c r="E770" s="47"/>
      <c r="F770" s="47"/>
      <c r="G770" s="47"/>
      <c r="H770" s="47"/>
      <c r="I770" s="47"/>
      <c r="J770" s="47"/>
    </row>
    <row r="771" spans="1:10" ht="14">
      <c r="A771" s="13"/>
      <c r="B771" s="13"/>
      <c r="C771" s="13"/>
      <c r="D771" s="13"/>
      <c r="E771" s="47"/>
      <c r="F771" s="47"/>
      <c r="G771" s="47"/>
      <c r="H771" s="47"/>
      <c r="I771" s="47"/>
      <c r="J771" s="47"/>
    </row>
    <row r="772" spans="1:10" ht="14">
      <c r="A772" s="13"/>
      <c r="B772" s="13"/>
      <c r="C772" s="13"/>
      <c r="D772" s="13"/>
      <c r="E772" s="47"/>
      <c r="F772" s="47"/>
      <c r="G772" s="47"/>
      <c r="H772" s="47"/>
      <c r="I772" s="47"/>
      <c r="J772" s="47"/>
    </row>
    <row r="773" spans="1:10" ht="14">
      <c r="A773" s="13"/>
      <c r="B773" s="13"/>
      <c r="C773" s="13"/>
      <c r="D773" s="13"/>
      <c r="E773" s="47"/>
      <c r="F773" s="47"/>
      <c r="G773" s="47"/>
      <c r="H773" s="47"/>
      <c r="I773" s="47"/>
      <c r="J773" s="47"/>
    </row>
    <row r="774" spans="1:10" ht="14">
      <c r="A774" s="13"/>
      <c r="B774" s="13"/>
      <c r="C774" s="13"/>
      <c r="D774" s="13"/>
      <c r="E774" s="47"/>
      <c r="F774" s="47"/>
      <c r="G774" s="47"/>
      <c r="H774" s="47"/>
      <c r="I774" s="47"/>
      <c r="J774" s="47"/>
    </row>
    <row r="775" spans="1:10" ht="14">
      <c r="A775" s="13"/>
      <c r="B775" s="13"/>
      <c r="C775" s="13"/>
      <c r="D775" s="13"/>
      <c r="E775" s="47"/>
      <c r="F775" s="47"/>
      <c r="G775" s="47"/>
      <c r="H775" s="47"/>
      <c r="I775" s="47"/>
      <c r="J775" s="47"/>
    </row>
    <row r="776" spans="1:10" ht="14">
      <c r="A776" s="13"/>
      <c r="B776" s="13"/>
      <c r="C776" s="13"/>
      <c r="D776" s="13"/>
      <c r="E776" s="47"/>
      <c r="F776" s="47"/>
      <c r="G776" s="47"/>
      <c r="H776" s="47"/>
      <c r="I776" s="47"/>
      <c r="J776" s="47"/>
    </row>
    <row r="777" spans="1:10" ht="14">
      <c r="A777" s="13"/>
      <c r="B777" s="13"/>
      <c r="C777" s="13"/>
      <c r="D777" s="13"/>
      <c r="E777" s="47"/>
      <c r="F777" s="47"/>
      <c r="G777" s="47"/>
      <c r="H777" s="47"/>
      <c r="I777" s="47"/>
      <c r="J777" s="47"/>
    </row>
    <row r="778" spans="1:10" ht="14">
      <c r="A778" s="13"/>
      <c r="B778" s="13"/>
      <c r="C778" s="13"/>
      <c r="D778" s="13"/>
      <c r="E778" s="47"/>
      <c r="F778" s="47"/>
      <c r="G778" s="47"/>
      <c r="H778" s="47"/>
      <c r="I778" s="47"/>
      <c r="J778" s="47"/>
    </row>
    <row r="779" spans="1:10" ht="14">
      <c r="A779" s="13"/>
      <c r="B779" s="13"/>
      <c r="C779" s="13"/>
      <c r="D779" s="13"/>
      <c r="E779" s="47"/>
      <c r="F779" s="47"/>
      <c r="G779" s="47"/>
      <c r="H779" s="47"/>
      <c r="I779" s="47"/>
      <c r="J779" s="47"/>
    </row>
    <row r="780" spans="1:10" ht="14">
      <c r="A780" s="13"/>
      <c r="B780" s="13"/>
      <c r="C780" s="13"/>
      <c r="D780" s="13"/>
      <c r="E780" s="47"/>
      <c r="F780" s="47"/>
      <c r="G780" s="47"/>
      <c r="H780" s="47"/>
      <c r="I780" s="47"/>
      <c r="J780" s="47"/>
    </row>
    <row r="781" spans="1:10" ht="14">
      <c r="A781" s="13"/>
      <c r="B781" s="13"/>
      <c r="C781" s="13"/>
      <c r="D781" s="13"/>
      <c r="E781" s="47"/>
      <c r="F781" s="47"/>
      <c r="G781" s="47"/>
      <c r="H781" s="47"/>
      <c r="I781" s="47"/>
      <c r="J781" s="47"/>
    </row>
    <row r="782" spans="1:10" ht="14">
      <c r="A782" s="13"/>
      <c r="B782" s="13"/>
      <c r="C782" s="13"/>
      <c r="D782" s="13"/>
      <c r="E782" s="47"/>
      <c r="F782" s="47"/>
      <c r="G782" s="47"/>
      <c r="H782" s="47"/>
      <c r="I782" s="47"/>
      <c r="J782" s="47"/>
    </row>
    <row r="783" spans="1:10" ht="14">
      <c r="A783" s="13"/>
      <c r="B783" s="13"/>
      <c r="C783" s="13"/>
      <c r="D783" s="13"/>
      <c r="E783" s="47"/>
      <c r="F783" s="47"/>
      <c r="G783" s="47"/>
      <c r="H783" s="47"/>
      <c r="I783" s="47"/>
      <c r="J783" s="47"/>
    </row>
    <row r="784" spans="1:10" ht="14">
      <c r="A784" s="13"/>
      <c r="B784" s="13"/>
      <c r="C784" s="13"/>
      <c r="D784" s="13"/>
      <c r="E784" s="47"/>
      <c r="F784" s="47"/>
      <c r="G784" s="47"/>
      <c r="H784" s="47"/>
      <c r="I784" s="47"/>
      <c r="J784" s="47"/>
    </row>
    <row r="785" spans="1:10" ht="14">
      <c r="A785" s="13"/>
      <c r="B785" s="13"/>
      <c r="C785" s="13"/>
      <c r="D785" s="13"/>
      <c r="E785" s="47"/>
      <c r="F785" s="47"/>
      <c r="G785" s="47"/>
      <c r="H785" s="47"/>
      <c r="I785" s="47"/>
      <c r="J785" s="47"/>
    </row>
    <row r="786" spans="1:10" ht="14">
      <c r="A786" s="13"/>
      <c r="B786" s="13"/>
      <c r="C786" s="13"/>
      <c r="D786" s="13"/>
      <c r="E786" s="47"/>
      <c r="F786" s="47"/>
      <c r="G786" s="47"/>
      <c r="H786" s="47"/>
      <c r="I786" s="47"/>
      <c r="J786" s="47"/>
    </row>
    <row r="787" spans="1:10" ht="14">
      <c r="A787" s="13"/>
      <c r="B787" s="13"/>
      <c r="C787" s="13"/>
      <c r="D787" s="13"/>
      <c r="E787" s="47"/>
      <c r="F787" s="47"/>
      <c r="G787" s="47"/>
      <c r="H787" s="47"/>
      <c r="I787" s="47"/>
      <c r="J787" s="47"/>
    </row>
    <row r="788" spans="1:10" ht="14">
      <c r="A788" s="13"/>
      <c r="B788" s="13"/>
      <c r="C788" s="13"/>
      <c r="D788" s="13"/>
      <c r="E788" s="47"/>
      <c r="F788" s="47"/>
      <c r="G788" s="47"/>
      <c r="H788" s="47"/>
      <c r="I788" s="47"/>
      <c r="J788" s="47"/>
    </row>
    <row r="789" spans="1:10" ht="14">
      <c r="A789" s="13"/>
      <c r="B789" s="13"/>
      <c r="C789" s="13"/>
      <c r="D789" s="13"/>
      <c r="E789" s="47"/>
      <c r="F789" s="47"/>
      <c r="G789" s="47"/>
      <c r="H789" s="47"/>
      <c r="I789" s="47"/>
      <c r="J789" s="47"/>
    </row>
    <row r="790" spans="1:10" ht="14">
      <c r="A790" s="13"/>
      <c r="B790" s="13"/>
      <c r="C790" s="13"/>
      <c r="D790" s="13"/>
      <c r="E790" s="47"/>
      <c r="F790" s="47"/>
      <c r="G790" s="47"/>
      <c r="H790" s="47"/>
      <c r="I790" s="47"/>
      <c r="J790" s="47"/>
    </row>
    <row r="791" spans="1:10" ht="14">
      <c r="A791" s="13"/>
      <c r="B791" s="13"/>
      <c r="C791" s="13"/>
      <c r="D791" s="13"/>
      <c r="E791" s="47"/>
      <c r="F791" s="47"/>
      <c r="G791" s="47"/>
      <c r="H791" s="47"/>
      <c r="I791" s="47"/>
      <c r="J791" s="47"/>
    </row>
    <row r="792" spans="1:10" ht="14">
      <c r="A792" s="13"/>
      <c r="B792" s="13"/>
      <c r="C792" s="13"/>
      <c r="D792" s="13"/>
      <c r="E792" s="47"/>
      <c r="F792" s="47"/>
      <c r="G792" s="47"/>
      <c r="H792" s="47"/>
      <c r="I792" s="47"/>
      <c r="J792" s="47"/>
    </row>
    <row r="793" spans="1:10" ht="14">
      <c r="A793" s="13"/>
      <c r="B793" s="13"/>
      <c r="C793" s="13"/>
      <c r="D793" s="13"/>
      <c r="E793" s="47"/>
      <c r="F793" s="47"/>
      <c r="G793" s="47"/>
      <c r="H793" s="47"/>
      <c r="I793" s="47"/>
      <c r="J793" s="47"/>
    </row>
    <row r="794" spans="1:10" ht="14">
      <c r="A794" s="13"/>
      <c r="B794" s="13"/>
      <c r="C794" s="13"/>
      <c r="D794" s="13"/>
      <c r="E794" s="47"/>
      <c r="F794" s="47"/>
      <c r="G794" s="47"/>
      <c r="H794" s="47"/>
      <c r="I794" s="47"/>
      <c r="J794" s="47"/>
    </row>
    <row r="795" spans="1:10" ht="14">
      <c r="A795" s="13"/>
      <c r="B795" s="13"/>
      <c r="C795" s="13"/>
      <c r="D795" s="13"/>
      <c r="E795" s="47"/>
      <c r="F795" s="47"/>
      <c r="G795" s="47"/>
      <c r="H795" s="47"/>
      <c r="I795" s="47"/>
      <c r="J795" s="47"/>
    </row>
    <row r="796" spans="1:10" ht="14">
      <c r="A796" s="13"/>
      <c r="B796" s="13"/>
      <c r="C796" s="13"/>
      <c r="D796" s="13"/>
      <c r="E796" s="47"/>
      <c r="F796" s="47"/>
      <c r="G796" s="47"/>
      <c r="H796" s="47"/>
      <c r="I796" s="47"/>
      <c r="J796" s="47"/>
    </row>
    <row r="797" spans="1:10" ht="14">
      <c r="A797" s="13"/>
      <c r="B797" s="13"/>
      <c r="C797" s="13"/>
      <c r="D797" s="13"/>
      <c r="E797" s="47"/>
      <c r="F797" s="47"/>
      <c r="G797" s="47"/>
      <c r="H797" s="47"/>
      <c r="I797" s="47"/>
      <c r="J797" s="47"/>
    </row>
    <row r="798" spans="1:10" ht="14">
      <c r="A798" s="13"/>
      <c r="B798" s="13"/>
      <c r="C798" s="13"/>
      <c r="D798" s="13"/>
      <c r="E798" s="47"/>
      <c r="F798" s="47"/>
      <c r="G798" s="47"/>
      <c r="H798" s="47"/>
      <c r="I798" s="47"/>
      <c r="J798" s="47"/>
    </row>
    <row r="799" spans="1:10" ht="14">
      <c r="A799" s="13"/>
      <c r="B799" s="13"/>
      <c r="C799" s="13"/>
      <c r="D799" s="13"/>
      <c r="E799" s="47"/>
      <c r="F799" s="47"/>
      <c r="G799" s="47"/>
      <c r="H799" s="47"/>
      <c r="I799" s="47"/>
      <c r="J799" s="47"/>
    </row>
    <row r="800" spans="1:10" ht="14">
      <c r="A800" s="13"/>
      <c r="B800" s="13"/>
      <c r="C800" s="13"/>
      <c r="D800" s="13"/>
      <c r="E800" s="47"/>
      <c r="F800" s="47"/>
      <c r="G800" s="47"/>
      <c r="H800" s="47"/>
      <c r="I800" s="47"/>
      <c r="J800" s="47"/>
    </row>
    <row r="801" spans="1:10" ht="14">
      <c r="A801" s="13"/>
      <c r="B801" s="13"/>
      <c r="C801" s="13"/>
      <c r="D801" s="13"/>
      <c r="E801" s="47"/>
      <c r="F801" s="47"/>
      <c r="G801" s="47"/>
      <c r="H801" s="47"/>
      <c r="I801" s="47"/>
      <c r="J801" s="47"/>
    </row>
    <row r="802" spans="1:10" ht="14">
      <c r="A802" s="13"/>
      <c r="B802" s="13"/>
      <c r="C802" s="13"/>
      <c r="D802" s="13"/>
      <c r="E802" s="47"/>
      <c r="F802" s="47"/>
      <c r="G802" s="47"/>
      <c r="H802" s="47"/>
      <c r="I802" s="47"/>
      <c r="J802" s="47"/>
    </row>
    <row r="803" spans="1:10" ht="14">
      <c r="A803" s="13"/>
      <c r="B803" s="13"/>
      <c r="C803" s="13"/>
      <c r="D803" s="13"/>
      <c r="E803" s="47"/>
      <c r="F803" s="47"/>
      <c r="G803" s="47"/>
      <c r="H803" s="47"/>
      <c r="I803" s="47"/>
      <c r="J803" s="47"/>
    </row>
    <row r="804" spans="1:10" ht="14">
      <c r="A804" s="13"/>
      <c r="B804" s="13"/>
      <c r="C804" s="13"/>
      <c r="D804" s="13"/>
      <c r="E804" s="47"/>
      <c r="F804" s="47"/>
      <c r="G804" s="47"/>
      <c r="H804" s="47"/>
      <c r="I804" s="47"/>
      <c r="J804" s="47"/>
    </row>
    <row r="805" spans="1:10" ht="14">
      <c r="A805" s="13"/>
      <c r="B805" s="13"/>
      <c r="C805" s="13"/>
      <c r="D805" s="13"/>
      <c r="E805" s="47"/>
      <c r="F805" s="47"/>
      <c r="G805" s="47"/>
      <c r="H805" s="47"/>
      <c r="I805" s="47"/>
      <c r="J805" s="47"/>
    </row>
    <row r="806" spans="1:10" ht="14">
      <c r="A806" s="13"/>
      <c r="B806" s="13"/>
      <c r="C806" s="13"/>
      <c r="D806" s="13"/>
      <c r="E806" s="47"/>
      <c r="F806" s="47"/>
      <c r="G806" s="47"/>
      <c r="H806" s="47"/>
      <c r="I806" s="47"/>
      <c r="J806" s="47"/>
    </row>
    <row r="807" spans="1:10" ht="14">
      <c r="A807" s="13"/>
      <c r="B807" s="13"/>
      <c r="C807" s="13"/>
      <c r="D807" s="13"/>
      <c r="E807" s="47"/>
      <c r="F807" s="47"/>
      <c r="G807" s="47"/>
      <c r="H807" s="47"/>
      <c r="I807" s="47"/>
      <c r="J807" s="47"/>
    </row>
    <row r="808" spans="1:10" ht="14">
      <c r="A808" s="13"/>
      <c r="B808" s="13"/>
      <c r="C808" s="13"/>
      <c r="D808" s="13"/>
      <c r="E808" s="47"/>
      <c r="F808" s="47"/>
      <c r="G808" s="47"/>
      <c r="H808" s="47"/>
      <c r="I808" s="47"/>
      <c r="J808" s="47"/>
    </row>
    <row r="809" spans="1:10" ht="14">
      <c r="A809" s="13"/>
      <c r="B809" s="13"/>
      <c r="C809" s="13"/>
      <c r="D809" s="13"/>
      <c r="E809" s="47"/>
      <c r="F809" s="47"/>
      <c r="G809" s="47"/>
      <c r="H809" s="47"/>
      <c r="I809" s="47"/>
      <c r="J809" s="47"/>
    </row>
    <row r="810" spans="1:10" ht="14">
      <c r="A810" s="13"/>
      <c r="B810" s="13"/>
      <c r="C810" s="13"/>
      <c r="D810" s="13"/>
      <c r="E810" s="47"/>
      <c r="F810" s="47"/>
      <c r="G810" s="47"/>
      <c r="H810" s="47"/>
      <c r="I810" s="47"/>
      <c r="J810" s="47"/>
    </row>
    <row r="811" spans="1:10" ht="14">
      <c r="A811" s="13"/>
      <c r="B811" s="13"/>
      <c r="C811" s="13"/>
      <c r="D811" s="13"/>
      <c r="E811" s="47"/>
      <c r="F811" s="47"/>
      <c r="G811" s="47"/>
      <c r="H811" s="47"/>
      <c r="I811" s="47"/>
      <c r="J811" s="47"/>
    </row>
    <row r="812" spans="1:10" ht="14">
      <c r="A812" s="13"/>
      <c r="B812" s="13"/>
      <c r="C812" s="13"/>
      <c r="D812" s="13"/>
      <c r="E812" s="47"/>
      <c r="F812" s="47"/>
      <c r="G812" s="47"/>
      <c r="H812" s="47"/>
      <c r="I812" s="47"/>
      <c r="J812" s="47"/>
    </row>
    <row r="813" spans="1:10" ht="14">
      <c r="A813" s="13"/>
      <c r="B813" s="13"/>
      <c r="C813" s="13"/>
      <c r="D813" s="13"/>
      <c r="E813" s="47"/>
      <c r="F813" s="47"/>
      <c r="G813" s="47"/>
      <c r="H813" s="47"/>
      <c r="I813" s="47"/>
      <c r="J813" s="47"/>
    </row>
    <row r="814" spans="1:10" ht="14">
      <c r="A814" s="13"/>
      <c r="B814" s="13"/>
      <c r="C814" s="13"/>
      <c r="D814" s="13"/>
      <c r="E814" s="47"/>
      <c r="F814" s="47"/>
      <c r="G814" s="47"/>
      <c r="H814" s="47"/>
      <c r="I814" s="47"/>
      <c r="J814" s="47"/>
    </row>
    <row r="815" spans="1:10" ht="14">
      <c r="A815" s="13"/>
      <c r="B815" s="13"/>
      <c r="C815" s="13"/>
      <c r="D815" s="13"/>
      <c r="E815" s="47"/>
      <c r="F815" s="47"/>
      <c r="G815" s="47"/>
      <c r="H815" s="47"/>
      <c r="I815" s="47"/>
      <c r="J815" s="47"/>
    </row>
    <row r="816" spans="1:10" ht="14">
      <c r="A816" s="13"/>
      <c r="B816" s="13"/>
      <c r="C816" s="13"/>
      <c r="D816" s="13"/>
      <c r="E816" s="47"/>
      <c r="F816" s="47"/>
      <c r="G816" s="47"/>
      <c r="H816" s="47"/>
      <c r="I816" s="47"/>
      <c r="J816" s="47"/>
    </row>
    <row r="817" spans="1:10" ht="14">
      <c r="A817" s="13"/>
      <c r="B817" s="13"/>
      <c r="C817" s="13"/>
      <c r="D817" s="13"/>
      <c r="E817" s="47"/>
      <c r="F817" s="47"/>
      <c r="G817" s="47"/>
      <c r="H817" s="47"/>
      <c r="I817" s="47"/>
      <c r="J817" s="47"/>
    </row>
    <row r="818" spans="1:10" ht="14">
      <c r="A818" s="13"/>
      <c r="B818" s="13"/>
      <c r="C818" s="13"/>
      <c r="D818" s="13"/>
      <c r="E818" s="47"/>
      <c r="F818" s="47"/>
      <c r="G818" s="47"/>
      <c r="H818" s="47"/>
      <c r="I818" s="47"/>
      <c r="J818" s="47"/>
    </row>
    <row r="819" spans="1:10" ht="14">
      <c r="A819" s="13"/>
      <c r="B819" s="13"/>
      <c r="C819" s="13"/>
      <c r="D819" s="13"/>
      <c r="E819" s="47"/>
      <c r="F819" s="47"/>
      <c r="G819" s="47"/>
      <c r="H819" s="47"/>
      <c r="I819" s="47"/>
      <c r="J819" s="47"/>
    </row>
    <row r="820" spans="1:10" ht="14">
      <c r="A820" s="13"/>
      <c r="B820" s="13"/>
      <c r="C820" s="13"/>
      <c r="D820" s="13"/>
      <c r="E820" s="47"/>
      <c r="F820" s="47"/>
      <c r="G820" s="47"/>
      <c r="H820" s="47"/>
      <c r="I820" s="47"/>
      <c r="J820" s="47"/>
    </row>
    <row r="821" spans="1:10" ht="14">
      <c r="A821" s="13"/>
      <c r="B821" s="13"/>
      <c r="C821" s="13"/>
      <c r="D821" s="13"/>
      <c r="E821" s="47"/>
      <c r="F821" s="47"/>
      <c r="G821" s="47"/>
      <c r="H821" s="47"/>
      <c r="I821" s="47"/>
      <c r="J821" s="47"/>
    </row>
    <row r="822" spans="1:10" ht="14">
      <c r="A822" s="13"/>
      <c r="B822" s="13"/>
      <c r="C822" s="13"/>
      <c r="D822" s="13"/>
      <c r="E822" s="47"/>
      <c r="F822" s="47"/>
      <c r="G822" s="47"/>
      <c r="H822" s="47"/>
      <c r="I822" s="47"/>
      <c r="J822" s="47"/>
    </row>
    <row r="823" spans="1:10" ht="14">
      <c r="A823" s="13"/>
      <c r="B823" s="13"/>
      <c r="C823" s="13"/>
      <c r="D823" s="13"/>
      <c r="E823" s="47"/>
      <c r="F823" s="47"/>
      <c r="G823" s="47"/>
      <c r="H823" s="47"/>
      <c r="I823" s="47"/>
      <c r="J823" s="47"/>
    </row>
    <row r="824" spans="1:10" ht="14">
      <c r="A824" s="13"/>
      <c r="B824" s="13"/>
      <c r="C824" s="13"/>
      <c r="D824" s="13"/>
      <c r="E824" s="47"/>
      <c r="F824" s="47"/>
      <c r="G824" s="47"/>
      <c r="H824" s="47"/>
      <c r="I824" s="47"/>
      <c r="J824" s="47"/>
    </row>
    <row r="825" spans="1:10" ht="14">
      <c r="A825" s="13"/>
      <c r="B825" s="13"/>
      <c r="C825" s="13"/>
      <c r="D825" s="13"/>
      <c r="E825" s="47"/>
      <c r="F825" s="47"/>
      <c r="G825" s="47"/>
      <c r="H825" s="47"/>
      <c r="I825" s="47"/>
      <c r="J825" s="47"/>
    </row>
    <row r="826" spans="1:10" ht="14">
      <c r="A826" s="13"/>
      <c r="B826" s="13"/>
      <c r="C826" s="13"/>
      <c r="D826" s="13"/>
      <c r="E826" s="47"/>
      <c r="F826" s="47"/>
      <c r="G826" s="47"/>
      <c r="H826" s="47"/>
      <c r="I826" s="47"/>
      <c r="J826" s="47"/>
    </row>
    <row r="827" spans="1:10" ht="14">
      <c r="A827" s="13"/>
      <c r="B827" s="13"/>
      <c r="C827" s="13"/>
      <c r="D827" s="13"/>
      <c r="E827" s="47"/>
      <c r="F827" s="47"/>
      <c r="G827" s="47"/>
      <c r="H827" s="47"/>
      <c r="I827" s="47"/>
      <c r="J827" s="47"/>
    </row>
    <row r="828" spans="1:10" ht="14">
      <c r="A828" s="13"/>
      <c r="B828" s="13"/>
      <c r="C828" s="13"/>
      <c r="D828" s="13"/>
      <c r="E828" s="47"/>
      <c r="F828" s="47"/>
      <c r="G828" s="47"/>
      <c r="H828" s="47"/>
      <c r="I828" s="47"/>
      <c r="J828" s="47"/>
    </row>
    <row r="829" spans="1:10" ht="14">
      <c r="A829" s="13"/>
      <c r="B829" s="13"/>
      <c r="C829" s="13"/>
      <c r="D829" s="13"/>
      <c r="E829" s="47"/>
      <c r="F829" s="47"/>
      <c r="G829" s="47"/>
      <c r="H829" s="47"/>
      <c r="I829" s="47"/>
      <c r="J829" s="47"/>
    </row>
    <row r="830" spans="1:10" ht="14">
      <c r="A830" s="13"/>
      <c r="B830" s="13"/>
      <c r="C830" s="13"/>
      <c r="D830" s="13"/>
      <c r="E830" s="47"/>
      <c r="F830" s="47"/>
      <c r="G830" s="47"/>
      <c r="H830" s="47"/>
      <c r="I830" s="47"/>
      <c r="J830" s="47"/>
    </row>
    <row r="831" spans="1:10" ht="14">
      <c r="A831" s="13"/>
      <c r="B831" s="13"/>
      <c r="C831" s="13"/>
      <c r="D831" s="13"/>
      <c r="E831" s="47"/>
      <c r="F831" s="47"/>
      <c r="G831" s="47"/>
      <c r="H831" s="47"/>
      <c r="I831" s="47"/>
      <c r="J831" s="47"/>
    </row>
    <row r="832" spans="1:10" ht="14">
      <c r="A832" s="13"/>
      <c r="B832" s="13"/>
      <c r="C832" s="13"/>
      <c r="D832" s="13"/>
      <c r="E832" s="47"/>
      <c r="F832" s="47"/>
      <c r="G832" s="47"/>
      <c r="H832" s="47"/>
      <c r="I832" s="47"/>
      <c r="J832" s="47"/>
    </row>
    <row r="833" spans="1:10" ht="14">
      <c r="A833" s="13"/>
      <c r="B833" s="13"/>
      <c r="C833" s="13"/>
      <c r="D833" s="13"/>
      <c r="E833" s="47"/>
      <c r="F833" s="47"/>
      <c r="G833" s="47"/>
      <c r="H833" s="47"/>
      <c r="I833" s="47"/>
      <c r="J833" s="47"/>
    </row>
    <row r="834" spans="1:10" ht="14">
      <c r="A834" s="13"/>
      <c r="B834" s="13"/>
      <c r="C834" s="13"/>
      <c r="D834" s="13"/>
      <c r="E834" s="47"/>
      <c r="F834" s="47"/>
      <c r="G834" s="47"/>
      <c r="H834" s="47"/>
      <c r="I834" s="47"/>
      <c r="J834" s="47"/>
    </row>
    <row r="835" spans="1:10" ht="14">
      <c r="A835" s="13"/>
      <c r="B835" s="13"/>
      <c r="C835" s="13"/>
      <c r="D835" s="13"/>
      <c r="E835" s="47"/>
      <c r="F835" s="47"/>
      <c r="G835" s="47"/>
      <c r="H835" s="47"/>
      <c r="I835" s="47"/>
      <c r="J835" s="47"/>
    </row>
    <row r="836" spans="1:10" ht="14">
      <c r="A836" s="13"/>
      <c r="B836" s="13"/>
      <c r="C836" s="13"/>
      <c r="D836" s="13"/>
      <c r="E836" s="47"/>
      <c r="F836" s="47"/>
      <c r="G836" s="47"/>
      <c r="H836" s="47"/>
      <c r="I836" s="47"/>
      <c r="J836" s="47"/>
    </row>
    <row r="837" spans="1:10" ht="14">
      <c r="A837" s="13"/>
      <c r="B837" s="13"/>
      <c r="C837" s="13"/>
      <c r="D837" s="13"/>
      <c r="E837" s="47"/>
      <c r="F837" s="47"/>
      <c r="G837" s="47"/>
      <c r="H837" s="47"/>
      <c r="I837" s="47"/>
      <c r="J837" s="47"/>
    </row>
    <row r="838" spans="1:10" ht="14">
      <c r="A838" s="13"/>
      <c r="B838" s="13"/>
      <c r="C838" s="13"/>
      <c r="D838" s="13"/>
      <c r="E838" s="47"/>
      <c r="F838" s="47"/>
      <c r="G838" s="47"/>
      <c r="H838" s="47"/>
      <c r="I838" s="47"/>
      <c r="J838" s="47"/>
    </row>
    <row r="839" spans="1:10" ht="14">
      <c r="A839" s="13"/>
      <c r="B839" s="13"/>
      <c r="C839" s="13"/>
      <c r="D839" s="13"/>
      <c r="E839" s="47"/>
      <c r="F839" s="47"/>
      <c r="G839" s="47"/>
      <c r="H839" s="47"/>
      <c r="I839" s="47"/>
      <c r="J839" s="47"/>
    </row>
    <row r="840" spans="1:10" ht="14">
      <c r="A840" s="13"/>
      <c r="B840" s="13"/>
      <c r="C840" s="13"/>
      <c r="D840" s="13"/>
      <c r="E840" s="47"/>
      <c r="F840" s="47"/>
      <c r="G840" s="47"/>
      <c r="H840" s="47"/>
      <c r="I840" s="47"/>
      <c r="J840" s="47"/>
    </row>
    <row r="841" spans="1:10" ht="14">
      <c r="A841" s="13"/>
      <c r="B841" s="13"/>
      <c r="C841" s="13"/>
      <c r="D841" s="13"/>
      <c r="E841" s="47"/>
      <c r="F841" s="47"/>
      <c r="G841" s="47"/>
      <c r="H841" s="47"/>
      <c r="I841" s="47"/>
      <c r="J841" s="47"/>
    </row>
    <row r="842" spans="1:10" ht="14">
      <c r="A842" s="13"/>
      <c r="B842" s="13"/>
      <c r="C842" s="13"/>
      <c r="D842" s="13"/>
      <c r="E842" s="47"/>
      <c r="F842" s="47"/>
      <c r="G842" s="47"/>
      <c r="H842" s="47"/>
      <c r="I842" s="47"/>
      <c r="J842" s="47"/>
    </row>
    <row r="843" spans="1:10" ht="14">
      <c r="A843" s="13"/>
      <c r="B843" s="13"/>
      <c r="C843" s="13"/>
      <c r="D843" s="13"/>
      <c r="E843" s="47"/>
      <c r="F843" s="47"/>
      <c r="G843" s="47"/>
      <c r="H843" s="47"/>
      <c r="I843" s="47"/>
      <c r="J843" s="47"/>
    </row>
    <row r="844" spans="1:10" ht="14">
      <c r="A844" s="13"/>
      <c r="B844" s="13"/>
      <c r="C844" s="13"/>
      <c r="D844" s="13"/>
      <c r="E844" s="47"/>
      <c r="F844" s="47"/>
      <c r="G844" s="47"/>
      <c r="H844" s="47"/>
      <c r="I844" s="47"/>
      <c r="J844" s="47"/>
    </row>
    <row r="845" spans="1:10" ht="14">
      <c r="A845" s="13"/>
      <c r="B845" s="13"/>
      <c r="C845" s="13"/>
      <c r="D845" s="13"/>
      <c r="E845" s="47"/>
      <c r="F845" s="47"/>
      <c r="G845" s="47"/>
      <c r="H845" s="47"/>
      <c r="I845" s="47"/>
      <c r="J845" s="47"/>
    </row>
    <row r="846" spans="1:10" ht="14">
      <c r="A846" s="13"/>
      <c r="B846" s="13"/>
      <c r="C846" s="13"/>
      <c r="D846" s="13"/>
      <c r="E846" s="47"/>
      <c r="F846" s="47"/>
      <c r="G846" s="47"/>
      <c r="H846" s="47"/>
      <c r="I846" s="47"/>
      <c r="J846" s="47"/>
    </row>
    <row r="847" spans="1:10" ht="14">
      <c r="A847" s="13"/>
      <c r="B847" s="13"/>
      <c r="C847" s="13"/>
      <c r="D847" s="13"/>
      <c r="E847" s="47"/>
      <c r="F847" s="47"/>
      <c r="G847" s="47"/>
      <c r="H847" s="47"/>
      <c r="I847" s="47"/>
      <c r="J847" s="47"/>
    </row>
    <row r="848" spans="1:10" ht="14">
      <c r="A848" s="13"/>
      <c r="B848" s="13"/>
      <c r="C848" s="13"/>
      <c r="D848" s="13"/>
      <c r="E848" s="47"/>
      <c r="F848" s="47"/>
      <c r="G848" s="47"/>
      <c r="H848" s="47"/>
      <c r="I848" s="47"/>
      <c r="J848" s="47"/>
    </row>
    <row r="849" spans="1:10" ht="14">
      <c r="A849" s="13"/>
      <c r="B849" s="13"/>
      <c r="C849" s="13"/>
      <c r="D849" s="13"/>
      <c r="E849" s="47"/>
      <c r="F849" s="47"/>
      <c r="G849" s="47"/>
      <c r="H849" s="47"/>
      <c r="I849" s="47"/>
      <c r="J849" s="47"/>
    </row>
    <row r="850" spans="1:10" ht="14">
      <c r="A850" s="13"/>
      <c r="B850" s="13"/>
      <c r="C850" s="13"/>
      <c r="D850" s="13"/>
      <c r="E850" s="47"/>
      <c r="F850" s="47"/>
      <c r="G850" s="47"/>
      <c r="H850" s="47"/>
      <c r="I850" s="47"/>
      <c r="J850" s="47"/>
    </row>
    <row r="851" spans="1:10" ht="14">
      <c r="A851" s="13"/>
      <c r="B851" s="13"/>
      <c r="C851" s="13"/>
      <c r="D851" s="13"/>
      <c r="E851" s="47"/>
      <c r="F851" s="47"/>
      <c r="G851" s="47"/>
      <c r="H851" s="47"/>
      <c r="I851" s="47"/>
      <c r="J851" s="47"/>
    </row>
    <row r="852" spans="1:10" ht="14">
      <c r="A852" s="13"/>
      <c r="B852" s="13"/>
      <c r="C852" s="13"/>
      <c r="D852" s="13"/>
      <c r="E852" s="47"/>
      <c r="F852" s="47"/>
      <c r="G852" s="47"/>
      <c r="H852" s="47"/>
      <c r="I852" s="47"/>
      <c r="J852" s="47"/>
    </row>
    <row r="853" spans="1:10" ht="14">
      <c r="A853" s="13"/>
      <c r="B853" s="13"/>
      <c r="C853" s="13"/>
      <c r="D853" s="13"/>
      <c r="E853" s="47"/>
      <c r="F853" s="47"/>
      <c r="G853" s="47"/>
      <c r="H853" s="47"/>
      <c r="I853" s="47"/>
      <c r="J853" s="47"/>
    </row>
    <row r="854" spans="1:10" ht="14">
      <c r="A854" s="13"/>
      <c r="B854" s="13"/>
      <c r="C854" s="13"/>
      <c r="D854" s="13"/>
      <c r="E854" s="47"/>
      <c r="F854" s="47"/>
      <c r="G854" s="47"/>
      <c r="H854" s="47"/>
      <c r="I854" s="47"/>
      <c r="J854" s="47"/>
    </row>
    <row r="855" spans="1:10" ht="14">
      <c r="A855" s="13"/>
      <c r="B855" s="13"/>
      <c r="C855" s="13"/>
      <c r="D855" s="13"/>
      <c r="E855" s="47"/>
      <c r="F855" s="47"/>
      <c r="G855" s="47"/>
      <c r="H855" s="47"/>
      <c r="I855" s="47"/>
      <c r="J855" s="47"/>
    </row>
    <row r="856" spans="1:10" ht="14">
      <c r="A856" s="13"/>
      <c r="B856" s="13"/>
      <c r="C856" s="13"/>
      <c r="D856" s="13"/>
      <c r="E856" s="47"/>
      <c r="F856" s="47"/>
      <c r="G856" s="47"/>
      <c r="H856" s="47"/>
      <c r="I856" s="47"/>
      <c r="J856" s="47"/>
    </row>
    <row r="857" spans="1:10" ht="14">
      <c r="A857" s="13"/>
      <c r="B857" s="13"/>
      <c r="C857" s="13"/>
      <c r="D857" s="13"/>
      <c r="E857" s="47"/>
      <c r="F857" s="47"/>
      <c r="G857" s="47"/>
      <c r="H857" s="47"/>
      <c r="I857" s="47"/>
      <c r="J857" s="47"/>
    </row>
    <row r="858" spans="1:10" ht="14">
      <c r="A858" s="13"/>
      <c r="B858" s="13"/>
      <c r="C858" s="13"/>
      <c r="D858" s="13"/>
      <c r="E858" s="47"/>
      <c r="F858" s="47"/>
      <c r="G858" s="47"/>
      <c r="H858" s="47"/>
      <c r="I858" s="47"/>
      <c r="J858" s="47"/>
    </row>
    <row r="859" spans="1:10" ht="14">
      <c r="A859" s="13"/>
      <c r="B859" s="13"/>
      <c r="C859" s="13"/>
      <c r="D859" s="13"/>
      <c r="E859" s="47"/>
      <c r="F859" s="47"/>
      <c r="G859" s="47"/>
      <c r="H859" s="47"/>
      <c r="I859" s="47"/>
      <c r="J859" s="47"/>
    </row>
    <row r="860" spans="1:10" ht="14">
      <c r="A860" s="13"/>
      <c r="B860" s="13"/>
      <c r="C860" s="13"/>
      <c r="D860" s="13"/>
      <c r="E860" s="47"/>
      <c r="F860" s="47"/>
      <c r="G860" s="47"/>
      <c r="H860" s="47"/>
      <c r="I860" s="47"/>
      <c r="J860" s="47"/>
    </row>
    <row r="861" spans="1:10" ht="14">
      <c r="A861" s="13"/>
      <c r="B861" s="13"/>
      <c r="C861" s="13"/>
      <c r="D861" s="13"/>
      <c r="E861" s="47"/>
      <c r="F861" s="47"/>
      <c r="G861" s="47"/>
      <c r="H861" s="47"/>
      <c r="I861" s="47"/>
      <c r="J861" s="47"/>
    </row>
    <row r="862" spans="1:10" ht="14">
      <c r="A862" s="13"/>
      <c r="B862" s="13"/>
      <c r="C862" s="13"/>
      <c r="D862" s="13"/>
      <c r="E862" s="47"/>
      <c r="F862" s="47"/>
      <c r="G862" s="47"/>
      <c r="H862" s="47"/>
      <c r="I862" s="47"/>
      <c r="J862" s="47"/>
    </row>
    <row r="863" spans="1:10" ht="14">
      <c r="A863" s="13"/>
      <c r="B863" s="13"/>
      <c r="C863" s="13"/>
      <c r="D863" s="13"/>
      <c r="E863" s="47"/>
      <c r="F863" s="47"/>
      <c r="G863" s="47"/>
      <c r="H863" s="47"/>
      <c r="I863" s="47"/>
      <c r="J863" s="47"/>
    </row>
    <row r="864" spans="1:10" ht="14">
      <c r="A864" s="13"/>
      <c r="B864" s="13"/>
      <c r="C864" s="13"/>
      <c r="D864" s="13"/>
      <c r="E864" s="47"/>
      <c r="F864" s="47"/>
      <c r="G864" s="47"/>
      <c r="H864" s="47"/>
      <c r="I864" s="47"/>
      <c r="J864" s="47"/>
    </row>
    <row r="865" spans="1:10" ht="14">
      <c r="A865" s="13"/>
      <c r="B865" s="13"/>
      <c r="C865" s="13"/>
      <c r="D865" s="13"/>
      <c r="E865" s="47"/>
      <c r="F865" s="47"/>
      <c r="G865" s="47"/>
      <c r="H865" s="47"/>
      <c r="I865" s="47"/>
      <c r="J865" s="47"/>
    </row>
    <row r="866" spans="1:10" ht="14">
      <c r="A866" s="13"/>
      <c r="B866" s="13"/>
      <c r="C866" s="13"/>
      <c r="D866" s="13"/>
      <c r="E866" s="47"/>
      <c r="F866" s="47"/>
      <c r="G866" s="47"/>
      <c r="H866" s="47"/>
      <c r="I866" s="47"/>
      <c r="J866" s="47"/>
    </row>
    <row r="867" spans="1:10" ht="14">
      <c r="A867" s="13"/>
      <c r="B867" s="13"/>
      <c r="C867" s="13"/>
      <c r="D867" s="13"/>
      <c r="E867" s="47"/>
      <c r="F867" s="47"/>
      <c r="G867" s="47"/>
      <c r="H867" s="47"/>
      <c r="I867" s="47"/>
      <c r="J867" s="47"/>
    </row>
    <row r="868" spans="1:10" ht="14">
      <c r="A868" s="13"/>
      <c r="B868" s="13"/>
      <c r="C868" s="13"/>
      <c r="D868" s="13"/>
      <c r="E868" s="47"/>
      <c r="F868" s="47"/>
      <c r="G868" s="47"/>
      <c r="H868" s="47"/>
      <c r="I868" s="47"/>
      <c r="J868" s="47"/>
    </row>
    <row r="869" spans="1:10" ht="14">
      <c r="A869" s="13"/>
      <c r="B869" s="13"/>
      <c r="C869" s="13"/>
      <c r="D869" s="13"/>
      <c r="E869" s="47"/>
      <c r="F869" s="47"/>
      <c r="G869" s="47"/>
      <c r="H869" s="47"/>
      <c r="I869" s="47"/>
      <c r="J869" s="47"/>
    </row>
    <row r="870" spans="1:10" ht="14">
      <c r="A870" s="13"/>
      <c r="B870" s="13"/>
      <c r="C870" s="13"/>
      <c r="D870" s="13"/>
      <c r="E870" s="47"/>
      <c r="F870" s="47"/>
      <c r="G870" s="47"/>
      <c r="H870" s="47"/>
      <c r="I870" s="47"/>
      <c r="J870" s="47"/>
    </row>
    <row r="871" spans="1:10" ht="14">
      <c r="A871" s="13"/>
      <c r="B871" s="13"/>
      <c r="C871" s="13"/>
      <c r="D871" s="13"/>
      <c r="E871" s="47"/>
      <c r="F871" s="47"/>
      <c r="G871" s="47"/>
      <c r="H871" s="47"/>
      <c r="I871" s="47"/>
      <c r="J871" s="47"/>
    </row>
    <row r="872" spans="1:10" ht="14">
      <c r="A872" s="13"/>
      <c r="B872" s="13"/>
      <c r="C872" s="13"/>
      <c r="D872" s="13"/>
      <c r="E872" s="47"/>
      <c r="F872" s="47"/>
      <c r="G872" s="47"/>
      <c r="H872" s="47"/>
      <c r="I872" s="47"/>
      <c r="J872" s="47"/>
    </row>
    <row r="873" spans="1:10" ht="14">
      <c r="A873" s="13"/>
      <c r="B873" s="13"/>
      <c r="C873" s="13"/>
      <c r="D873" s="13"/>
      <c r="E873" s="47"/>
      <c r="F873" s="47"/>
      <c r="G873" s="47"/>
      <c r="H873" s="47"/>
      <c r="I873" s="47"/>
      <c r="J873" s="47"/>
    </row>
    <row r="874" spans="1:10" ht="14">
      <c r="A874" s="13"/>
      <c r="B874" s="13"/>
      <c r="C874" s="13"/>
      <c r="D874" s="13"/>
      <c r="E874" s="47"/>
      <c r="F874" s="47"/>
      <c r="G874" s="47"/>
      <c r="H874" s="47"/>
      <c r="I874" s="47"/>
      <c r="J874" s="47"/>
    </row>
    <row r="875" spans="1:10" ht="14">
      <c r="A875" s="13"/>
      <c r="B875" s="13"/>
      <c r="C875" s="13"/>
      <c r="D875" s="13"/>
      <c r="E875" s="47"/>
      <c r="F875" s="47"/>
      <c r="G875" s="47"/>
      <c r="H875" s="47"/>
      <c r="I875" s="47"/>
      <c r="J875" s="47"/>
    </row>
    <row r="876" spans="1:10" ht="14">
      <c r="A876" s="13"/>
      <c r="B876" s="13"/>
      <c r="C876" s="13"/>
      <c r="D876" s="13"/>
      <c r="E876" s="47"/>
      <c r="F876" s="47"/>
      <c r="G876" s="47"/>
      <c r="H876" s="47"/>
      <c r="I876" s="47"/>
      <c r="J876" s="47"/>
    </row>
    <row r="877" spans="1:10" ht="14">
      <c r="A877" s="13"/>
      <c r="B877" s="13"/>
      <c r="C877" s="13"/>
      <c r="D877" s="13"/>
      <c r="E877" s="47"/>
      <c r="F877" s="47"/>
      <c r="G877" s="47"/>
      <c r="H877" s="47"/>
      <c r="I877" s="47"/>
      <c r="J877" s="47"/>
    </row>
    <row r="878" spans="1:10" ht="14">
      <c r="A878" s="13"/>
      <c r="B878" s="13"/>
      <c r="C878" s="13"/>
      <c r="D878" s="13"/>
      <c r="E878" s="47"/>
      <c r="F878" s="47"/>
      <c r="G878" s="47"/>
      <c r="H878" s="47"/>
      <c r="I878" s="47"/>
      <c r="J878" s="47"/>
    </row>
    <row r="879" spans="1:10" ht="14">
      <c r="A879" s="13"/>
      <c r="B879" s="13"/>
      <c r="C879" s="13"/>
      <c r="D879" s="13"/>
      <c r="E879" s="47"/>
      <c r="F879" s="47"/>
      <c r="G879" s="47"/>
      <c r="H879" s="47"/>
      <c r="I879" s="47"/>
      <c r="J879" s="47"/>
    </row>
    <row r="880" spans="1:10" ht="14">
      <c r="A880" s="13"/>
      <c r="B880" s="13"/>
      <c r="C880" s="13"/>
      <c r="D880" s="13"/>
      <c r="E880" s="47"/>
      <c r="F880" s="47"/>
      <c r="G880" s="47"/>
      <c r="H880" s="47"/>
      <c r="I880" s="47"/>
      <c r="J880" s="47"/>
    </row>
    <row r="881" spans="1:10" ht="14">
      <c r="A881" s="13"/>
      <c r="B881" s="13"/>
      <c r="C881" s="13"/>
      <c r="D881" s="13"/>
      <c r="E881" s="47"/>
      <c r="F881" s="47"/>
      <c r="G881" s="47"/>
      <c r="H881" s="47"/>
      <c r="I881" s="47"/>
      <c r="J881" s="47"/>
    </row>
    <row r="882" spans="1:10" ht="14">
      <c r="A882" s="13"/>
      <c r="B882" s="13"/>
      <c r="C882" s="13"/>
      <c r="D882" s="13"/>
      <c r="E882" s="47"/>
      <c r="F882" s="47"/>
      <c r="G882" s="47"/>
      <c r="H882" s="47"/>
      <c r="I882" s="47"/>
      <c r="J882" s="47"/>
    </row>
    <row r="883" spans="1:10" ht="14">
      <c r="A883" s="13"/>
      <c r="B883" s="13"/>
      <c r="C883" s="13"/>
      <c r="D883" s="13"/>
      <c r="E883" s="47"/>
      <c r="F883" s="47"/>
      <c r="G883" s="47"/>
      <c r="H883" s="47"/>
      <c r="I883" s="47"/>
      <c r="J883" s="47"/>
    </row>
    <row r="884" spans="1:10" ht="14">
      <c r="A884" s="13"/>
      <c r="B884" s="13"/>
      <c r="C884" s="13"/>
      <c r="D884" s="13"/>
      <c r="E884" s="47"/>
      <c r="F884" s="47"/>
      <c r="G884" s="47"/>
      <c r="H884" s="47"/>
      <c r="I884" s="47"/>
      <c r="J884" s="47"/>
    </row>
    <row r="885" spans="1:10" ht="14">
      <c r="A885" s="13"/>
      <c r="B885" s="13"/>
      <c r="C885" s="13"/>
      <c r="D885" s="13"/>
      <c r="E885" s="47"/>
      <c r="F885" s="47"/>
      <c r="G885" s="47"/>
      <c r="H885" s="47"/>
      <c r="I885" s="47"/>
      <c r="J885" s="47"/>
    </row>
    <row r="886" spans="1:10" ht="14">
      <c r="A886" s="13"/>
      <c r="B886" s="13"/>
      <c r="C886" s="13"/>
      <c r="D886" s="13"/>
      <c r="E886" s="47"/>
      <c r="F886" s="47"/>
      <c r="G886" s="47"/>
      <c r="H886" s="47"/>
      <c r="I886" s="47"/>
      <c r="J886" s="47"/>
    </row>
    <row r="887" spans="1:10" ht="14">
      <c r="A887" s="13"/>
      <c r="B887" s="13"/>
      <c r="C887" s="13"/>
      <c r="D887" s="13"/>
      <c r="E887" s="47"/>
      <c r="F887" s="47"/>
      <c r="G887" s="47"/>
      <c r="H887" s="47"/>
      <c r="I887" s="47"/>
      <c r="J887" s="47"/>
    </row>
    <row r="888" spans="1:10" ht="14">
      <c r="A888" s="13"/>
      <c r="B888" s="13"/>
      <c r="C888" s="13"/>
      <c r="D888" s="13"/>
      <c r="E888" s="47"/>
      <c r="F888" s="47"/>
      <c r="G888" s="47"/>
      <c r="H888" s="47"/>
      <c r="I888" s="47"/>
      <c r="J888" s="47"/>
    </row>
    <row r="889" spans="1:10" ht="14">
      <c r="A889" s="13"/>
      <c r="B889" s="13"/>
      <c r="C889" s="13"/>
      <c r="D889" s="13"/>
      <c r="E889" s="47"/>
      <c r="F889" s="47"/>
      <c r="G889" s="47"/>
      <c r="H889" s="47"/>
      <c r="I889" s="47"/>
      <c r="J889" s="47"/>
    </row>
    <row r="890" spans="1:10" ht="14">
      <c r="A890" s="13"/>
      <c r="B890" s="13"/>
      <c r="C890" s="13"/>
      <c r="D890" s="13"/>
      <c r="E890" s="47"/>
      <c r="F890" s="47"/>
      <c r="G890" s="47"/>
      <c r="H890" s="47"/>
      <c r="I890" s="47"/>
      <c r="J890" s="47"/>
    </row>
    <row r="891" spans="1:10" ht="14">
      <c r="A891" s="13"/>
      <c r="B891" s="13"/>
      <c r="C891" s="13"/>
      <c r="D891" s="13"/>
      <c r="E891" s="47"/>
      <c r="F891" s="47"/>
      <c r="G891" s="47"/>
      <c r="H891" s="47"/>
      <c r="I891" s="47"/>
      <c r="J891" s="47"/>
    </row>
    <row r="892" spans="1:10" ht="14">
      <c r="A892" s="13"/>
      <c r="B892" s="13"/>
      <c r="C892" s="13"/>
      <c r="D892" s="13"/>
      <c r="E892" s="47"/>
      <c r="F892" s="47"/>
      <c r="G892" s="47"/>
      <c r="H892" s="47"/>
      <c r="I892" s="47"/>
      <c r="J892" s="47"/>
    </row>
    <row r="893" spans="1:10" ht="14">
      <c r="A893" s="13"/>
      <c r="B893" s="13"/>
      <c r="C893" s="13"/>
      <c r="D893" s="13"/>
      <c r="E893" s="47"/>
      <c r="F893" s="47"/>
      <c r="G893" s="47"/>
      <c r="H893" s="47"/>
      <c r="I893" s="47"/>
      <c r="J893" s="47"/>
    </row>
    <row r="894" spans="1:10" ht="14">
      <c r="A894" s="13"/>
      <c r="B894" s="13"/>
      <c r="C894" s="13"/>
      <c r="D894" s="13"/>
      <c r="E894" s="47"/>
      <c r="F894" s="47"/>
      <c r="G894" s="47"/>
      <c r="H894" s="47"/>
      <c r="I894" s="47"/>
      <c r="J894" s="47"/>
    </row>
    <row r="895" spans="1:10" ht="14">
      <c r="A895" s="13"/>
      <c r="B895" s="13"/>
      <c r="C895" s="13"/>
      <c r="D895" s="13"/>
      <c r="E895" s="47"/>
      <c r="F895" s="47"/>
      <c r="G895" s="47"/>
      <c r="H895" s="47"/>
      <c r="I895" s="47"/>
      <c r="J895" s="47"/>
    </row>
    <row r="896" spans="1:10" ht="14">
      <c r="A896" s="13"/>
      <c r="B896" s="13"/>
      <c r="C896" s="13"/>
      <c r="D896" s="13"/>
      <c r="E896" s="47"/>
      <c r="F896" s="47"/>
      <c r="G896" s="47"/>
      <c r="H896" s="47"/>
      <c r="I896" s="47"/>
      <c r="J896" s="47"/>
    </row>
    <row r="897" spans="1:10" ht="14">
      <c r="A897" s="13"/>
      <c r="B897" s="13"/>
      <c r="C897" s="13"/>
      <c r="D897" s="13"/>
      <c r="E897" s="47"/>
      <c r="F897" s="47"/>
      <c r="G897" s="47"/>
      <c r="H897" s="47"/>
      <c r="I897" s="47"/>
      <c r="J897" s="47"/>
    </row>
    <row r="898" spans="1:10" ht="14">
      <c r="A898" s="13"/>
      <c r="B898" s="13"/>
      <c r="C898" s="13"/>
      <c r="D898" s="13"/>
      <c r="E898" s="47"/>
      <c r="F898" s="47"/>
      <c r="G898" s="47"/>
      <c r="H898" s="47"/>
      <c r="I898" s="47"/>
      <c r="J898" s="47"/>
    </row>
    <row r="899" spans="1:10" ht="14">
      <c r="A899" s="13"/>
      <c r="B899" s="13"/>
      <c r="C899" s="13"/>
      <c r="D899" s="13"/>
      <c r="E899" s="47"/>
      <c r="F899" s="47"/>
      <c r="G899" s="47"/>
      <c r="H899" s="47"/>
      <c r="I899" s="47"/>
      <c r="J899" s="47"/>
    </row>
    <row r="900" spans="1:10" ht="14">
      <c r="A900" s="13"/>
      <c r="B900" s="13"/>
      <c r="C900" s="13"/>
      <c r="D900" s="13"/>
      <c r="E900" s="47"/>
      <c r="F900" s="47"/>
      <c r="G900" s="47"/>
      <c r="H900" s="47"/>
      <c r="I900" s="47"/>
      <c r="J900" s="47"/>
    </row>
    <row r="901" spans="1:10" ht="14">
      <c r="A901" s="13"/>
      <c r="B901" s="13"/>
      <c r="C901" s="13"/>
      <c r="D901" s="13"/>
      <c r="E901" s="47"/>
      <c r="F901" s="47"/>
      <c r="G901" s="47"/>
      <c r="H901" s="47"/>
      <c r="I901" s="47"/>
      <c r="J901" s="47"/>
    </row>
    <row r="902" spans="1:10" ht="14">
      <c r="A902" s="13"/>
      <c r="B902" s="13"/>
      <c r="C902" s="13"/>
      <c r="D902" s="13"/>
      <c r="E902" s="47"/>
      <c r="F902" s="47"/>
      <c r="G902" s="47"/>
      <c r="H902" s="47"/>
      <c r="I902" s="47"/>
      <c r="J902" s="47"/>
    </row>
    <row r="903" spans="1:10" ht="14">
      <c r="A903" s="13"/>
      <c r="B903" s="13"/>
      <c r="C903" s="13"/>
      <c r="D903" s="13"/>
      <c r="E903" s="47"/>
      <c r="F903" s="47"/>
      <c r="G903" s="47"/>
      <c r="H903" s="47"/>
      <c r="I903" s="47"/>
      <c r="J903" s="47"/>
    </row>
    <row r="904" spans="1:10" ht="14">
      <c r="A904" s="13"/>
      <c r="B904" s="13"/>
      <c r="C904" s="13"/>
      <c r="D904" s="13"/>
      <c r="E904" s="47"/>
      <c r="F904" s="47"/>
      <c r="G904" s="47"/>
      <c r="H904" s="47"/>
      <c r="I904" s="47"/>
      <c r="J904" s="47"/>
    </row>
    <row r="905" spans="1:10" ht="14">
      <c r="A905" s="13"/>
      <c r="B905" s="13"/>
      <c r="C905" s="13"/>
      <c r="D905" s="13"/>
      <c r="E905" s="47"/>
      <c r="F905" s="47"/>
      <c r="G905" s="47"/>
      <c r="H905" s="47"/>
      <c r="I905" s="47"/>
      <c r="J905" s="47"/>
    </row>
    <row r="906" spans="1:10" ht="14">
      <c r="A906" s="13"/>
      <c r="B906" s="13"/>
      <c r="C906" s="13"/>
      <c r="D906" s="13"/>
      <c r="E906" s="47"/>
      <c r="F906" s="47"/>
      <c r="G906" s="47"/>
      <c r="H906" s="47"/>
      <c r="I906" s="47"/>
      <c r="J906" s="47"/>
    </row>
    <row r="907" spans="1:10" ht="14">
      <c r="A907" s="13"/>
      <c r="B907" s="13"/>
      <c r="C907" s="13"/>
      <c r="D907" s="13"/>
      <c r="E907" s="47"/>
      <c r="F907" s="47"/>
      <c r="G907" s="47"/>
      <c r="H907" s="47"/>
      <c r="I907" s="47"/>
      <c r="J907" s="47"/>
    </row>
    <row r="908" spans="1:10" ht="14">
      <c r="A908" s="13"/>
      <c r="B908" s="13"/>
      <c r="C908" s="13"/>
      <c r="D908" s="13"/>
      <c r="E908" s="47"/>
      <c r="F908" s="47"/>
      <c r="G908" s="47"/>
      <c r="H908" s="47"/>
      <c r="I908" s="47"/>
      <c r="J908" s="47"/>
    </row>
    <row r="909" spans="1:10" ht="14">
      <c r="A909" s="13"/>
      <c r="B909" s="13"/>
      <c r="C909" s="13"/>
      <c r="D909" s="13"/>
      <c r="E909" s="47"/>
      <c r="F909" s="47"/>
      <c r="G909" s="47"/>
      <c r="H909" s="47"/>
      <c r="I909" s="47"/>
      <c r="J909" s="47"/>
    </row>
    <row r="910" spans="1:10" ht="14">
      <c r="A910" s="13"/>
      <c r="B910" s="13"/>
      <c r="C910" s="13"/>
      <c r="D910" s="13"/>
      <c r="E910" s="47"/>
      <c r="F910" s="47"/>
      <c r="G910" s="47"/>
      <c r="H910" s="47"/>
      <c r="I910" s="47"/>
      <c r="J910" s="47"/>
    </row>
    <row r="911" spans="1:10" ht="14">
      <c r="A911" s="13"/>
      <c r="B911" s="13"/>
      <c r="C911" s="13"/>
      <c r="D911" s="13"/>
      <c r="E911" s="47"/>
      <c r="F911" s="47"/>
      <c r="G911" s="47"/>
      <c r="H911" s="47"/>
      <c r="I911" s="47"/>
      <c r="J911" s="47"/>
    </row>
    <row r="912" spans="1:10" ht="14">
      <c r="A912" s="13"/>
      <c r="B912" s="13"/>
      <c r="C912" s="13"/>
      <c r="D912" s="13"/>
      <c r="E912" s="47"/>
      <c r="F912" s="47"/>
      <c r="G912" s="47"/>
      <c r="H912" s="47"/>
      <c r="I912" s="47"/>
      <c r="J912" s="47"/>
    </row>
    <row r="913" spans="1:10" ht="14">
      <c r="A913" s="13"/>
      <c r="B913" s="13"/>
      <c r="C913" s="13"/>
      <c r="D913" s="13"/>
      <c r="E913" s="47"/>
      <c r="F913" s="47"/>
      <c r="G913" s="47"/>
      <c r="H913" s="47"/>
      <c r="I913" s="47"/>
      <c r="J913" s="47"/>
    </row>
    <row r="914" spans="1:10" ht="14">
      <c r="A914" s="13"/>
      <c r="B914" s="13"/>
      <c r="C914" s="13"/>
      <c r="D914" s="13"/>
      <c r="E914" s="47"/>
      <c r="F914" s="47"/>
      <c r="G914" s="47"/>
      <c r="H914" s="47"/>
      <c r="I914" s="47"/>
      <c r="J914" s="47"/>
    </row>
    <row r="915" spans="1:10" ht="14">
      <c r="A915" s="13"/>
      <c r="B915" s="13"/>
      <c r="C915" s="13"/>
      <c r="D915" s="13"/>
      <c r="E915" s="47"/>
      <c r="F915" s="47"/>
      <c r="G915" s="47"/>
      <c r="H915" s="47"/>
      <c r="I915" s="47"/>
      <c r="J915" s="47"/>
    </row>
    <row r="916" spans="1:10" ht="14">
      <c r="A916" s="13"/>
      <c r="B916" s="13"/>
      <c r="C916" s="13"/>
      <c r="D916" s="13"/>
      <c r="E916" s="47"/>
      <c r="F916" s="47"/>
      <c r="G916" s="47"/>
      <c r="H916" s="47"/>
      <c r="I916" s="47"/>
      <c r="J916" s="47"/>
    </row>
    <row r="917" spans="1:10" ht="14">
      <c r="A917" s="13"/>
      <c r="B917" s="13"/>
      <c r="C917" s="13"/>
      <c r="D917" s="13"/>
      <c r="E917" s="47"/>
      <c r="F917" s="47"/>
      <c r="G917" s="47"/>
      <c r="H917" s="47"/>
      <c r="I917" s="47"/>
      <c r="J917" s="47"/>
    </row>
    <row r="918" spans="1:10" ht="14">
      <c r="A918" s="13"/>
      <c r="B918" s="13"/>
      <c r="C918" s="13"/>
      <c r="D918" s="13"/>
      <c r="E918" s="47"/>
      <c r="F918" s="47"/>
      <c r="G918" s="47"/>
      <c r="H918" s="47"/>
      <c r="I918" s="47"/>
      <c r="J918" s="47"/>
    </row>
    <row r="919" spans="1:10" ht="14">
      <c r="A919" s="13"/>
      <c r="B919" s="13"/>
      <c r="C919" s="13"/>
      <c r="D919" s="13"/>
      <c r="E919" s="47"/>
      <c r="F919" s="47"/>
      <c r="G919" s="47"/>
      <c r="H919" s="47"/>
      <c r="I919" s="47"/>
      <c r="J919" s="47"/>
    </row>
    <row r="920" spans="1:10" ht="14">
      <c r="A920" s="13"/>
      <c r="B920" s="13"/>
      <c r="C920" s="13"/>
      <c r="D920" s="13"/>
      <c r="E920" s="47"/>
      <c r="F920" s="47"/>
      <c r="G920" s="47"/>
      <c r="H920" s="47"/>
      <c r="I920" s="47"/>
      <c r="J920" s="47"/>
    </row>
    <row r="921" spans="1:10" ht="14">
      <c r="A921" s="13"/>
      <c r="B921" s="13"/>
      <c r="C921" s="13"/>
      <c r="D921" s="13"/>
      <c r="E921" s="47"/>
      <c r="F921" s="47"/>
      <c r="G921" s="47"/>
      <c r="H921" s="47"/>
      <c r="I921" s="47"/>
      <c r="J921" s="47"/>
    </row>
    <row r="922" spans="1:10" ht="14">
      <c r="A922" s="13"/>
      <c r="B922" s="13"/>
      <c r="C922" s="13"/>
      <c r="D922" s="13"/>
      <c r="E922" s="47"/>
      <c r="F922" s="47"/>
      <c r="G922" s="47"/>
      <c r="H922" s="47"/>
      <c r="I922" s="47"/>
      <c r="J922" s="47"/>
    </row>
    <row r="923" spans="1:10" ht="14">
      <c r="A923" s="13"/>
      <c r="B923" s="13"/>
      <c r="C923" s="13"/>
      <c r="D923" s="13"/>
      <c r="E923" s="47"/>
      <c r="F923" s="47"/>
      <c r="G923" s="47"/>
      <c r="H923" s="47"/>
      <c r="I923" s="47"/>
      <c r="J923" s="47"/>
    </row>
    <row r="924" spans="1:10" ht="14">
      <c r="A924" s="13"/>
      <c r="B924" s="13"/>
      <c r="C924" s="13"/>
      <c r="D924" s="13"/>
      <c r="E924" s="47"/>
      <c r="F924" s="47"/>
      <c r="G924" s="47"/>
      <c r="H924" s="47"/>
      <c r="I924" s="47"/>
      <c r="J924" s="47"/>
    </row>
    <row r="925" spans="1:10" ht="14">
      <c r="A925" s="13"/>
      <c r="B925" s="13"/>
      <c r="C925" s="13"/>
      <c r="D925" s="13"/>
      <c r="E925" s="47"/>
      <c r="F925" s="47"/>
      <c r="G925" s="47"/>
      <c r="H925" s="47"/>
      <c r="I925" s="47"/>
      <c r="J925" s="47"/>
    </row>
    <row r="926" spans="1:10" ht="14">
      <c r="A926" s="13"/>
      <c r="B926" s="13"/>
      <c r="C926" s="13"/>
      <c r="D926" s="13"/>
      <c r="E926" s="47"/>
      <c r="F926" s="47"/>
      <c r="G926" s="47"/>
      <c r="H926" s="47"/>
      <c r="I926" s="47"/>
      <c r="J926" s="47"/>
    </row>
    <row r="927" spans="1:10" ht="14">
      <c r="A927" s="13"/>
      <c r="B927" s="13"/>
      <c r="C927" s="13"/>
      <c r="D927" s="13"/>
      <c r="E927" s="47"/>
      <c r="F927" s="47"/>
      <c r="G927" s="47"/>
      <c r="H927" s="47"/>
      <c r="I927" s="47"/>
      <c r="J927" s="47"/>
    </row>
    <row r="928" spans="1:10" ht="14">
      <c r="A928" s="13"/>
      <c r="B928" s="13"/>
      <c r="C928" s="13"/>
      <c r="D928" s="13"/>
      <c r="E928" s="47"/>
      <c r="F928" s="47"/>
      <c r="G928" s="47"/>
      <c r="H928" s="47"/>
      <c r="I928" s="47"/>
      <c r="J928" s="47"/>
    </row>
    <row r="929" spans="1:10" ht="14">
      <c r="A929" s="13"/>
      <c r="B929" s="13"/>
      <c r="C929" s="13"/>
      <c r="D929" s="13"/>
      <c r="E929" s="47"/>
      <c r="F929" s="47"/>
      <c r="G929" s="47"/>
      <c r="H929" s="47"/>
      <c r="I929" s="47"/>
      <c r="J929" s="47"/>
    </row>
    <row r="930" spans="1:10" ht="14">
      <c r="A930" s="13"/>
      <c r="B930" s="13"/>
      <c r="C930" s="13"/>
      <c r="D930" s="13"/>
      <c r="E930" s="47"/>
      <c r="F930" s="47"/>
      <c r="G930" s="47"/>
      <c r="H930" s="47"/>
      <c r="I930" s="47"/>
      <c r="J930" s="47"/>
    </row>
    <row r="931" spans="1:10" ht="14">
      <c r="A931" s="13"/>
      <c r="B931" s="13"/>
      <c r="C931" s="13"/>
      <c r="D931" s="13"/>
      <c r="E931" s="47"/>
      <c r="F931" s="47"/>
      <c r="G931" s="47"/>
      <c r="H931" s="47"/>
      <c r="I931" s="47"/>
      <c r="J931" s="47"/>
    </row>
    <row r="932" spans="1:10" ht="14">
      <c r="A932" s="13"/>
      <c r="B932" s="13"/>
      <c r="C932" s="13"/>
      <c r="D932" s="13"/>
      <c r="E932" s="47"/>
      <c r="F932" s="47"/>
      <c r="G932" s="47"/>
      <c r="H932" s="47"/>
      <c r="I932" s="47"/>
      <c r="J932" s="47"/>
    </row>
    <row r="933" spans="1:10" ht="14">
      <c r="A933" s="13"/>
      <c r="B933" s="13"/>
      <c r="C933" s="13"/>
      <c r="D933" s="13"/>
      <c r="E933" s="47"/>
      <c r="F933" s="47"/>
      <c r="G933" s="47"/>
      <c r="H933" s="47"/>
      <c r="I933" s="47"/>
      <c r="J933" s="47"/>
    </row>
    <row r="934" spans="1:10" ht="14">
      <c r="A934" s="13"/>
      <c r="B934" s="13"/>
      <c r="C934" s="13"/>
      <c r="D934" s="13"/>
      <c r="E934" s="47"/>
      <c r="F934" s="47"/>
      <c r="G934" s="47"/>
      <c r="H934" s="47"/>
      <c r="I934" s="47"/>
      <c r="J934" s="47"/>
    </row>
    <row r="935" spans="1:10" ht="14">
      <c r="A935" s="13"/>
      <c r="B935" s="13"/>
      <c r="C935" s="13"/>
      <c r="D935" s="13"/>
      <c r="E935" s="47"/>
      <c r="F935" s="47"/>
      <c r="G935" s="47"/>
      <c r="H935" s="47"/>
      <c r="I935" s="47"/>
      <c r="J935" s="47"/>
    </row>
    <row r="936" spans="1:10" ht="14">
      <c r="A936" s="13"/>
      <c r="B936" s="13"/>
      <c r="C936" s="13"/>
      <c r="D936" s="13"/>
      <c r="E936" s="47"/>
      <c r="F936" s="47"/>
      <c r="G936" s="47"/>
      <c r="H936" s="47"/>
      <c r="I936" s="47"/>
      <c r="J936" s="47"/>
    </row>
    <row r="937" spans="1:10" ht="14">
      <c r="A937" s="13"/>
      <c r="B937" s="13"/>
      <c r="C937" s="13"/>
      <c r="D937" s="13"/>
      <c r="E937" s="47"/>
      <c r="F937" s="47"/>
      <c r="G937" s="47"/>
      <c r="H937" s="47"/>
      <c r="I937" s="47"/>
      <c r="J937" s="47"/>
    </row>
    <row r="938" spans="1:10" ht="14">
      <c r="A938" s="13"/>
      <c r="B938" s="13"/>
      <c r="C938" s="13"/>
      <c r="D938" s="13"/>
      <c r="E938" s="47"/>
      <c r="F938" s="47"/>
      <c r="G938" s="47"/>
      <c r="H938" s="47"/>
      <c r="I938" s="47"/>
      <c r="J938" s="47"/>
    </row>
    <row r="939" spans="1:10" ht="14">
      <c r="A939" s="13"/>
      <c r="B939" s="13"/>
      <c r="C939" s="13"/>
      <c r="D939" s="13"/>
      <c r="E939" s="47"/>
      <c r="F939" s="47"/>
      <c r="G939" s="47"/>
      <c r="H939" s="47"/>
      <c r="I939" s="47"/>
      <c r="J939" s="47"/>
    </row>
    <row r="940" spans="1:10" ht="14">
      <c r="A940" s="13"/>
      <c r="B940" s="13"/>
      <c r="C940" s="13"/>
      <c r="D940" s="13"/>
      <c r="E940" s="47"/>
      <c r="F940" s="47"/>
      <c r="G940" s="47"/>
      <c r="H940" s="47"/>
      <c r="I940" s="47"/>
      <c r="J940" s="47"/>
    </row>
    <row r="941" spans="1:10" ht="14">
      <c r="A941" s="13"/>
      <c r="B941" s="13"/>
      <c r="C941" s="13"/>
      <c r="D941" s="13"/>
      <c r="E941" s="47"/>
      <c r="F941" s="47"/>
      <c r="G941" s="47"/>
      <c r="H941" s="47"/>
      <c r="I941" s="47"/>
      <c r="J941" s="47"/>
    </row>
    <row r="942" spans="1:10" ht="14">
      <c r="A942" s="13"/>
      <c r="B942" s="13"/>
      <c r="C942" s="13"/>
      <c r="D942" s="13"/>
      <c r="E942" s="47"/>
      <c r="F942" s="47"/>
      <c r="G942" s="47"/>
      <c r="H942" s="47"/>
      <c r="I942" s="47"/>
      <c r="J942" s="47"/>
    </row>
    <row r="943" spans="1:10" ht="14">
      <c r="A943" s="13"/>
      <c r="B943" s="13"/>
      <c r="C943" s="13"/>
      <c r="D943" s="13"/>
      <c r="E943" s="47"/>
      <c r="F943" s="47"/>
      <c r="G943" s="47"/>
      <c r="H943" s="47"/>
      <c r="I943" s="47"/>
      <c r="J943" s="47"/>
    </row>
    <row r="944" spans="1:10" ht="14">
      <c r="A944" s="13"/>
      <c r="B944" s="13"/>
      <c r="C944" s="13"/>
      <c r="D944" s="13"/>
      <c r="E944" s="47"/>
      <c r="F944" s="47"/>
      <c r="G944" s="47"/>
      <c r="H944" s="47"/>
      <c r="I944" s="47"/>
      <c r="J944" s="47"/>
    </row>
    <row r="945" spans="1:10" ht="14">
      <c r="A945" s="13"/>
      <c r="B945" s="13"/>
      <c r="C945" s="13"/>
      <c r="D945" s="13"/>
      <c r="E945" s="47"/>
      <c r="F945" s="47"/>
      <c r="G945" s="47"/>
      <c r="H945" s="47"/>
      <c r="I945" s="47"/>
      <c r="J945" s="47"/>
    </row>
    <row r="946" spans="1:10" ht="14">
      <c r="A946" s="13"/>
      <c r="B946" s="13"/>
      <c r="C946" s="13"/>
      <c r="D946" s="13"/>
      <c r="E946" s="47"/>
      <c r="F946" s="47"/>
      <c r="G946" s="47"/>
      <c r="H946" s="47"/>
      <c r="I946" s="47"/>
      <c r="J946" s="47"/>
    </row>
    <row r="947" spans="1:10" ht="14">
      <c r="A947" s="13"/>
      <c r="B947" s="13"/>
      <c r="C947" s="13"/>
      <c r="D947" s="13"/>
      <c r="E947" s="47"/>
      <c r="F947" s="47"/>
      <c r="G947" s="47"/>
      <c r="H947" s="47"/>
      <c r="I947" s="47"/>
      <c r="J947" s="47"/>
    </row>
    <row r="948" spans="1:10" ht="14">
      <c r="A948" s="13"/>
      <c r="B948" s="13"/>
      <c r="C948" s="13"/>
      <c r="D948" s="13"/>
      <c r="E948" s="47"/>
      <c r="F948" s="47"/>
      <c r="G948" s="47"/>
      <c r="H948" s="47"/>
      <c r="I948" s="47"/>
      <c r="J948" s="47"/>
    </row>
    <row r="949" spans="1:10" ht="14">
      <c r="A949" s="13"/>
      <c r="B949" s="13"/>
      <c r="C949" s="13"/>
      <c r="D949" s="13"/>
      <c r="E949" s="47"/>
      <c r="F949" s="47"/>
      <c r="G949" s="47"/>
      <c r="H949" s="47"/>
      <c r="I949" s="47"/>
      <c r="J949" s="47"/>
    </row>
    <row r="950" spans="1:10" ht="14">
      <c r="A950" s="13"/>
      <c r="B950" s="13"/>
      <c r="C950" s="13"/>
      <c r="D950" s="13"/>
      <c r="E950" s="47"/>
      <c r="F950" s="47"/>
      <c r="G950" s="47"/>
      <c r="H950" s="47"/>
      <c r="I950" s="47"/>
      <c r="J950" s="47"/>
    </row>
    <row r="951" spans="1:10" ht="14">
      <c r="A951" s="13"/>
      <c r="B951" s="13"/>
      <c r="C951" s="13"/>
      <c r="D951" s="13"/>
      <c r="E951" s="47"/>
      <c r="F951" s="47"/>
      <c r="G951" s="47"/>
      <c r="H951" s="47"/>
      <c r="I951" s="47"/>
      <c r="J951" s="47"/>
    </row>
    <row r="952" spans="1:10" ht="14">
      <c r="A952" s="13"/>
      <c r="B952" s="13"/>
      <c r="C952" s="13"/>
      <c r="D952" s="13"/>
      <c r="E952" s="47"/>
      <c r="F952" s="47"/>
      <c r="G952" s="47"/>
      <c r="H952" s="47"/>
      <c r="I952" s="47"/>
      <c r="J952" s="47"/>
    </row>
    <row r="953" spans="1:10" ht="14">
      <c r="A953" s="13"/>
      <c r="B953" s="13"/>
      <c r="C953" s="13"/>
      <c r="D953" s="13"/>
      <c r="E953" s="47"/>
      <c r="F953" s="47"/>
      <c r="G953" s="47"/>
      <c r="H953" s="47"/>
      <c r="I953" s="47"/>
      <c r="J953" s="47"/>
    </row>
    <row r="954" spans="1:10" ht="14">
      <c r="A954" s="13"/>
      <c r="B954" s="13"/>
      <c r="C954" s="13"/>
      <c r="D954" s="13"/>
      <c r="E954" s="47"/>
      <c r="F954" s="47"/>
      <c r="G954" s="47"/>
      <c r="H954" s="47"/>
      <c r="I954" s="47"/>
      <c r="J954" s="47"/>
    </row>
    <row r="955" spans="1:10" ht="14">
      <c r="A955" s="13"/>
      <c r="B955" s="13"/>
      <c r="C955" s="13"/>
      <c r="D955" s="13"/>
      <c r="E955" s="47"/>
      <c r="F955" s="47"/>
      <c r="G955" s="47"/>
      <c r="H955" s="47"/>
      <c r="I955" s="47"/>
      <c r="J955" s="47"/>
    </row>
    <row r="956" spans="1:10" ht="14">
      <c r="A956" s="13"/>
      <c r="B956" s="13"/>
      <c r="C956" s="13"/>
      <c r="D956" s="13"/>
      <c r="E956" s="47"/>
      <c r="F956" s="47"/>
      <c r="G956" s="47"/>
      <c r="H956" s="47"/>
      <c r="I956" s="47"/>
      <c r="J956" s="47"/>
    </row>
    <row r="957" spans="1:10" ht="14">
      <c r="A957" s="13"/>
      <c r="B957" s="13"/>
      <c r="C957" s="13"/>
      <c r="D957" s="13"/>
      <c r="E957" s="47"/>
      <c r="F957" s="47"/>
      <c r="G957" s="47"/>
      <c r="H957" s="47"/>
      <c r="I957" s="47"/>
      <c r="J957" s="47"/>
    </row>
    <row r="958" spans="1:10" ht="14">
      <c r="A958" s="13"/>
      <c r="B958" s="13"/>
      <c r="C958" s="13"/>
      <c r="D958" s="13"/>
      <c r="E958" s="47"/>
      <c r="F958" s="47"/>
      <c r="G958" s="47"/>
      <c r="H958" s="47"/>
      <c r="I958" s="47"/>
      <c r="J958" s="47"/>
    </row>
    <row r="959" spans="1:10" ht="14">
      <c r="A959" s="13"/>
      <c r="B959" s="13"/>
      <c r="C959" s="13"/>
      <c r="D959" s="13"/>
      <c r="E959" s="47"/>
      <c r="F959" s="47"/>
      <c r="G959" s="47"/>
      <c r="H959" s="47"/>
      <c r="I959" s="47"/>
      <c r="J959" s="47"/>
    </row>
    <row r="960" spans="1:10" ht="14">
      <c r="A960" s="13"/>
      <c r="B960" s="13"/>
      <c r="C960" s="13"/>
      <c r="D960" s="13"/>
      <c r="E960" s="47"/>
      <c r="F960" s="47"/>
      <c r="G960" s="47"/>
      <c r="H960" s="47"/>
      <c r="I960" s="47"/>
      <c r="J960" s="47"/>
    </row>
    <row r="961" spans="1:10" ht="14">
      <c r="A961" s="13"/>
      <c r="B961" s="13"/>
      <c r="C961" s="13"/>
      <c r="D961" s="13"/>
      <c r="E961" s="47"/>
      <c r="F961" s="47"/>
      <c r="G961" s="47"/>
      <c r="H961" s="47"/>
      <c r="I961" s="47"/>
      <c r="J961" s="47"/>
    </row>
    <row r="962" spans="1:10" ht="14">
      <c r="A962" s="13"/>
      <c r="B962" s="13"/>
      <c r="C962" s="13"/>
      <c r="D962" s="13"/>
      <c r="E962" s="47"/>
      <c r="F962" s="47"/>
      <c r="G962" s="47"/>
      <c r="H962" s="47"/>
      <c r="I962" s="47"/>
      <c r="J962" s="47"/>
    </row>
    <row r="963" spans="1:10" ht="14">
      <c r="A963" s="13"/>
      <c r="B963" s="13"/>
      <c r="C963" s="13"/>
      <c r="D963" s="13"/>
      <c r="E963" s="47"/>
      <c r="F963" s="47"/>
      <c r="G963" s="47"/>
      <c r="H963" s="47"/>
      <c r="I963" s="47"/>
      <c r="J963" s="47"/>
    </row>
    <row r="964" spans="1:10" ht="14">
      <c r="A964" s="13"/>
      <c r="B964" s="13"/>
      <c r="C964" s="13"/>
      <c r="D964" s="13"/>
      <c r="E964" s="47"/>
      <c r="F964" s="47"/>
      <c r="G964" s="47"/>
      <c r="H964" s="47"/>
      <c r="I964" s="47"/>
      <c r="J964" s="47"/>
    </row>
    <row r="965" spans="1:10" ht="14">
      <c r="A965" s="13"/>
      <c r="B965" s="13"/>
      <c r="C965" s="13"/>
      <c r="D965" s="13"/>
      <c r="E965" s="47"/>
      <c r="F965" s="47"/>
      <c r="G965" s="47"/>
      <c r="H965" s="47"/>
      <c r="I965" s="47"/>
      <c r="J965" s="47"/>
    </row>
    <row r="966" spans="1:10" ht="14">
      <c r="A966" s="13"/>
      <c r="B966" s="13"/>
      <c r="C966" s="13"/>
      <c r="D966" s="13"/>
      <c r="E966" s="47"/>
      <c r="F966" s="47"/>
      <c r="G966" s="47"/>
      <c r="H966" s="47"/>
      <c r="I966" s="47"/>
      <c r="J966" s="47"/>
    </row>
    <row r="967" spans="1:10" ht="14">
      <c r="A967" s="13"/>
      <c r="B967" s="13"/>
      <c r="C967" s="13"/>
      <c r="D967" s="13"/>
      <c r="E967" s="47"/>
      <c r="F967" s="47"/>
      <c r="G967" s="47"/>
      <c r="H967" s="47"/>
      <c r="I967" s="47"/>
      <c r="J967" s="47"/>
    </row>
    <row r="968" spans="1:10" ht="14">
      <c r="A968" s="13"/>
      <c r="B968" s="13"/>
      <c r="C968" s="13"/>
      <c r="D968" s="13"/>
      <c r="E968" s="47"/>
      <c r="F968" s="47"/>
      <c r="G968" s="47"/>
      <c r="H968" s="47"/>
      <c r="I968" s="47"/>
      <c r="J968" s="47"/>
    </row>
    <row r="969" spans="1:10" ht="14">
      <c r="A969" s="13"/>
      <c r="B969" s="13"/>
      <c r="C969" s="13"/>
      <c r="D969" s="13"/>
      <c r="E969" s="47"/>
      <c r="F969" s="47"/>
      <c r="G969" s="47"/>
      <c r="H969" s="47"/>
      <c r="I969" s="47"/>
      <c r="J969" s="47"/>
    </row>
    <row r="970" spans="1:10" ht="14">
      <c r="A970" s="13"/>
      <c r="B970" s="13"/>
      <c r="C970" s="13"/>
      <c r="D970" s="13"/>
      <c r="E970" s="47"/>
      <c r="F970" s="47"/>
      <c r="G970" s="47"/>
      <c r="H970" s="47"/>
      <c r="I970" s="47"/>
      <c r="J970" s="47"/>
    </row>
    <row r="971" spans="1:10" ht="14">
      <c r="A971" s="13"/>
      <c r="B971" s="13"/>
      <c r="C971" s="13"/>
      <c r="D971" s="13"/>
      <c r="E971" s="47"/>
      <c r="F971" s="47"/>
      <c r="G971" s="47"/>
      <c r="H971" s="47"/>
      <c r="I971" s="47"/>
      <c r="J971" s="47"/>
    </row>
    <row r="972" spans="1:10" ht="14">
      <c r="A972" s="13"/>
      <c r="B972" s="13"/>
      <c r="C972" s="13"/>
      <c r="D972" s="13"/>
      <c r="E972" s="47"/>
      <c r="F972" s="47"/>
      <c r="G972" s="47"/>
      <c r="H972" s="47"/>
      <c r="I972" s="47"/>
      <c r="J972" s="47"/>
    </row>
    <row r="973" spans="1:10" ht="14">
      <c r="A973" s="13"/>
      <c r="B973" s="13"/>
      <c r="C973" s="13"/>
      <c r="D973" s="13"/>
      <c r="E973" s="47"/>
      <c r="F973" s="47"/>
      <c r="G973" s="47"/>
      <c r="H973" s="47"/>
      <c r="I973" s="47"/>
      <c r="J973" s="47"/>
    </row>
    <row r="974" spans="1:10" ht="14">
      <c r="A974" s="13"/>
      <c r="B974" s="13"/>
      <c r="C974" s="13"/>
      <c r="D974" s="13"/>
      <c r="E974" s="47"/>
      <c r="F974" s="47"/>
      <c r="G974" s="47"/>
      <c r="H974" s="47"/>
      <c r="I974" s="47"/>
      <c r="J974" s="47"/>
    </row>
    <row r="975" spans="1:10" ht="14">
      <c r="A975" s="13"/>
      <c r="B975" s="13"/>
      <c r="C975" s="13"/>
      <c r="D975" s="13"/>
      <c r="E975" s="47"/>
      <c r="F975" s="47"/>
      <c r="G975" s="47"/>
      <c r="H975" s="47"/>
      <c r="I975" s="47"/>
      <c r="J975" s="47"/>
    </row>
    <row r="976" spans="1:10" ht="14">
      <c r="A976" s="13"/>
      <c r="B976" s="13"/>
      <c r="C976" s="13"/>
      <c r="D976" s="13"/>
      <c r="E976" s="47"/>
      <c r="F976" s="47"/>
      <c r="G976" s="47"/>
      <c r="H976" s="47"/>
      <c r="I976" s="47"/>
      <c r="J976" s="47"/>
    </row>
    <row r="977" spans="1:10" ht="14">
      <c r="A977" s="13"/>
      <c r="B977" s="13"/>
      <c r="C977" s="13"/>
      <c r="D977" s="13"/>
      <c r="E977" s="47"/>
      <c r="F977" s="47"/>
      <c r="G977" s="47"/>
      <c r="H977" s="47"/>
      <c r="I977" s="47"/>
      <c r="J977" s="47"/>
    </row>
    <row r="978" spans="1:10" ht="14">
      <c r="A978" s="13"/>
      <c r="B978" s="13"/>
      <c r="C978" s="13"/>
      <c r="D978" s="13"/>
      <c r="E978" s="47"/>
      <c r="F978" s="47"/>
      <c r="G978" s="47"/>
      <c r="H978" s="47"/>
      <c r="I978" s="47"/>
      <c r="J978" s="47"/>
    </row>
    <row r="979" spans="1:10" ht="14">
      <c r="A979" s="13"/>
      <c r="B979" s="13"/>
      <c r="C979" s="13"/>
      <c r="D979" s="13"/>
      <c r="E979" s="47"/>
      <c r="F979" s="47"/>
      <c r="G979" s="47"/>
      <c r="H979" s="47"/>
      <c r="I979" s="47"/>
      <c r="J979" s="47"/>
    </row>
    <row r="980" spans="1:10" ht="14">
      <c r="A980" s="13"/>
      <c r="B980" s="13"/>
      <c r="C980" s="13"/>
      <c r="D980" s="13"/>
      <c r="E980" s="47"/>
      <c r="F980" s="47"/>
      <c r="G980" s="47"/>
      <c r="H980" s="47"/>
      <c r="I980" s="47"/>
      <c r="J980" s="47"/>
    </row>
    <row r="981" spans="1:10" ht="14">
      <c r="A981" s="13"/>
      <c r="B981" s="13"/>
      <c r="C981" s="13"/>
      <c r="D981" s="13"/>
      <c r="E981" s="47"/>
      <c r="F981" s="47"/>
      <c r="G981" s="47"/>
      <c r="H981" s="47"/>
      <c r="I981" s="47"/>
      <c r="J981" s="47"/>
    </row>
    <row r="982" spans="1:10" ht="14">
      <c r="A982" s="13"/>
      <c r="B982" s="13"/>
      <c r="C982" s="13"/>
      <c r="D982" s="13"/>
      <c r="E982" s="47"/>
      <c r="F982" s="47"/>
      <c r="G982" s="47"/>
      <c r="H982" s="47"/>
      <c r="I982" s="47"/>
      <c r="J982" s="47"/>
    </row>
    <row r="983" spans="1:10" ht="14">
      <c r="A983" s="13"/>
      <c r="B983" s="13"/>
      <c r="C983" s="13"/>
      <c r="D983" s="13"/>
      <c r="E983" s="47"/>
      <c r="F983" s="47"/>
      <c r="G983" s="47"/>
      <c r="H983" s="47"/>
      <c r="I983" s="47"/>
      <c r="J983" s="47"/>
    </row>
    <row r="984" spans="1:10" ht="14">
      <c r="A984" s="13"/>
      <c r="B984" s="13"/>
      <c r="C984" s="13"/>
      <c r="D984" s="13"/>
      <c r="E984" s="47"/>
      <c r="F984" s="47"/>
      <c r="G984" s="47"/>
      <c r="H984" s="47"/>
      <c r="I984" s="47"/>
      <c r="J984" s="47"/>
    </row>
    <row r="985" spans="1:10" ht="14">
      <c r="A985" s="13"/>
      <c r="B985" s="13"/>
      <c r="C985" s="13"/>
      <c r="D985" s="13"/>
      <c r="E985" s="47"/>
      <c r="F985" s="47"/>
      <c r="G985" s="47"/>
      <c r="H985" s="47"/>
      <c r="I985" s="47"/>
      <c r="J985" s="47"/>
    </row>
    <row r="986" spans="1:10" ht="14">
      <c r="A986" s="13"/>
      <c r="B986" s="13"/>
      <c r="C986" s="13"/>
      <c r="D986" s="13"/>
      <c r="E986" s="47"/>
      <c r="F986" s="47"/>
      <c r="G986" s="47"/>
      <c r="H986" s="47"/>
      <c r="I986" s="47"/>
      <c r="J986" s="47"/>
    </row>
    <row r="987" spans="1:10" ht="14">
      <c r="A987" s="13"/>
      <c r="B987" s="13"/>
      <c r="C987" s="13"/>
      <c r="D987" s="13"/>
      <c r="E987" s="47"/>
      <c r="F987" s="47"/>
      <c r="G987" s="47"/>
      <c r="H987" s="47"/>
      <c r="I987" s="47"/>
      <c r="J987" s="47"/>
    </row>
    <row r="988" spans="1:10" ht="14">
      <c r="A988" s="13"/>
      <c r="B988" s="13"/>
      <c r="C988" s="13"/>
      <c r="D988" s="13"/>
      <c r="E988" s="47"/>
      <c r="F988" s="47"/>
      <c r="G988" s="47"/>
      <c r="H988" s="47"/>
      <c r="I988" s="47"/>
      <c r="J988" s="47"/>
    </row>
    <row r="989" spans="1:10" ht="14">
      <c r="A989" s="13"/>
      <c r="B989" s="13"/>
      <c r="C989" s="13"/>
      <c r="D989" s="13"/>
      <c r="E989" s="47"/>
      <c r="F989" s="47"/>
      <c r="G989" s="47"/>
      <c r="H989" s="47"/>
      <c r="I989" s="47"/>
      <c r="J989" s="47"/>
    </row>
    <row r="990" spans="1:10" ht="14">
      <c r="A990" s="13"/>
      <c r="B990" s="13"/>
      <c r="C990" s="13"/>
      <c r="D990" s="13"/>
      <c r="E990" s="47"/>
      <c r="F990" s="47"/>
      <c r="G990" s="47"/>
      <c r="H990" s="47"/>
      <c r="I990" s="47"/>
      <c r="J990" s="47"/>
    </row>
    <row r="991" spans="1:10" ht="14">
      <c r="A991" s="13"/>
      <c r="B991" s="13"/>
      <c r="C991" s="13"/>
      <c r="D991" s="13"/>
      <c r="E991" s="47"/>
      <c r="F991" s="47"/>
      <c r="G991" s="47"/>
      <c r="H991" s="47"/>
      <c r="I991" s="47"/>
      <c r="J991" s="47"/>
    </row>
    <row r="992" spans="1:10" ht="14">
      <c r="A992" s="13"/>
      <c r="B992" s="13"/>
      <c r="C992" s="13"/>
      <c r="D992" s="13"/>
      <c r="E992" s="47"/>
      <c r="F992" s="47"/>
      <c r="G992" s="47"/>
      <c r="H992" s="47"/>
      <c r="I992" s="47"/>
      <c r="J992" s="47"/>
    </row>
    <row r="993" spans="1:10" ht="14">
      <c r="A993" s="13"/>
      <c r="B993" s="13"/>
      <c r="C993" s="13"/>
      <c r="D993" s="13"/>
      <c r="E993" s="47"/>
      <c r="F993" s="47"/>
      <c r="G993" s="47"/>
      <c r="H993" s="47"/>
      <c r="I993" s="47"/>
      <c r="J993" s="47"/>
    </row>
    <row r="994" spans="1:10" ht="14">
      <c r="A994" s="13"/>
      <c r="B994" s="13"/>
      <c r="C994" s="13"/>
      <c r="D994" s="13"/>
      <c r="E994" s="47"/>
      <c r="F994" s="47"/>
      <c r="G994" s="47"/>
      <c r="H994" s="47"/>
      <c r="I994" s="47"/>
      <c r="J994" s="47"/>
    </row>
    <row r="995" spans="1:10" ht="14">
      <c r="A995" s="13"/>
      <c r="B995" s="13"/>
      <c r="C995" s="13"/>
      <c r="D995" s="13"/>
      <c r="E995" s="47"/>
      <c r="F995" s="47"/>
      <c r="G995" s="47"/>
      <c r="H995" s="47"/>
      <c r="I995" s="47"/>
      <c r="J995" s="47"/>
    </row>
    <row r="996" spans="1:10" ht="14">
      <c r="A996" s="13"/>
      <c r="B996" s="13"/>
      <c r="C996" s="13"/>
      <c r="D996" s="13"/>
      <c r="E996" s="47"/>
      <c r="F996" s="47"/>
      <c r="G996" s="47"/>
      <c r="H996" s="47"/>
      <c r="I996" s="47"/>
      <c r="J996" s="47"/>
    </row>
    <row r="997" spans="1:10" ht="14">
      <c r="A997" s="13"/>
      <c r="B997" s="13"/>
      <c r="C997" s="13"/>
      <c r="D997" s="13"/>
      <c r="E997" s="47"/>
      <c r="F997" s="47"/>
      <c r="G997" s="47"/>
      <c r="H997" s="47"/>
      <c r="I997" s="47"/>
      <c r="J997" s="47"/>
    </row>
    <row r="998" spans="1:10" ht="14">
      <c r="A998" s="13"/>
      <c r="B998" s="13"/>
      <c r="C998" s="13"/>
      <c r="D998" s="13"/>
      <c r="E998" s="47"/>
      <c r="F998" s="47"/>
      <c r="G998" s="47"/>
      <c r="H998" s="47"/>
      <c r="I998" s="47"/>
      <c r="J998" s="47"/>
    </row>
    <row r="999" spans="1:10" ht="14">
      <c r="A999" s="13"/>
      <c r="B999" s="13"/>
      <c r="C999" s="13"/>
      <c r="D999" s="13"/>
      <c r="E999" s="47"/>
      <c r="F999" s="47"/>
      <c r="G999" s="47"/>
      <c r="H999" s="47"/>
      <c r="I999" s="47"/>
      <c r="J999" s="47"/>
    </row>
    <row r="1000" spans="1:10" ht="14">
      <c r="A1000" s="13"/>
      <c r="B1000" s="13"/>
      <c r="C1000" s="13"/>
      <c r="D1000" s="13"/>
      <c r="E1000" s="47"/>
      <c r="F1000" s="47"/>
      <c r="G1000" s="47"/>
      <c r="H1000" s="47"/>
      <c r="I1000" s="47"/>
      <c r="J1000" s="47"/>
    </row>
    <row r="1001" spans="1:10" ht="14">
      <c r="A1001" s="13"/>
      <c r="B1001" s="13"/>
      <c r="C1001" s="13"/>
      <c r="D1001" s="13"/>
      <c r="E1001" s="47"/>
      <c r="F1001" s="47"/>
      <c r="G1001" s="47"/>
      <c r="H1001" s="47"/>
      <c r="I1001" s="47"/>
      <c r="J1001" s="47"/>
    </row>
    <row r="1002" spans="1:10" ht="14">
      <c r="A1002" s="13"/>
      <c r="B1002" s="13"/>
      <c r="C1002" s="13"/>
      <c r="D1002" s="13"/>
      <c r="E1002" s="47"/>
      <c r="F1002" s="47"/>
      <c r="G1002" s="47"/>
      <c r="H1002" s="47"/>
      <c r="I1002" s="47"/>
      <c r="J1002" s="47"/>
    </row>
    <row r="1003" spans="1:10" ht="14">
      <c r="A1003" s="13"/>
      <c r="B1003" s="13"/>
      <c r="C1003" s="13"/>
      <c r="D1003" s="13"/>
      <c r="E1003" s="47"/>
      <c r="F1003" s="47"/>
      <c r="G1003" s="47"/>
      <c r="H1003" s="47"/>
      <c r="I1003" s="47"/>
      <c r="J1003" s="47"/>
    </row>
    <row r="1004" spans="1:10" ht="14">
      <c r="A1004" s="13"/>
      <c r="B1004" s="13"/>
      <c r="C1004" s="13"/>
      <c r="D1004" s="13"/>
      <c r="E1004" s="47"/>
      <c r="F1004" s="47"/>
      <c r="G1004" s="47"/>
      <c r="H1004" s="47"/>
      <c r="I1004" s="47"/>
      <c r="J1004" s="47"/>
    </row>
    <row r="1005" spans="1:10" ht="14">
      <c r="A1005" s="13"/>
      <c r="B1005" s="13"/>
      <c r="C1005" s="13"/>
      <c r="D1005" s="13"/>
      <c r="E1005" s="47"/>
      <c r="F1005" s="47"/>
      <c r="G1005" s="47"/>
      <c r="H1005" s="47"/>
      <c r="I1005" s="47"/>
      <c r="J1005" s="47"/>
    </row>
    <row r="1006" spans="1:10" ht="14">
      <c r="A1006" s="13"/>
      <c r="B1006" s="13"/>
      <c r="C1006" s="13"/>
      <c r="D1006" s="13"/>
      <c r="E1006" s="47"/>
      <c r="F1006" s="47"/>
      <c r="G1006" s="47"/>
      <c r="H1006" s="47"/>
      <c r="I1006" s="47"/>
      <c r="J1006" s="47"/>
    </row>
    <row r="1007" spans="1:10" ht="14">
      <c r="A1007" s="13"/>
      <c r="B1007" s="13"/>
      <c r="C1007" s="13"/>
      <c r="D1007" s="13"/>
      <c r="E1007" s="47"/>
      <c r="F1007" s="47"/>
      <c r="G1007" s="47"/>
      <c r="H1007" s="47"/>
      <c r="I1007" s="47"/>
      <c r="J1007" s="47"/>
    </row>
    <row r="1008" spans="1:10" ht="14">
      <c r="A1008" s="13"/>
      <c r="B1008" s="13"/>
      <c r="C1008" s="13"/>
      <c r="D1008" s="13"/>
      <c r="E1008" s="47"/>
      <c r="F1008" s="47"/>
      <c r="G1008" s="47"/>
      <c r="H1008" s="47"/>
      <c r="I1008" s="47"/>
      <c r="J1008" s="47"/>
    </row>
    <row r="1009" spans="1:10" ht="14">
      <c r="A1009" s="13"/>
      <c r="B1009" s="13"/>
      <c r="C1009" s="13"/>
      <c r="D1009" s="13"/>
      <c r="E1009" s="47"/>
      <c r="F1009" s="47"/>
      <c r="G1009" s="47"/>
      <c r="H1009" s="47"/>
      <c r="I1009" s="47"/>
      <c r="J1009" s="47"/>
    </row>
    <row r="1010" spans="1:10" ht="14">
      <c r="A1010" s="13"/>
      <c r="B1010" s="13"/>
      <c r="C1010" s="13"/>
      <c r="D1010" s="13"/>
      <c r="E1010" s="47"/>
      <c r="F1010" s="47"/>
      <c r="G1010" s="47"/>
      <c r="H1010" s="47"/>
      <c r="I1010" s="47"/>
      <c r="J1010" s="47"/>
    </row>
    <row r="1011" spans="1:10" ht="14">
      <c r="A1011" s="13"/>
      <c r="B1011" s="13"/>
      <c r="C1011" s="13"/>
      <c r="D1011" s="13"/>
      <c r="E1011" s="47"/>
      <c r="F1011" s="47"/>
      <c r="G1011" s="47"/>
      <c r="H1011" s="47"/>
      <c r="I1011" s="47"/>
      <c r="J1011" s="47"/>
    </row>
    <row r="1012" spans="1:10" ht="14">
      <c r="A1012" s="13"/>
      <c r="B1012" s="13"/>
      <c r="C1012" s="13"/>
      <c r="D1012" s="13"/>
      <c r="E1012" s="47"/>
      <c r="F1012" s="47"/>
      <c r="G1012" s="47"/>
      <c r="H1012" s="47"/>
      <c r="I1012" s="47"/>
      <c r="J1012" s="47"/>
    </row>
    <row r="1013" spans="1:10" ht="14">
      <c r="A1013" s="13"/>
      <c r="B1013" s="13"/>
      <c r="C1013" s="13"/>
      <c r="D1013" s="13"/>
      <c r="E1013" s="47"/>
      <c r="F1013" s="47"/>
      <c r="G1013" s="47"/>
      <c r="H1013" s="47"/>
      <c r="I1013" s="47"/>
      <c r="J1013" s="47"/>
    </row>
    <row r="1014" spans="1:10" ht="14">
      <c r="A1014" s="13"/>
      <c r="B1014" s="13"/>
      <c r="C1014" s="13"/>
      <c r="D1014" s="13"/>
      <c r="E1014" s="47"/>
      <c r="F1014" s="47"/>
      <c r="G1014" s="47"/>
      <c r="H1014" s="47"/>
      <c r="I1014" s="47"/>
      <c r="J1014" s="47"/>
    </row>
    <row r="1015" spans="1:10" ht="14">
      <c r="A1015" s="13"/>
      <c r="B1015" s="13"/>
      <c r="C1015" s="13"/>
      <c r="D1015" s="13"/>
      <c r="E1015" s="47"/>
      <c r="F1015" s="47"/>
      <c r="G1015" s="47"/>
      <c r="H1015" s="47"/>
      <c r="I1015" s="47"/>
      <c r="J1015" s="47"/>
    </row>
    <row r="1016" spans="1:10" ht="14">
      <c r="A1016" s="13"/>
      <c r="B1016" s="13"/>
      <c r="C1016" s="13"/>
      <c r="D1016" s="13"/>
      <c r="E1016" s="47"/>
      <c r="F1016" s="47"/>
      <c r="G1016" s="47"/>
      <c r="H1016" s="47"/>
      <c r="I1016" s="47"/>
      <c r="J1016" s="47"/>
    </row>
    <row r="1017" spans="1:10" ht="14">
      <c r="A1017" s="13"/>
      <c r="B1017" s="13"/>
      <c r="C1017" s="13"/>
      <c r="D1017" s="13"/>
      <c r="E1017" s="47"/>
      <c r="F1017" s="47"/>
      <c r="G1017" s="47"/>
      <c r="H1017" s="47"/>
      <c r="I1017" s="47"/>
      <c r="J1017" s="47"/>
    </row>
    <row r="1018" spans="1:10" ht="14">
      <c r="A1018" s="13"/>
      <c r="B1018" s="13"/>
      <c r="C1018" s="13"/>
      <c r="D1018" s="13"/>
      <c r="E1018" s="47"/>
      <c r="F1018" s="47"/>
      <c r="G1018" s="47"/>
      <c r="H1018" s="47"/>
      <c r="I1018" s="47"/>
      <c r="J1018" s="47"/>
    </row>
    <row r="1019" spans="1:10" ht="14">
      <c r="A1019" s="13"/>
      <c r="B1019" s="13"/>
      <c r="C1019" s="13"/>
      <c r="D1019" s="13"/>
      <c r="E1019" s="47"/>
      <c r="F1019" s="47"/>
      <c r="G1019" s="47"/>
      <c r="H1019" s="47"/>
      <c r="I1019" s="47"/>
      <c r="J1019" s="47"/>
    </row>
    <row r="1020" spans="1:10" ht="14">
      <c r="A1020" s="13"/>
      <c r="B1020" s="13"/>
      <c r="C1020" s="13"/>
      <c r="D1020" s="13"/>
      <c r="E1020" s="47"/>
      <c r="F1020" s="47"/>
      <c r="G1020" s="47"/>
      <c r="H1020" s="47"/>
      <c r="I1020" s="47"/>
      <c r="J1020" s="47"/>
    </row>
    <row r="1021" spans="1:10" ht="14">
      <c r="A1021" s="13"/>
      <c r="B1021" s="13"/>
      <c r="C1021" s="13"/>
      <c r="D1021" s="13"/>
      <c r="E1021" s="47"/>
      <c r="F1021" s="47"/>
      <c r="G1021" s="47"/>
      <c r="H1021" s="47"/>
      <c r="I1021" s="47"/>
      <c r="J1021" s="47"/>
    </row>
    <row r="1022" spans="1:10" ht="14">
      <c r="A1022" s="13"/>
      <c r="B1022" s="13"/>
      <c r="C1022" s="13"/>
      <c r="D1022" s="13"/>
      <c r="E1022" s="47"/>
      <c r="F1022" s="47"/>
      <c r="G1022" s="47"/>
      <c r="H1022" s="47"/>
      <c r="I1022" s="47"/>
      <c r="J1022" s="47"/>
    </row>
    <row r="1023" spans="1:10" ht="14">
      <c r="A1023" s="13"/>
      <c r="B1023" s="13"/>
      <c r="C1023" s="13"/>
      <c r="D1023" s="13"/>
      <c r="E1023" s="47"/>
      <c r="F1023" s="47"/>
      <c r="G1023" s="47"/>
      <c r="H1023" s="47"/>
      <c r="I1023" s="47"/>
      <c r="J1023" s="47"/>
    </row>
    <row r="1024" spans="1:10" ht="14">
      <c r="A1024" s="13"/>
      <c r="B1024" s="13"/>
      <c r="C1024" s="13"/>
      <c r="D1024" s="13"/>
      <c r="E1024" s="47"/>
      <c r="F1024" s="47"/>
      <c r="G1024" s="47"/>
      <c r="H1024" s="47"/>
      <c r="I1024" s="47"/>
      <c r="J1024" s="47"/>
    </row>
    <row r="1025" spans="1:10" ht="14">
      <c r="A1025" s="13"/>
      <c r="B1025" s="13"/>
      <c r="C1025" s="13"/>
      <c r="D1025" s="13"/>
      <c r="E1025" s="47"/>
      <c r="F1025" s="47"/>
      <c r="G1025" s="47"/>
      <c r="H1025" s="47"/>
      <c r="I1025" s="47"/>
      <c r="J1025" s="47"/>
    </row>
    <row r="1026" spans="1:10" ht="14">
      <c r="A1026" s="13"/>
      <c r="B1026" s="13"/>
      <c r="C1026" s="13"/>
      <c r="D1026" s="13"/>
      <c r="E1026" s="47"/>
      <c r="F1026" s="47"/>
      <c r="G1026" s="47"/>
      <c r="H1026" s="47"/>
      <c r="I1026" s="47"/>
      <c r="J1026" s="47"/>
    </row>
    <row r="1027" spans="1:10" ht="14">
      <c r="A1027" s="13"/>
      <c r="B1027" s="13"/>
      <c r="C1027" s="13"/>
      <c r="D1027" s="13"/>
      <c r="E1027" s="47"/>
      <c r="F1027" s="47"/>
      <c r="G1027" s="47"/>
      <c r="H1027" s="47"/>
      <c r="I1027" s="47"/>
      <c r="J1027" s="47"/>
    </row>
    <row r="1028" spans="1:10" ht="14">
      <c r="A1028" s="13"/>
      <c r="B1028" s="13"/>
      <c r="C1028" s="13"/>
      <c r="D1028" s="13"/>
      <c r="E1028" s="47"/>
      <c r="F1028" s="47"/>
      <c r="G1028" s="47"/>
      <c r="H1028" s="47"/>
      <c r="I1028" s="47"/>
      <c r="J1028" s="47"/>
    </row>
    <row r="1029" spans="1:10" ht="14">
      <c r="A1029" s="13"/>
      <c r="B1029" s="13"/>
      <c r="C1029" s="13"/>
      <c r="D1029" s="13"/>
      <c r="E1029" s="47"/>
      <c r="F1029" s="47"/>
      <c r="G1029" s="47"/>
      <c r="H1029" s="47"/>
      <c r="I1029" s="47"/>
      <c r="J1029" s="47"/>
    </row>
    <row r="1030" spans="1:10" ht="14">
      <c r="A1030" s="13"/>
      <c r="B1030" s="13"/>
      <c r="C1030" s="13"/>
      <c r="D1030" s="13"/>
      <c r="E1030" s="47"/>
      <c r="F1030" s="47"/>
      <c r="G1030" s="47"/>
      <c r="H1030" s="47"/>
      <c r="I1030" s="47"/>
      <c r="J1030" s="47"/>
    </row>
    <row r="1031" spans="1:10" ht="14">
      <c r="A1031" s="13"/>
      <c r="B1031" s="13"/>
      <c r="C1031" s="13"/>
      <c r="D1031" s="13"/>
      <c r="E1031" s="47"/>
      <c r="F1031" s="47"/>
      <c r="G1031" s="47"/>
      <c r="H1031" s="47"/>
      <c r="I1031" s="47"/>
      <c r="J1031" s="47"/>
    </row>
    <row r="1032" spans="1:10" ht="14">
      <c r="A1032" s="13"/>
      <c r="B1032" s="13"/>
      <c r="C1032" s="13"/>
      <c r="D1032" s="13"/>
      <c r="E1032" s="47"/>
      <c r="F1032" s="47"/>
      <c r="G1032" s="47"/>
      <c r="H1032" s="47"/>
      <c r="I1032" s="47"/>
      <c r="J1032" s="47"/>
    </row>
    <row r="1033" spans="1:10" ht="14">
      <c r="A1033" s="13"/>
      <c r="B1033" s="13"/>
      <c r="C1033" s="13"/>
      <c r="D1033" s="13"/>
      <c r="E1033" s="47"/>
      <c r="F1033" s="47"/>
      <c r="G1033" s="47"/>
      <c r="H1033" s="47"/>
      <c r="I1033" s="47"/>
      <c r="J1033" s="47"/>
    </row>
    <row r="1034" spans="1:10" ht="14">
      <c r="A1034" s="13"/>
      <c r="B1034" s="13"/>
      <c r="C1034" s="13"/>
      <c r="D1034" s="13"/>
      <c r="E1034" s="47"/>
      <c r="F1034" s="47"/>
      <c r="G1034" s="47"/>
      <c r="H1034" s="47"/>
      <c r="I1034" s="47"/>
      <c r="J1034" s="47"/>
    </row>
  </sheetData>
  <mergeCells count="17">
    <mergeCell ref="G29:J29"/>
    <mergeCell ref="G30:J30"/>
    <mergeCell ref="B2:J2"/>
    <mergeCell ref="B3:J3"/>
    <mergeCell ref="B4:E4"/>
    <mergeCell ref="G4:J4"/>
    <mergeCell ref="B6:B13"/>
    <mergeCell ref="C6:E13"/>
    <mergeCell ref="B14:B24"/>
    <mergeCell ref="C14:E24"/>
    <mergeCell ref="I19:J19"/>
    <mergeCell ref="I20:J20"/>
    <mergeCell ref="I24:J24"/>
    <mergeCell ref="B25:B27"/>
    <mergeCell ref="C25:C27"/>
    <mergeCell ref="D25:D27"/>
    <mergeCell ref="E25:E27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R14"/>
  <sheetViews>
    <sheetView showGridLines="0" workbookViewId="0"/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4" width="29.83203125" customWidth="1"/>
    <col min="5" max="5" width="18.33203125" customWidth="1"/>
    <col min="7" max="7" width="5" customWidth="1"/>
    <col min="8" max="8" width="35.83203125" customWidth="1"/>
    <col min="9" max="9" width="37.6640625" customWidth="1"/>
    <col min="10" max="10" width="28.6640625" customWidth="1"/>
    <col min="13" max="13" width="4.83203125" customWidth="1"/>
    <col min="14" max="14" width="35.83203125" customWidth="1"/>
    <col min="15" max="15" width="37.6640625" customWidth="1"/>
    <col min="16" max="16" width="28.6640625" customWidth="1"/>
  </cols>
  <sheetData>
    <row r="1" spans="1:18" ht="15" customHeight="1">
      <c r="A1" s="13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73.5" customHeight="1">
      <c r="A2" s="13"/>
      <c r="B2" s="133"/>
      <c r="C2" s="134"/>
      <c r="D2" s="134"/>
      <c r="E2" s="74"/>
      <c r="F2" s="74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ht="15">
      <c r="A3" s="13"/>
      <c r="B3" s="135" t="s">
        <v>254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</row>
    <row r="4" spans="1:18" ht="14">
      <c r="A4" s="13"/>
      <c r="B4" s="115" t="s">
        <v>117</v>
      </c>
      <c r="C4" s="106"/>
      <c r="D4" s="106"/>
      <c r="E4" s="106"/>
      <c r="F4" s="116"/>
      <c r="G4" s="8"/>
      <c r="H4" s="115" t="s">
        <v>255</v>
      </c>
      <c r="I4" s="106"/>
      <c r="J4" s="106"/>
      <c r="K4" s="106"/>
      <c r="L4" s="116"/>
      <c r="M4" s="8"/>
      <c r="N4" s="115" t="s">
        <v>256</v>
      </c>
      <c r="O4" s="106"/>
      <c r="P4" s="106"/>
      <c r="Q4" s="106"/>
      <c r="R4" s="116"/>
    </row>
    <row r="5" spans="1:18" ht="15">
      <c r="A5" s="13"/>
      <c r="B5" s="58" t="s">
        <v>118</v>
      </c>
      <c r="C5" s="59" t="s">
        <v>257</v>
      </c>
      <c r="D5" s="59" t="s">
        <v>119</v>
      </c>
      <c r="E5" s="59" t="s">
        <v>120</v>
      </c>
      <c r="F5" s="60" t="s">
        <v>121</v>
      </c>
      <c r="G5" s="40"/>
      <c r="H5" s="58" t="s">
        <v>118</v>
      </c>
      <c r="I5" s="59" t="s">
        <v>257</v>
      </c>
      <c r="J5" s="59" t="s">
        <v>119</v>
      </c>
      <c r="K5" s="59" t="s">
        <v>120</v>
      </c>
      <c r="L5" s="60" t="s">
        <v>121</v>
      </c>
      <c r="M5" s="40"/>
      <c r="N5" s="58" t="s">
        <v>118</v>
      </c>
      <c r="O5" s="59" t="s">
        <v>257</v>
      </c>
      <c r="P5" s="59" t="s">
        <v>119</v>
      </c>
      <c r="Q5" s="59" t="s">
        <v>120</v>
      </c>
      <c r="R5" s="60" t="s">
        <v>121</v>
      </c>
    </row>
    <row r="6" spans="1:18" ht="14">
      <c r="A6" s="13"/>
      <c r="B6" s="119" t="s">
        <v>2</v>
      </c>
      <c r="C6" s="122" t="s">
        <v>258</v>
      </c>
      <c r="D6" s="122" t="s">
        <v>258</v>
      </c>
      <c r="E6" s="122" t="s">
        <v>123</v>
      </c>
      <c r="F6" s="126" t="s">
        <v>123</v>
      </c>
      <c r="G6" s="13"/>
      <c r="H6" s="22" t="s">
        <v>21</v>
      </c>
      <c r="I6" s="13" t="s">
        <v>259</v>
      </c>
      <c r="J6" s="13" t="s">
        <v>260</v>
      </c>
      <c r="K6" s="13" t="s">
        <v>123</v>
      </c>
      <c r="L6" s="19" t="s">
        <v>123</v>
      </c>
      <c r="M6" s="13"/>
      <c r="N6" s="77" t="s">
        <v>19</v>
      </c>
      <c r="O6" s="13"/>
      <c r="P6" s="13"/>
      <c r="Q6" s="13" t="s">
        <v>123</v>
      </c>
      <c r="R6" s="19" t="s">
        <v>123</v>
      </c>
    </row>
    <row r="7" spans="1:18" ht="14">
      <c r="A7" s="13"/>
      <c r="B7" s="120"/>
      <c r="C7" s="106"/>
      <c r="D7" s="106"/>
      <c r="E7" s="106"/>
      <c r="F7" s="116"/>
      <c r="G7" s="13"/>
      <c r="H7" s="64" t="s">
        <v>30</v>
      </c>
      <c r="I7" s="78" t="s">
        <v>261</v>
      </c>
      <c r="J7" s="78" t="s">
        <v>262</v>
      </c>
      <c r="K7" s="78" t="s">
        <v>123</v>
      </c>
      <c r="L7" s="48" t="s">
        <v>123</v>
      </c>
      <c r="M7" s="13"/>
      <c r="N7" s="64" t="s">
        <v>28</v>
      </c>
      <c r="O7" s="78"/>
      <c r="P7" s="78"/>
      <c r="Q7" s="78" t="s">
        <v>123</v>
      </c>
      <c r="R7" s="48" t="s">
        <v>123</v>
      </c>
    </row>
    <row r="8" spans="1:18" ht="14">
      <c r="A8" s="13"/>
      <c r="B8" s="120"/>
      <c r="C8" s="106"/>
      <c r="D8" s="106"/>
      <c r="E8" s="106"/>
      <c r="F8" s="116"/>
      <c r="G8" s="13"/>
      <c r="H8" s="56" t="s">
        <v>39</v>
      </c>
      <c r="I8" s="49" t="s">
        <v>263</v>
      </c>
      <c r="J8" s="49" t="s">
        <v>264</v>
      </c>
      <c r="K8" s="49" t="s">
        <v>123</v>
      </c>
      <c r="L8" s="23" t="s">
        <v>123</v>
      </c>
      <c r="M8" s="13"/>
      <c r="N8" s="56" t="s">
        <v>37</v>
      </c>
      <c r="O8" s="49"/>
      <c r="P8" s="49"/>
      <c r="Q8" s="49" t="s">
        <v>123</v>
      </c>
      <c r="R8" s="23" t="s">
        <v>123</v>
      </c>
    </row>
    <row r="9" spans="1:18" ht="14">
      <c r="A9" s="13"/>
      <c r="B9" s="120"/>
      <c r="C9" s="106"/>
      <c r="D9" s="106"/>
      <c r="E9" s="106"/>
      <c r="F9" s="116"/>
      <c r="G9" s="13"/>
      <c r="H9" s="47"/>
      <c r="I9" s="47"/>
      <c r="J9" s="47"/>
      <c r="K9" s="47"/>
      <c r="L9" s="47"/>
      <c r="M9" s="13"/>
      <c r="N9" s="56" t="s">
        <v>46</v>
      </c>
      <c r="O9" s="49"/>
      <c r="P9" s="49"/>
      <c r="Q9" s="49" t="s">
        <v>123</v>
      </c>
      <c r="R9" s="23" t="s">
        <v>123</v>
      </c>
    </row>
    <row r="10" spans="1:18" ht="14">
      <c r="A10" s="13"/>
      <c r="B10" s="120"/>
      <c r="C10" s="106"/>
      <c r="D10" s="106"/>
      <c r="E10" s="106"/>
      <c r="F10" s="116"/>
      <c r="G10" s="13"/>
      <c r="H10" s="47"/>
      <c r="I10" s="47"/>
      <c r="J10" s="47"/>
      <c r="K10" s="47"/>
      <c r="L10" s="47"/>
      <c r="M10" s="13"/>
      <c r="N10" s="56" t="s">
        <v>53</v>
      </c>
      <c r="O10" s="49"/>
      <c r="P10" s="49"/>
      <c r="Q10" s="49"/>
      <c r="R10" s="23"/>
    </row>
    <row r="11" spans="1:18" ht="14">
      <c r="A11" s="13"/>
      <c r="B11" s="120"/>
      <c r="C11" s="106"/>
      <c r="D11" s="106"/>
      <c r="E11" s="106"/>
      <c r="F11" s="116"/>
      <c r="G11" s="13"/>
      <c r="H11" s="47"/>
      <c r="I11" s="47"/>
      <c r="J11" s="47"/>
      <c r="K11" s="47"/>
      <c r="L11" s="47"/>
      <c r="M11" s="13"/>
      <c r="N11" s="56" t="s">
        <v>58</v>
      </c>
      <c r="O11" s="49"/>
      <c r="P11" s="49"/>
      <c r="Q11" s="49"/>
      <c r="R11" s="23"/>
    </row>
    <row r="12" spans="1:18" ht="14">
      <c r="A12" s="13"/>
      <c r="B12" s="121"/>
      <c r="C12" s="123"/>
      <c r="D12" s="123"/>
      <c r="E12" s="123"/>
      <c r="F12" s="125"/>
      <c r="G12" s="13"/>
      <c r="H12" s="47"/>
      <c r="I12" s="47"/>
      <c r="J12" s="47"/>
      <c r="K12" s="47"/>
      <c r="L12" s="47"/>
      <c r="M12" s="13"/>
      <c r="N12" s="56" t="s">
        <v>63</v>
      </c>
      <c r="O12" s="49"/>
      <c r="P12" s="49"/>
      <c r="Q12" s="49"/>
      <c r="R12" s="23"/>
    </row>
    <row r="13" spans="1:18" ht="14">
      <c r="A13" s="13"/>
      <c r="B13" s="13"/>
      <c r="C13" s="13"/>
      <c r="D13" s="13"/>
      <c r="E13" s="13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</row>
    <row r="14" spans="1:18" ht="14">
      <c r="A14" s="13"/>
      <c r="B14" s="13"/>
      <c r="C14" s="13"/>
      <c r="D14" s="13"/>
      <c r="E14" s="13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</row>
  </sheetData>
  <mergeCells count="10">
    <mergeCell ref="D6:D12"/>
    <mergeCell ref="E6:E12"/>
    <mergeCell ref="B2:D2"/>
    <mergeCell ref="B3:R3"/>
    <mergeCell ref="B4:F4"/>
    <mergeCell ref="H4:L4"/>
    <mergeCell ref="N4:R4"/>
    <mergeCell ref="B6:B12"/>
    <mergeCell ref="C6:C12"/>
    <mergeCell ref="F6:F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Q38"/>
  <sheetViews>
    <sheetView showGridLines="0" workbookViewId="0">
      <selection activeCell="I25" sqref="I25"/>
    </sheetView>
  </sheetViews>
  <sheetFormatPr baseColWidth="10" defaultColWidth="12.6640625" defaultRowHeight="15.75" customHeight="1"/>
  <cols>
    <col min="1" max="1" width="2.6640625" customWidth="1"/>
    <col min="2" max="2" width="34.5" customWidth="1"/>
    <col min="3" max="3" width="29.83203125" customWidth="1"/>
    <col min="4" max="4" width="18.33203125" customWidth="1"/>
    <col min="6" max="6" width="3.5" customWidth="1"/>
    <col min="7" max="7" width="29.5" customWidth="1"/>
    <col min="8" max="9" width="37.1640625" customWidth="1"/>
    <col min="10" max="10" width="11.5" customWidth="1"/>
    <col min="11" max="11" width="19.33203125" customWidth="1"/>
    <col min="13" max="13" width="32.1640625" customWidth="1"/>
    <col min="14" max="14" width="29.6640625" customWidth="1"/>
    <col min="15" max="15" width="39.6640625" customWidth="1"/>
  </cols>
  <sheetData>
    <row r="1" spans="1:17" ht="15" customHeight="1">
      <c r="A1" s="13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73.5" customHeight="1">
      <c r="A2" s="13"/>
      <c r="B2" s="112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79"/>
    </row>
    <row r="3" spans="1:17" ht="15">
      <c r="A3" s="13"/>
      <c r="B3" s="114" t="s">
        <v>3</v>
      </c>
      <c r="C3" s="106"/>
      <c r="D3" s="106"/>
      <c r="E3" s="106"/>
      <c r="F3" s="106"/>
      <c r="G3" s="106"/>
      <c r="H3" s="106"/>
      <c r="I3" s="106"/>
      <c r="J3" s="106"/>
      <c r="K3" s="116"/>
      <c r="L3" s="76"/>
      <c r="M3" s="76"/>
      <c r="N3" s="76"/>
      <c r="O3" s="76"/>
      <c r="P3" s="76"/>
      <c r="Q3" s="76"/>
    </row>
    <row r="4" spans="1:17" ht="14">
      <c r="A4" s="13"/>
      <c r="B4" s="115" t="s">
        <v>117</v>
      </c>
      <c r="C4" s="106"/>
      <c r="D4" s="106"/>
      <c r="E4" s="116"/>
      <c r="F4" s="13"/>
      <c r="G4" s="115" t="s">
        <v>126</v>
      </c>
      <c r="H4" s="106"/>
      <c r="I4" s="106"/>
      <c r="J4" s="106"/>
      <c r="K4" s="116"/>
      <c r="L4" s="8"/>
      <c r="M4" s="108" t="s">
        <v>126</v>
      </c>
      <c r="N4" s="106"/>
      <c r="O4" s="106"/>
      <c r="P4" s="106"/>
      <c r="Q4" s="116"/>
    </row>
    <row r="5" spans="1:17" ht="14">
      <c r="A5" s="13"/>
      <c r="B5" s="39"/>
      <c r="C5" s="40"/>
      <c r="D5" s="40"/>
      <c r="E5" s="41"/>
      <c r="F5" s="13"/>
      <c r="G5" s="39"/>
      <c r="H5" s="40"/>
      <c r="I5" s="40"/>
      <c r="J5" s="40"/>
      <c r="K5" s="41"/>
      <c r="L5" s="40"/>
      <c r="M5" s="39"/>
      <c r="N5" s="40"/>
      <c r="O5" s="40"/>
      <c r="P5" s="40"/>
      <c r="Q5" s="41"/>
    </row>
    <row r="6" spans="1:17" ht="14">
      <c r="A6" s="13"/>
      <c r="B6" s="119"/>
      <c r="C6" s="122"/>
      <c r="D6" s="122"/>
      <c r="E6" s="124"/>
      <c r="F6" s="13"/>
      <c r="G6" s="16"/>
      <c r="H6" s="18"/>
      <c r="I6" s="18"/>
      <c r="J6" s="18"/>
      <c r="K6" s="45"/>
      <c r="L6" s="13"/>
      <c r="M6" s="119"/>
      <c r="N6" s="127"/>
      <c r="O6" s="127"/>
      <c r="P6" s="127"/>
      <c r="Q6" s="128"/>
    </row>
    <row r="7" spans="1:17" ht="14">
      <c r="A7" s="13"/>
      <c r="B7" s="120"/>
      <c r="C7" s="106"/>
      <c r="D7" s="106"/>
      <c r="E7" s="116"/>
      <c r="F7" s="13"/>
      <c r="G7" s="16"/>
      <c r="H7" s="18"/>
      <c r="I7" s="18"/>
      <c r="J7" s="18"/>
      <c r="K7" s="45"/>
      <c r="L7" s="13"/>
      <c r="M7" s="132"/>
      <c r="N7" s="111"/>
      <c r="O7" s="111"/>
      <c r="P7" s="111"/>
      <c r="Q7" s="110"/>
    </row>
    <row r="8" spans="1:17" ht="14">
      <c r="A8" s="13"/>
      <c r="B8" s="120"/>
      <c r="C8" s="106"/>
      <c r="D8" s="106"/>
      <c r="E8" s="116"/>
      <c r="F8" s="13"/>
      <c r="G8" s="16"/>
      <c r="H8" s="18"/>
      <c r="I8" s="80"/>
      <c r="J8" s="18"/>
      <c r="K8" s="45"/>
      <c r="L8" s="13"/>
      <c r="M8" s="136"/>
      <c r="N8" s="123"/>
      <c r="O8" s="123"/>
      <c r="P8" s="123"/>
      <c r="Q8" s="125"/>
    </row>
    <row r="9" spans="1:17" ht="14">
      <c r="A9" s="13"/>
      <c r="B9" s="120"/>
      <c r="C9" s="106"/>
      <c r="D9" s="106"/>
      <c r="E9" s="116"/>
      <c r="F9" s="13"/>
      <c r="G9" s="64"/>
      <c r="H9" s="78"/>
      <c r="I9" s="78"/>
      <c r="J9" s="78"/>
      <c r="K9" s="48"/>
      <c r="L9" s="13"/>
      <c r="M9" s="136"/>
      <c r="N9" s="123"/>
      <c r="O9" s="123"/>
      <c r="P9" s="123"/>
      <c r="Q9" s="125"/>
    </row>
    <row r="10" spans="1:17" ht="14">
      <c r="A10" s="13"/>
      <c r="B10" s="120"/>
      <c r="C10" s="106"/>
      <c r="D10" s="106"/>
      <c r="E10" s="116"/>
      <c r="F10" s="13"/>
      <c r="G10" s="56"/>
      <c r="H10" s="49"/>
      <c r="I10" s="49"/>
      <c r="J10" s="49"/>
      <c r="K10" s="23"/>
      <c r="L10" s="47"/>
      <c r="M10" s="136"/>
      <c r="N10" s="123"/>
      <c r="O10" s="123"/>
      <c r="P10" s="123"/>
      <c r="Q10" s="125"/>
    </row>
    <row r="11" spans="1:17" ht="14">
      <c r="A11" s="13"/>
      <c r="B11" s="121"/>
      <c r="C11" s="123"/>
      <c r="D11" s="123"/>
      <c r="E11" s="125"/>
      <c r="F11" s="13"/>
      <c r="G11" s="64"/>
      <c r="H11" s="78"/>
      <c r="I11" s="78"/>
      <c r="J11" s="78"/>
      <c r="K11" s="48"/>
      <c r="L11" s="47"/>
      <c r="M11" s="136"/>
      <c r="N11" s="123"/>
      <c r="O11" s="123"/>
      <c r="P11" s="123"/>
      <c r="Q11" s="125"/>
    </row>
    <row r="12" spans="1:17" ht="14">
      <c r="A12" s="13"/>
      <c r="B12" s="13"/>
      <c r="C12" s="13"/>
      <c r="D12" s="13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</row>
    <row r="13" spans="1:17" ht="14">
      <c r="A13" s="13"/>
      <c r="B13" s="13"/>
      <c r="C13" s="13"/>
      <c r="D13" s="13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ht="14">
      <c r="A14" s="13"/>
      <c r="B14" s="52" t="s">
        <v>233</v>
      </c>
      <c r="C14" s="52" t="s">
        <v>234</v>
      </c>
      <c r="D14" s="52" t="s">
        <v>265</v>
      </c>
      <c r="E14" s="72" t="s">
        <v>266</v>
      </c>
      <c r="F14" s="72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1:17" ht="14">
      <c r="A15" s="13"/>
      <c r="B15" s="51" t="s">
        <v>267</v>
      </c>
      <c r="C15" s="51" t="s">
        <v>268</v>
      </c>
      <c r="D15" s="51" t="s">
        <v>3</v>
      </c>
      <c r="E15" s="73" t="s">
        <v>269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spans="1:17" ht="14">
      <c r="A16" s="13"/>
      <c r="B16" s="51" t="s">
        <v>67</v>
      </c>
      <c r="C16" s="51" t="s">
        <v>270</v>
      </c>
      <c r="D16" s="51" t="s">
        <v>3</v>
      </c>
      <c r="E16" s="73" t="s">
        <v>271</v>
      </c>
      <c r="G16" s="47"/>
      <c r="H16" s="47"/>
      <c r="I16" s="13"/>
      <c r="J16" s="13"/>
      <c r="K16" s="13"/>
      <c r="L16" s="47"/>
      <c r="M16" s="47"/>
      <c r="N16" s="47"/>
      <c r="O16" s="47"/>
      <c r="P16" s="47"/>
      <c r="Q16" s="47"/>
    </row>
    <row r="17" spans="1:17" ht="14">
      <c r="A17" s="13"/>
      <c r="B17" s="51" t="s">
        <v>272</v>
      </c>
      <c r="C17" s="51" t="s">
        <v>273</v>
      </c>
      <c r="D17" s="51" t="s">
        <v>3</v>
      </c>
      <c r="E17" s="73" t="s">
        <v>274</v>
      </c>
      <c r="G17" s="47"/>
      <c r="H17" s="47"/>
      <c r="I17" s="13"/>
      <c r="J17" s="13"/>
      <c r="K17" s="13"/>
      <c r="L17" s="47"/>
      <c r="M17" s="47"/>
      <c r="N17" s="47"/>
      <c r="O17" s="47"/>
      <c r="P17" s="47"/>
      <c r="Q17" s="47"/>
    </row>
    <row r="18" spans="1:17" ht="14">
      <c r="A18" s="13"/>
      <c r="B18" s="51" t="s">
        <v>18</v>
      </c>
      <c r="C18" s="51" t="s">
        <v>275</v>
      </c>
      <c r="D18" s="51" t="s">
        <v>276</v>
      </c>
      <c r="E18" s="73" t="s">
        <v>277</v>
      </c>
      <c r="G18" s="47"/>
      <c r="H18" s="47"/>
      <c r="I18" s="13"/>
      <c r="J18" s="13"/>
      <c r="K18" s="13"/>
      <c r="L18" s="47"/>
      <c r="M18" s="47"/>
      <c r="N18" s="47"/>
      <c r="O18" s="47"/>
      <c r="P18" s="47"/>
      <c r="Q18" s="47"/>
    </row>
    <row r="19" spans="1:17" ht="14">
      <c r="A19" s="13"/>
      <c r="B19" s="51" t="s">
        <v>27</v>
      </c>
      <c r="C19" s="51" t="s">
        <v>278</v>
      </c>
      <c r="D19" s="51" t="s">
        <v>276</v>
      </c>
      <c r="E19" s="73" t="s">
        <v>279</v>
      </c>
      <c r="G19" s="47"/>
      <c r="H19" s="47"/>
      <c r="I19" s="13"/>
      <c r="J19" s="13"/>
      <c r="K19" s="13"/>
      <c r="L19" s="47"/>
      <c r="M19" s="47"/>
      <c r="N19" s="47"/>
      <c r="O19" s="47"/>
      <c r="P19" s="47"/>
      <c r="Q19" s="47"/>
    </row>
    <row r="20" spans="1:17" ht="14">
      <c r="A20" s="13"/>
      <c r="B20" s="51" t="s">
        <v>36</v>
      </c>
      <c r="C20" s="51" t="s">
        <v>280</v>
      </c>
      <c r="D20" s="51" t="s">
        <v>276</v>
      </c>
      <c r="E20" s="73" t="s">
        <v>281</v>
      </c>
      <c r="G20" s="47"/>
      <c r="H20" s="47"/>
      <c r="I20" s="13"/>
      <c r="J20" s="13"/>
      <c r="K20" s="13"/>
      <c r="L20" s="47"/>
      <c r="M20" s="47"/>
      <c r="N20" s="47"/>
      <c r="O20" s="47"/>
      <c r="P20" s="47"/>
      <c r="Q20" s="47"/>
    </row>
    <row r="21" spans="1:17" ht="14">
      <c r="A21" s="13"/>
      <c r="B21" s="51" t="s">
        <v>71</v>
      </c>
      <c r="C21" s="51" t="s">
        <v>282</v>
      </c>
      <c r="D21" s="51" t="s">
        <v>3</v>
      </c>
      <c r="E21" s="73" t="s">
        <v>283</v>
      </c>
      <c r="G21" s="47"/>
      <c r="H21" s="47"/>
      <c r="I21" s="13"/>
      <c r="J21" s="13"/>
      <c r="K21" s="13"/>
      <c r="L21" s="47"/>
      <c r="M21" s="47"/>
      <c r="N21" s="47"/>
      <c r="O21" s="47"/>
      <c r="P21" s="47"/>
      <c r="Q21" s="47"/>
    </row>
    <row r="22" spans="1:17" ht="14">
      <c r="A22" s="13"/>
      <c r="B22" s="51" t="s">
        <v>284</v>
      </c>
      <c r="C22" s="51" t="s">
        <v>285</v>
      </c>
      <c r="D22" s="51" t="s">
        <v>3</v>
      </c>
      <c r="E22" s="73" t="s">
        <v>286</v>
      </c>
      <c r="G22" s="47"/>
      <c r="H22" s="47"/>
      <c r="I22" s="13"/>
      <c r="J22" s="13"/>
      <c r="K22" s="13"/>
      <c r="L22" s="47"/>
      <c r="M22" s="47"/>
      <c r="N22" s="47"/>
      <c r="O22" s="47"/>
      <c r="P22" s="47"/>
      <c r="Q22" s="47"/>
    </row>
    <row r="23" spans="1:17" ht="14">
      <c r="A23" s="13"/>
      <c r="B23" s="51" t="s">
        <v>109</v>
      </c>
      <c r="C23" s="51" t="s">
        <v>287</v>
      </c>
      <c r="D23" s="51" t="s">
        <v>3</v>
      </c>
      <c r="E23" s="73" t="s">
        <v>288</v>
      </c>
      <c r="G23" s="47"/>
      <c r="H23" s="47"/>
      <c r="I23" s="13"/>
      <c r="J23" s="13"/>
      <c r="K23" s="13"/>
      <c r="L23" s="47"/>
      <c r="M23" s="47"/>
      <c r="N23" s="47"/>
      <c r="O23" s="47"/>
      <c r="P23" s="47"/>
      <c r="Q23" s="47"/>
    </row>
    <row r="24" spans="1:17" ht="14">
      <c r="A24" s="13"/>
      <c r="B24" s="51" t="s">
        <v>55</v>
      </c>
      <c r="C24" s="51" t="s">
        <v>289</v>
      </c>
      <c r="D24" s="51" t="s">
        <v>3</v>
      </c>
      <c r="E24" s="73" t="s">
        <v>290</v>
      </c>
      <c r="G24" s="47"/>
      <c r="H24" s="47"/>
      <c r="I24" s="13"/>
      <c r="J24" s="13"/>
      <c r="K24" s="13"/>
      <c r="L24" s="47"/>
      <c r="M24" s="47"/>
      <c r="N24" s="47"/>
      <c r="O24" s="47"/>
      <c r="P24" s="47"/>
      <c r="Q24" s="47"/>
    </row>
    <row r="25" spans="1:17" ht="14">
      <c r="A25" s="13"/>
      <c r="B25" s="51" t="s">
        <v>48</v>
      </c>
      <c r="C25" s="51" t="s">
        <v>291</v>
      </c>
      <c r="D25" s="51" t="s">
        <v>3</v>
      </c>
      <c r="E25" s="73" t="s">
        <v>292</v>
      </c>
      <c r="G25" s="47"/>
      <c r="H25" s="47"/>
      <c r="I25" s="13"/>
      <c r="J25" s="13"/>
      <c r="K25" s="13"/>
      <c r="L25" s="47"/>
      <c r="M25" s="47"/>
      <c r="N25" s="47"/>
      <c r="O25" s="47"/>
      <c r="P25" s="47"/>
      <c r="Q25" s="47"/>
    </row>
    <row r="26" spans="1:17" ht="14">
      <c r="A26" s="13"/>
      <c r="E26" s="73"/>
      <c r="F26" s="47"/>
      <c r="G26" s="47"/>
      <c r="H26" s="47"/>
      <c r="I26" s="13"/>
      <c r="J26" s="13"/>
      <c r="K26" s="13"/>
      <c r="L26" s="47"/>
      <c r="M26" s="47"/>
      <c r="N26" s="47"/>
      <c r="O26" s="47"/>
      <c r="P26" s="47"/>
      <c r="Q26" s="47"/>
    </row>
    <row r="27" spans="1:17" ht="14">
      <c r="A27" s="13"/>
      <c r="E27" s="73"/>
      <c r="F27" s="47"/>
      <c r="G27" s="47"/>
      <c r="H27" s="47"/>
      <c r="I27" s="13"/>
      <c r="J27" s="13"/>
      <c r="K27" s="13"/>
      <c r="L27" s="47"/>
      <c r="M27" s="47"/>
      <c r="N27" s="47"/>
      <c r="O27" s="47"/>
      <c r="P27" s="47"/>
      <c r="Q27" s="47"/>
    </row>
    <row r="28" spans="1:17" ht="14">
      <c r="A28" s="13"/>
      <c r="E28" s="73"/>
      <c r="F28" s="47"/>
      <c r="G28" s="47"/>
      <c r="H28" s="47"/>
      <c r="I28" s="13"/>
      <c r="J28" s="13"/>
      <c r="K28" s="13"/>
      <c r="L28" s="47"/>
      <c r="M28" s="47"/>
      <c r="N28" s="47"/>
      <c r="O28" s="47"/>
      <c r="P28" s="47"/>
      <c r="Q28" s="47"/>
    </row>
    <row r="29" spans="1:17" ht="14">
      <c r="A29" s="13"/>
      <c r="E29" s="73"/>
      <c r="F29" s="47"/>
      <c r="G29" s="47"/>
      <c r="H29" s="47"/>
      <c r="I29" s="13"/>
      <c r="J29" s="13"/>
      <c r="K29" s="13"/>
      <c r="L29" s="47"/>
      <c r="M29" s="47"/>
      <c r="N29" s="47"/>
      <c r="O29" s="47"/>
      <c r="P29" s="47"/>
      <c r="Q29" s="47"/>
    </row>
    <row r="30" spans="1:17" ht="14">
      <c r="A30" s="13"/>
      <c r="E30" s="73"/>
      <c r="F30" s="47"/>
      <c r="G30" s="47"/>
      <c r="H30" s="47"/>
      <c r="I30" s="13"/>
      <c r="J30" s="13"/>
      <c r="K30" s="13"/>
      <c r="L30" s="47"/>
      <c r="M30" s="47"/>
      <c r="N30" s="47"/>
      <c r="O30" s="47"/>
      <c r="P30" s="47"/>
      <c r="Q30" s="47"/>
    </row>
    <row r="31" spans="1:17" ht="14">
      <c r="A31" s="13"/>
      <c r="E31" s="73"/>
      <c r="F31" s="47"/>
      <c r="G31" s="47"/>
      <c r="H31" s="47"/>
      <c r="I31" s="13"/>
      <c r="J31" s="13"/>
      <c r="K31" s="13"/>
      <c r="L31" s="47"/>
      <c r="M31" s="47"/>
      <c r="N31" s="47"/>
      <c r="O31" s="47"/>
      <c r="P31" s="47"/>
      <c r="Q31" s="47"/>
    </row>
    <row r="32" spans="1:17" ht="14">
      <c r="A32" s="13"/>
      <c r="E32" s="73"/>
      <c r="F32" s="47"/>
      <c r="G32" s="47"/>
      <c r="H32" s="47"/>
      <c r="I32" s="13"/>
      <c r="J32" s="13"/>
      <c r="K32" s="13"/>
      <c r="L32" s="47"/>
      <c r="M32" s="47"/>
      <c r="N32" s="47"/>
      <c r="O32" s="47"/>
      <c r="P32" s="47"/>
      <c r="Q32" s="47"/>
    </row>
    <row r="33" spans="1:17" ht="14">
      <c r="A33" s="13"/>
      <c r="E33" s="73"/>
      <c r="F33" s="47"/>
      <c r="G33" s="47"/>
      <c r="H33" s="47"/>
      <c r="I33" s="13"/>
      <c r="J33" s="13"/>
      <c r="K33" s="13"/>
      <c r="L33" s="47"/>
      <c r="M33" s="47"/>
      <c r="N33" s="47"/>
      <c r="O33" s="47"/>
      <c r="P33" s="47"/>
      <c r="Q33" s="47"/>
    </row>
    <row r="34" spans="1:17" ht="14">
      <c r="A34" s="13"/>
      <c r="E34" s="73"/>
      <c r="F34" s="47"/>
      <c r="G34" s="47"/>
      <c r="H34" s="47"/>
      <c r="I34" s="13"/>
      <c r="J34" s="13"/>
      <c r="K34" s="13"/>
      <c r="L34" s="47"/>
      <c r="M34" s="47"/>
      <c r="N34" s="47"/>
      <c r="O34" s="47"/>
      <c r="P34" s="47"/>
      <c r="Q34" s="47"/>
    </row>
    <row r="35" spans="1:17" ht="14">
      <c r="A35" s="13"/>
      <c r="E35" s="73"/>
      <c r="F35" s="47"/>
      <c r="G35" s="47"/>
      <c r="H35" s="47"/>
      <c r="I35" s="13"/>
      <c r="J35" s="13"/>
      <c r="K35" s="13"/>
      <c r="L35" s="47"/>
      <c r="M35" s="47"/>
      <c r="N35" s="47"/>
      <c r="O35" s="47"/>
      <c r="P35" s="47"/>
      <c r="Q35" s="47"/>
    </row>
    <row r="36" spans="1:17" ht="14">
      <c r="A36" s="13"/>
      <c r="E36" s="73"/>
      <c r="F36" s="47"/>
      <c r="G36" s="47"/>
      <c r="H36" s="47"/>
      <c r="I36" s="13"/>
      <c r="J36" s="13"/>
      <c r="K36" s="13"/>
      <c r="L36" s="47"/>
      <c r="M36" s="47"/>
      <c r="N36" s="47"/>
      <c r="O36" s="47"/>
      <c r="P36" s="47"/>
      <c r="Q36" s="47"/>
    </row>
    <row r="37" spans="1:17" ht="14">
      <c r="A37" s="13"/>
      <c r="E37" s="73"/>
      <c r="F37" s="47"/>
      <c r="G37" s="47"/>
      <c r="H37" s="47"/>
      <c r="I37" s="13"/>
      <c r="J37" s="13"/>
      <c r="K37" s="13"/>
      <c r="L37" s="47"/>
      <c r="M37" s="47"/>
      <c r="N37" s="47"/>
      <c r="O37" s="47"/>
      <c r="P37" s="47"/>
      <c r="Q37" s="47"/>
    </row>
    <row r="38" spans="1:17" ht="14">
      <c r="A38" s="13"/>
      <c r="E38" s="73"/>
      <c r="F38" s="47"/>
      <c r="G38" s="47"/>
      <c r="H38" s="47"/>
      <c r="I38" s="13"/>
      <c r="J38" s="13"/>
      <c r="K38" s="13"/>
      <c r="L38" s="47"/>
      <c r="M38" s="47"/>
      <c r="N38" s="47"/>
      <c r="O38" s="47"/>
      <c r="P38" s="47"/>
      <c r="Q38" s="47"/>
    </row>
  </sheetData>
  <mergeCells count="15">
    <mergeCell ref="B6:B11"/>
    <mergeCell ref="C6:C11"/>
    <mergeCell ref="B2:P2"/>
    <mergeCell ref="B3:K3"/>
    <mergeCell ref="B4:E4"/>
    <mergeCell ref="G4:K4"/>
    <mergeCell ref="M4:Q4"/>
    <mergeCell ref="D6:D11"/>
    <mergeCell ref="E6:E11"/>
    <mergeCell ref="M6:Q6"/>
    <mergeCell ref="M7:Q7"/>
    <mergeCell ref="M8:Q8"/>
    <mergeCell ref="M9:Q9"/>
    <mergeCell ref="M10:Q10"/>
    <mergeCell ref="M11:Q11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F26"/>
  <sheetViews>
    <sheetView showGridLines="0" workbookViewId="0">
      <selection activeCell="B5" sqref="B5:E12"/>
    </sheetView>
  </sheetViews>
  <sheetFormatPr baseColWidth="10" defaultColWidth="12.6640625" defaultRowHeight="15.75" customHeight="1"/>
  <cols>
    <col min="1" max="1" width="2.6640625" customWidth="1"/>
    <col min="2" max="2" width="29.5" customWidth="1"/>
    <col min="3" max="3" width="26" customWidth="1"/>
    <col min="6" max="6" width="40" customWidth="1"/>
  </cols>
  <sheetData>
    <row r="1" spans="1:6" ht="15" customHeight="1">
      <c r="A1" s="9"/>
      <c r="B1" s="36"/>
      <c r="C1" s="36"/>
      <c r="D1" s="36"/>
      <c r="E1" s="36"/>
      <c r="F1" s="36"/>
    </row>
    <row r="2" spans="1:6" ht="73.5" customHeight="1">
      <c r="A2" s="36"/>
      <c r="B2" s="137"/>
      <c r="C2" s="113"/>
      <c r="D2" s="113"/>
      <c r="E2" s="118"/>
      <c r="F2" s="75"/>
    </row>
    <row r="3" spans="1:6" ht="15">
      <c r="A3" s="36"/>
      <c r="B3" s="138" t="s">
        <v>101</v>
      </c>
      <c r="C3" s="106"/>
      <c r="D3" s="106"/>
      <c r="E3" s="116"/>
      <c r="F3" s="6"/>
    </row>
    <row r="4" spans="1:6" ht="14">
      <c r="A4" s="36"/>
      <c r="B4" s="139" t="s">
        <v>117</v>
      </c>
      <c r="C4" s="106"/>
      <c r="D4" s="106"/>
      <c r="E4" s="116"/>
      <c r="F4" s="81"/>
    </row>
    <row r="5" spans="1:6" ht="14">
      <c r="A5" s="36"/>
      <c r="B5" s="82"/>
      <c r="C5" s="83"/>
      <c r="D5" s="83"/>
      <c r="E5" s="84"/>
      <c r="F5" s="83"/>
    </row>
    <row r="6" spans="1:6" ht="14">
      <c r="A6" s="36"/>
      <c r="B6" s="85"/>
      <c r="C6" s="61"/>
      <c r="D6" s="61"/>
      <c r="E6" s="62"/>
      <c r="F6" s="9"/>
    </row>
    <row r="7" spans="1:6" ht="14">
      <c r="A7" s="36"/>
      <c r="B7" s="21"/>
      <c r="C7" s="86"/>
      <c r="D7" s="9"/>
      <c r="E7" s="87"/>
      <c r="F7" s="9"/>
    </row>
    <row r="8" spans="1:6" ht="14">
      <c r="A8" s="36"/>
      <c r="B8" s="21"/>
      <c r="C8" s="9"/>
      <c r="D8" s="9"/>
      <c r="E8" s="87"/>
      <c r="F8" s="9"/>
    </row>
    <row r="9" spans="1:6" ht="14">
      <c r="A9" s="36"/>
      <c r="B9" s="88"/>
      <c r="C9" s="86"/>
      <c r="D9" s="28"/>
      <c r="E9" s="89"/>
      <c r="F9" s="28"/>
    </row>
    <row r="10" spans="1:6" ht="14">
      <c r="A10" s="36"/>
      <c r="B10" s="88"/>
      <c r="C10" s="86"/>
      <c r="D10" s="28"/>
      <c r="E10" s="89"/>
      <c r="F10" s="28"/>
    </row>
    <row r="11" spans="1:6" ht="14">
      <c r="A11" s="36"/>
      <c r="B11" s="21"/>
      <c r="C11" s="9"/>
      <c r="D11" s="9"/>
      <c r="E11" s="87"/>
      <c r="F11" s="9"/>
    </row>
    <row r="12" spans="1:6" ht="14">
      <c r="A12" s="36"/>
      <c r="B12" s="27"/>
      <c r="C12" s="24"/>
      <c r="D12" s="24"/>
      <c r="E12" s="43"/>
      <c r="F12" s="9"/>
    </row>
    <row r="13" spans="1:6" ht="13">
      <c r="A13" s="36"/>
      <c r="B13" s="90"/>
      <c r="C13" s="90"/>
      <c r="D13" s="90"/>
      <c r="E13" s="90"/>
      <c r="F13" s="90"/>
    </row>
    <row r="14" spans="1:6" ht="13">
      <c r="A14" s="36"/>
      <c r="B14" s="90" t="s">
        <v>293</v>
      </c>
      <c r="C14" s="90"/>
      <c r="D14" s="90"/>
      <c r="E14" s="90"/>
      <c r="F14" s="90"/>
    </row>
    <row r="15" spans="1:6" ht="13">
      <c r="A15" s="36"/>
      <c r="B15" s="72" t="s">
        <v>233</v>
      </c>
      <c r="C15" s="72" t="s">
        <v>234</v>
      </c>
      <c r="D15" s="72"/>
      <c r="E15" s="72" t="s">
        <v>294</v>
      </c>
      <c r="F15" s="72" t="s">
        <v>266</v>
      </c>
    </row>
    <row r="16" spans="1:6" ht="70">
      <c r="A16" s="36"/>
      <c r="B16" s="73" t="s">
        <v>69</v>
      </c>
      <c r="C16" s="73" t="s">
        <v>295</v>
      </c>
      <c r="D16" s="73"/>
      <c r="E16" s="73" t="s">
        <v>296</v>
      </c>
      <c r="F16" s="91" t="s">
        <v>297</v>
      </c>
    </row>
    <row r="17" spans="1:6" ht="42">
      <c r="A17" s="36"/>
      <c r="B17" s="73" t="s">
        <v>106</v>
      </c>
      <c r="C17" s="73" t="s">
        <v>298</v>
      </c>
      <c r="D17" s="73"/>
      <c r="E17" s="73" t="s">
        <v>296</v>
      </c>
      <c r="F17" s="91" t="s">
        <v>299</v>
      </c>
    </row>
    <row r="18" spans="1:6" ht="14">
      <c r="A18" s="36"/>
      <c r="B18" s="73" t="s">
        <v>300</v>
      </c>
      <c r="C18" s="51" t="s">
        <v>301</v>
      </c>
      <c r="D18" s="73"/>
      <c r="E18" s="73" t="s">
        <v>296</v>
      </c>
      <c r="F18" s="91" t="s">
        <v>302</v>
      </c>
    </row>
    <row r="19" spans="1:6" ht="56">
      <c r="A19" s="36"/>
      <c r="B19" s="73" t="s">
        <v>79</v>
      </c>
      <c r="C19" s="92" t="s">
        <v>303</v>
      </c>
      <c r="D19" s="73"/>
      <c r="E19" s="73" t="s">
        <v>304</v>
      </c>
      <c r="F19" s="91" t="s">
        <v>305</v>
      </c>
    </row>
    <row r="20" spans="1:6" ht="42">
      <c r="A20" s="36"/>
      <c r="B20" s="73" t="s">
        <v>81</v>
      </c>
      <c r="D20" s="73"/>
      <c r="E20" s="73" t="s">
        <v>304</v>
      </c>
      <c r="F20" s="91" t="s">
        <v>306</v>
      </c>
    </row>
    <row r="21" spans="1:6" ht="56">
      <c r="A21" s="36"/>
      <c r="B21" s="73" t="s">
        <v>83</v>
      </c>
      <c r="D21" s="73"/>
      <c r="E21" s="73" t="s">
        <v>304</v>
      </c>
      <c r="F21" s="91" t="s">
        <v>307</v>
      </c>
    </row>
    <row r="22" spans="1:6" ht="56">
      <c r="A22" s="36"/>
      <c r="B22" s="73" t="s">
        <v>85</v>
      </c>
      <c r="D22" s="73"/>
      <c r="E22" s="73" t="s">
        <v>304</v>
      </c>
      <c r="F22" s="91" t="s">
        <v>308</v>
      </c>
    </row>
    <row r="23" spans="1:6" ht="42">
      <c r="A23" s="36"/>
      <c r="B23" s="73" t="s">
        <v>87</v>
      </c>
      <c r="D23" s="73"/>
      <c r="E23" s="73" t="s">
        <v>304</v>
      </c>
      <c r="F23" s="91" t="s">
        <v>309</v>
      </c>
    </row>
    <row r="24" spans="1:6" ht="56">
      <c r="A24" s="36"/>
      <c r="B24" s="73" t="s">
        <v>2</v>
      </c>
      <c r="D24" s="73"/>
      <c r="E24" s="73" t="s">
        <v>304</v>
      </c>
      <c r="F24" s="91" t="s">
        <v>310</v>
      </c>
    </row>
    <row r="25" spans="1:6" ht="42">
      <c r="A25" s="36"/>
      <c r="B25" s="73" t="s">
        <v>60</v>
      </c>
      <c r="C25" s="51" t="s">
        <v>311</v>
      </c>
      <c r="D25" s="73"/>
      <c r="E25" s="73" t="s">
        <v>296</v>
      </c>
      <c r="F25" s="91" t="s">
        <v>312</v>
      </c>
    </row>
    <row r="26" spans="1:6" ht="28">
      <c r="A26" s="36"/>
      <c r="B26" s="73" t="s">
        <v>89</v>
      </c>
      <c r="C26" s="51" t="s">
        <v>313</v>
      </c>
      <c r="D26" s="73"/>
      <c r="E26" s="73" t="s">
        <v>296</v>
      </c>
      <c r="F26" s="91" t="s">
        <v>314</v>
      </c>
    </row>
  </sheetData>
  <mergeCells count="3">
    <mergeCell ref="B2:E2"/>
    <mergeCell ref="B3:E3"/>
    <mergeCell ref="B4:E4"/>
  </mergeCells>
  <hyperlinks>
    <hyperlink ref="C19" r:id="rId1" xr:uid="{00000000-0004-0000-0900-000003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</sheetPr>
  <dimension ref="A1:E21"/>
  <sheetViews>
    <sheetView showGridLines="0" workbookViewId="0"/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4" width="29.83203125" customWidth="1"/>
    <col min="5" max="5" width="18.33203125" customWidth="1"/>
  </cols>
  <sheetData>
    <row r="1" spans="1:5" ht="15" customHeight="1">
      <c r="A1" s="13"/>
      <c r="B1" s="36"/>
      <c r="C1" s="36"/>
      <c r="D1" s="36"/>
      <c r="E1" s="36"/>
    </row>
    <row r="2" spans="1:5" ht="73.5" customHeight="1">
      <c r="A2" s="13"/>
      <c r="B2" s="112"/>
      <c r="C2" s="113"/>
      <c r="D2" s="113"/>
      <c r="E2" s="38"/>
    </row>
    <row r="3" spans="1:5" ht="15">
      <c r="A3" s="13"/>
      <c r="B3" s="114" t="s">
        <v>4</v>
      </c>
      <c r="C3" s="106"/>
      <c r="D3" s="106"/>
      <c r="E3" s="116"/>
    </row>
    <row r="4" spans="1:5" ht="14">
      <c r="A4" s="13"/>
      <c r="B4" s="115" t="s">
        <v>117</v>
      </c>
      <c r="C4" s="106"/>
      <c r="D4" s="106"/>
      <c r="E4" s="116"/>
    </row>
    <row r="5" spans="1:5" ht="15">
      <c r="A5" s="13"/>
      <c r="B5" s="39" t="s">
        <v>118</v>
      </c>
      <c r="C5" s="40" t="s">
        <v>119</v>
      </c>
      <c r="D5" s="40" t="s">
        <v>120</v>
      </c>
      <c r="E5" s="41" t="s">
        <v>121</v>
      </c>
    </row>
    <row r="6" spans="1:5" ht="14">
      <c r="A6" s="13"/>
      <c r="B6" s="16" t="s">
        <v>22</v>
      </c>
      <c r="C6" s="18" t="s">
        <v>315</v>
      </c>
      <c r="D6" s="18" t="s">
        <v>123</v>
      </c>
      <c r="E6" s="42" t="s">
        <v>123</v>
      </c>
    </row>
    <row r="7" spans="1:5" ht="14">
      <c r="A7" s="13"/>
      <c r="B7" s="22" t="s">
        <v>31</v>
      </c>
      <c r="C7" s="13" t="s">
        <v>316</v>
      </c>
      <c r="D7" s="13" t="s">
        <v>123</v>
      </c>
      <c r="E7" s="19" t="s">
        <v>123</v>
      </c>
    </row>
    <row r="8" spans="1:5" ht="14">
      <c r="A8" s="13"/>
      <c r="B8" s="56" t="s">
        <v>40</v>
      </c>
      <c r="C8" s="49" t="s">
        <v>317</v>
      </c>
      <c r="D8" s="49" t="s">
        <v>123</v>
      </c>
      <c r="E8" s="23" t="s">
        <v>123</v>
      </c>
    </row>
    <row r="9" spans="1:5" ht="14">
      <c r="A9" s="13"/>
      <c r="B9" s="13"/>
      <c r="C9" s="13"/>
      <c r="D9" s="13"/>
      <c r="E9" s="13"/>
    </row>
    <row r="10" spans="1:5" ht="14">
      <c r="A10" s="13"/>
      <c r="B10" s="13"/>
      <c r="C10" s="13"/>
      <c r="D10" s="13"/>
      <c r="E10" s="13"/>
    </row>
    <row r="11" spans="1:5" ht="14">
      <c r="A11" s="13"/>
      <c r="B11" s="13"/>
      <c r="C11" s="13"/>
      <c r="D11" s="13"/>
      <c r="E11" s="13"/>
    </row>
    <row r="12" spans="1:5" ht="14">
      <c r="A12" s="13"/>
      <c r="B12" s="13"/>
      <c r="C12" s="13"/>
      <c r="D12" s="13"/>
      <c r="E12" s="13"/>
    </row>
    <row r="13" spans="1:5" ht="14">
      <c r="A13" s="13"/>
      <c r="B13" s="13"/>
      <c r="C13" s="13"/>
      <c r="D13" s="13"/>
      <c r="E13" s="13"/>
    </row>
    <row r="14" spans="1:5" ht="14">
      <c r="A14" s="13"/>
      <c r="B14" s="13"/>
      <c r="C14" s="13"/>
      <c r="D14" s="13"/>
      <c r="E14" s="13"/>
    </row>
    <row r="15" spans="1:5" ht="14">
      <c r="A15" s="13"/>
      <c r="B15" s="13"/>
      <c r="C15" s="13"/>
      <c r="D15" s="13"/>
      <c r="E15" s="13"/>
    </row>
    <row r="16" spans="1:5" ht="14">
      <c r="A16" s="13"/>
      <c r="B16" s="13"/>
      <c r="C16" s="13"/>
      <c r="D16" s="13"/>
      <c r="E16" s="13"/>
    </row>
    <row r="17" spans="1:5" ht="14">
      <c r="A17" s="13"/>
      <c r="B17" s="13"/>
      <c r="C17" s="13"/>
      <c r="D17" s="13"/>
      <c r="E17" s="13"/>
    </row>
    <row r="18" spans="1:5" ht="14">
      <c r="A18" s="13"/>
      <c r="B18" s="13"/>
      <c r="C18" s="13"/>
      <c r="D18" s="13"/>
      <c r="E18" s="13"/>
    </row>
    <row r="19" spans="1:5" ht="14">
      <c r="A19" s="13"/>
      <c r="B19" s="13"/>
      <c r="C19" s="13"/>
      <c r="D19" s="13"/>
      <c r="E19" s="13"/>
    </row>
    <row r="20" spans="1:5" ht="14">
      <c r="A20" s="13"/>
      <c r="B20" s="13"/>
      <c r="C20" s="13"/>
      <c r="D20" s="13"/>
      <c r="E20" s="13"/>
    </row>
    <row r="21" spans="1:5" ht="14">
      <c r="A21" s="13"/>
      <c r="B21" s="13"/>
      <c r="C21" s="13"/>
      <c r="D21" s="13"/>
      <c r="E21" s="13"/>
    </row>
  </sheetData>
  <mergeCells count="3">
    <mergeCell ref="B2:D2"/>
    <mergeCell ref="B3:E3"/>
    <mergeCell ref="B4:E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outlinePr summaryBelow="0" summaryRight="0"/>
  </sheetPr>
  <dimension ref="A1:K18"/>
  <sheetViews>
    <sheetView showGridLines="0" workbookViewId="0">
      <selection activeCell="B5" sqref="B5:K7"/>
    </sheetView>
  </sheetViews>
  <sheetFormatPr baseColWidth="10" defaultColWidth="12.6640625" defaultRowHeight="15.75" customHeight="1"/>
  <cols>
    <col min="1" max="1" width="2.6640625" customWidth="1"/>
    <col min="2" max="2" width="18.83203125" customWidth="1"/>
    <col min="3" max="3" width="29.83203125" customWidth="1"/>
    <col min="4" max="4" width="18.33203125" customWidth="1"/>
    <col min="6" max="6" width="3.5" customWidth="1"/>
    <col min="7" max="7" width="29.5" customWidth="1"/>
    <col min="8" max="9" width="47.5" customWidth="1"/>
    <col min="10" max="10" width="26" customWidth="1"/>
  </cols>
  <sheetData>
    <row r="1" spans="1:11" ht="15" customHeight="1">
      <c r="A1" s="13"/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73.5" customHeight="1">
      <c r="A2" s="13"/>
      <c r="B2" s="112"/>
      <c r="C2" s="113"/>
      <c r="D2" s="38"/>
      <c r="E2" s="38"/>
      <c r="F2" s="117"/>
      <c r="G2" s="113"/>
      <c r="H2" s="113"/>
      <c r="I2" s="113"/>
      <c r="J2" s="113"/>
      <c r="K2" s="118"/>
    </row>
    <row r="3" spans="1:11" ht="15">
      <c r="A3" s="13"/>
      <c r="B3" s="114" t="s">
        <v>5</v>
      </c>
      <c r="C3" s="106"/>
      <c r="D3" s="106"/>
      <c r="E3" s="106"/>
      <c r="F3" s="106"/>
      <c r="G3" s="106"/>
      <c r="H3" s="106"/>
      <c r="I3" s="106"/>
      <c r="J3" s="106"/>
      <c r="K3" s="116"/>
    </row>
    <row r="4" spans="1:11" ht="14">
      <c r="A4" s="13"/>
      <c r="B4" s="115" t="s">
        <v>117</v>
      </c>
      <c r="C4" s="106"/>
      <c r="D4" s="106"/>
      <c r="E4" s="116"/>
      <c r="F4" s="13"/>
      <c r="G4" s="108" t="s">
        <v>126</v>
      </c>
      <c r="H4" s="106"/>
      <c r="I4" s="106"/>
      <c r="J4" s="106"/>
      <c r="K4" s="116"/>
    </row>
    <row r="5" spans="1:11" ht="14">
      <c r="A5" s="13"/>
      <c r="B5" s="39"/>
      <c r="C5" s="40"/>
      <c r="D5" s="40"/>
      <c r="E5" s="41"/>
      <c r="F5" s="13"/>
      <c r="G5" s="58"/>
      <c r="H5" s="59"/>
      <c r="I5" s="59"/>
      <c r="J5" s="59"/>
      <c r="K5" s="60"/>
    </row>
    <row r="6" spans="1:11" ht="14">
      <c r="A6" s="13"/>
      <c r="B6" s="119"/>
      <c r="C6" s="122"/>
      <c r="D6" s="122"/>
      <c r="E6" s="124"/>
      <c r="F6" s="13"/>
      <c r="G6" s="22"/>
      <c r="H6" s="13"/>
      <c r="I6" s="13"/>
      <c r="J6" s="13"/>
      <c r="K6" s="57"/>
    </row>
    <row r="7" spans="1:11" ht="14">
      <c r="A7" s="13"/>
      <c r="B7" s="121"/>
      <c r="C7" s="123"/>
      <c r="D7" s="123"/>
      <c r="E7" s="125"/>
      <c r="F7" s="13"/>
      <c r="G7" s="56"/>
      <c r="H7" s="49"/>
      <c r="I7" s="49"/>
      <c r="J7" s="49"/>
      <c r="K7" s="23"/>
    </row>
    <row r="8" spans="1:11" ht="14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ht="14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ht="14">
      <c r="A10" s="13"/>
      <c r="B10" s="52" t="s">
        <v>233</v>
      </c>
      <c r="C10" s="52" t="s">
        <v>234</v>
      </c>
      <c r="D10" s="52" t="s">
        <v>266</v>
      </c>
      <c r="E10" s="52"/>
      <c r="G10" s="13"/>
      <c r="H10" s="13"/>
      <c r="I10" s="13"/>
      <c r="J10" s="13"/>
      <c r="K10" s="13"/>
    </row>
    <row r="11" spans="1:11" ht="14">
      <c r="A11" s="13"/>
      <c r="B11" s="51" t="s">
        <v>318</v>
      </c>
      <c r="C11" s="51" t="s">
        <v>319</v>
      </c>
      <c r="D11" s="51" t="s">
        <v>320</v>
      </c>
      <c r="G11" s="13"/>
      <c r="H11" s="13"/>
      <c r="I11" s="13"/>
      <c r="J11" s="13"/>
      <c r="K11" s="13"/>
    </row>
    <row r="12" spans="1:11" ht="14">
      <c r="A12" s="13"/>
      <c r="B12" s="51" t="s">
        <v>70</v>
      </c>
      <c r="C12" s="51" t="s">
        <v>321</v>
      </c>
      <c r="D12" s="51" t="s">
        <v>322</v>
      </c>
      <c r="G12" s="13"/>
      <c r="H12" s="13"/>
      <c r="I12" s="13"/>
      <c r="J12" s="13"/>
      <c r="K12" s="13"/>
    </row>
    <row r="13" spans="1:11" ht="14">
      <c r="A13" s="13"/>
      <c r="B13" s="51" t="s">
        <v>73</v>
      </c>
      <c r="C13" s="51" t="s">
        <v>323</v>
      </c>
      <c r="D13" s="51" t="s">
        <v>324</v>
      </c>
      <c r="G13" s="47"/>
      <c r="H13" s="47"/>
      <c r="I13" s="47"/>
      <c r="J13" s="47"/>
      <c r="K13" s="47"/>
    </row>
    <row r="14" spans="1:11" ht="14">
      <c r="A14" s="13"/>
      <c r="B14" s="51" t="s">
        <v>77</v>
      </c>
      <c r="C14" s="51" t="s">
        <v>325</v>
      </c>
      <c r="D14" s="73" t="s">
        <v>326</v>
      </c>
      <c r="E14" s="73"/>
      <c r="G14" s="47"/>
      <c r="H14" s="47"/>
      <c r="I14" s="47"/>
      <c r="J14" s="47"/>
      <c r="K14" s="47"/>
    </row>
    <row r="15" spans="1:11" ht="14">
      <c r="A15" s="13"/>
      <c r="B15" s="51" t="s">
        <v>111</v>
      </c>
      <c r="C15" s="51" t="s">
        <v>327</v>
      </c>
      <c r="D15" s="73" t="s">
        <v>328</v>
      </c>
      <c r="E15" s="73"/>
      <c r="G15" s="47"/>
      <c r="H15" s="47"/>
      <c r="I15" s="47"/>
      <c r="J15" s="47"/>
      <c r="K15" s="47"/>
    </row>
    <row r="16" spans="1:11" ht="14">
      <c r="A16" s="13"/>
      <c r="B16" s="51" t="s">
        <v>82</v>
      </c>
      <c r="C16" s="51" t="s">
        <v>329</v>
      </c>
      <c r="D16" s="73" t="s">
        <v>330</v>
      </c>
      <c r="E16" s="73"/>
      <c r="G16" s="47"/>
      <c r="H16" s="47"/>
      <c r="I16" s="47"/>
      <c r="J16" s="47"/>
      <c r="K16" s="47"/>
    </row>
    <row r="17" spans="1:11" ht="14">
      <c r="A17" s="13"/>
      <c r="B17" s="51" t="s">
        <v>84</v>
      </c>
      <c r="C17" s="51" t="s">
        <v>331</v>
      </c>
      <c r="D17" s="73" t="s">
        <v>332</v>
      </c>
      <c r="E17" s="73"/>
      <c r="G17" s="13"/>
      <c r="H17" s="13"/>
      <c r="I17" s="13"/>
      <c r="J17" s="13"/>
      <c r="K17" s="47"/>
    </row>
    <row r="18" spans="1:11" ht="14">
      <c r="A18" s="13"/>
      <c r="B18" s="51" t="s">
        <v>86</v>
      </c>
      <c r="C18" s="51" t="s">
        <v>333</v>
      </c>
      <c r="D18" s="73" t="s">
        <v>334</v>
      </c>
      <c r="E18" s="73"/>
      <c r="G18" s="13"/>
      <c r="H18" s="13"/>
      <c r="I18" s="13"/>
      <c r="J18" s="13"/>
      <c r="K18" s="47"/>
    </row>
  </sheetData>
  <mergeCells count="9">
    <mergeCell ref="D6:D7"/>
    <mergeCell ref="E6:E7"/>
    <mergeCell ref="B2:C2"/>
    <mergeCell ref="F2:K2"/>
    <mergeCell ref="B3:K3"/>
    <mergeCell ref="B4:E4"/>
    <mergeCell ref="G4:K4"/>
    <mergeCell ref="B6:B7"/>
    <mergeCell ref="C6:C7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outlinePr summaryBelow="0" summaryRight="0"/>
  </sheetPr>
  <dimension ref="A1:P37"/>
  <sheetViews>
    <sheetView showGridLines="0" workbookViewId="0">
      <selection activeCell="D28" sqref="D28"/>
    </sheetView>
  </sheetViews>
  <sheetFormatPr baseColWidth="10" defaultColWidth="12.6640625" defaultRowHeight="15.75" customHeight="1"/>
  <cols>
    <col min="1" max="1" width="2.6640625" customWidth="1"/>
    <col min="2" max="6" width="21.5" customWidth="1"/>
    <col min="7" max="7" width="29.83203125" customWidth="1"/>
    <col min="8" max="8" width="33.6640625" customWidth="1"/>
  </cols>
  <sheetData>
    <row r="1" spans="1:10" ht="15" customHeight="1">
      <c r="A1" s="13"/>
      <c r="B1" s="36"/>
      <c r="C1" s="36"/>
      <c r="D1" s="36"/>
      <c r="E1" s="36"/>
      <c r="F1" s="36"/>
      <c r="G1" s="36"/>
      <c r="H1" s="36"/>
      <c r="I1" s="36"/>
      <c r="J1" s="36"/>
    </row>
    <row r="2" spans="1:10" ht="73.5" customHeight="1">
      <c r="A2" s="13"/>
      <c r="B2" s="112"/>
      <c r="C2" s="137"/>
      <c r="D2" s="137"/>
      <c r="E2" s="137"/>
      <c r="F2" s="137"/>
      <c r="G2" s="113"/>
      <c r="H2" s="113"/>
      <c r="I2" s="113"/>
      <c r="J2" s="113"/>
    </row>
    <row r="3" spans="1:10" ht="15">
      <c r="A3" s="13"/>
      <c r="B3" s="114" t="s">
        <v>90</v>
      </c>
      <c r="C3" s="141"/>
      <c r="D3" s="141"/>
      <c r="E3" s="141"/>
      <c r="F3" s="141"/>
      <c r="G3" s="106"/>
      <c r="H3" s="106"/>
      <c r="I3" s="106"/>
      <c r="J3" s="116"/>
    </row>
    <row r="4" spans="1:10" ht="14">
      <c r="A4" s="13"/>
      <c r="B4" s="115" t="s">
        <v>117</v>
      </c>
      <c r="C4" s="142"/>
      <c r="D4" s="142"/>
      <c r="E4" s="142"/>
      <c r="F4" s="142"/>
      <c r="G4" s="106"/>
      <c r="H4" s="106"/>
      <c r="I4" s="106"/>
      <c r="J4" s="116"/>
    </row>
    <row r="5" spans="1:10" ht="14">
      <c r="A5" s="13"/>
      <c r="B5" s="93"/>
      <c r="C5" s="94"/>
      <c r="D5" s="94"/>
      <c r="E5" s="94"/>
      <c r="F5" s="94"/>
      <c r="G5" s="94"/>
      <c r="H5" s="94"/>
      <c r="I5" s="94"/>
      <c r="J5" s="95"/>
    </row>
    <row r="6" spans="1:10" ht="14">
      <c r="A6" s="13"/>
      <c r="B6" s="21"/>
      <c r="C6" s="143"/>
      <c r="D6" s="143"/>
      <c r="E6" s="143"/>
      <c r="F6" s="143"/>
      <c r="G6" s="9"/>
      <c r="H6" s="9"/>
      <c r="I6" s="9"/>
      <c r="J6" s="87"/>
    </row>
    <row r="7" spans="1:10" ht="14">
      <c r="A7" s="13"/>
      <c r="B7" s="21"/>
      <c r="C7" s="143"/>
      <c r="D7" s="143"/>
      <c r="E7" s="143"/>
      <c r="F7" s="143"/>
      <c r="G7" s="9"/>
      <c r="H7" s="9"/>
      <c r="I7" s="9"/>
      <c r="J7" s="87"/>
    </row>
    <row r="8" spans="1:10" ht="14">
      <c r="A8" s="13"/>
      <c r="B8" s="21"/>
      <c r="C8" s="143"/>
      <c r="D8" s="143"/>
      <c r="E8" s="143"/>
      <c r="F8" s="143"/>
      <c r="G8" s="9"/>
      <c r="H8" s="9"/>
      <c r="I8" s="9"/>
      <c r="J8" s="87"/>
    </row>
    <row r="9" spans="1:10" ht="14">
      <c r="A9" s="13"/>
      <c r="B9" s="21"/>
      <c r="C9" s="143"/>
      <c r="D9" s="143"/>
      <c r="E9" s="143"/>
      <c r="F9" s="143"/>
      <c r="G9" s="9"/>
      <c r="H9" s="9"/>
      <c r="I9" s="36"/>
      <c r="J9" s="96"/>
    </row>
    <row r="10" spans="1:10" ht="14">
      <c r="A10" s="13"/>
      <c r="B10" s="21"/>
      <c r="C10" s="143"/>
      <c r="D10" s="143"/>
      <c r="E10" s="143"/>
      <c r="F10" s="143"/>
      <c r="G10" s="9"/>
      <c r="H10" s="9"/>
      <c r="I10" s="9"/>
      <c r="J10" s="87"/>
    </row>
    <row r="11" spans="1:10" ht="14">
      <c r="A11" s="13"/>
      <c r="B11" s="21"/>
      <c r="C11" s="143"/>
      <c r="D11" s="143"/>
      <c r="E11" s="143"/>
      <c r="F11" s="143"/>
      <c r="G11" s="9"/>
      <c r="H11" s="9"/>
      <c r="I11" s="9"/>
      <c r="J11" s="87"/>
    </row>
    <row r="12" spans="1:10" ht="14">
      <c r="A12" s="13"/>
      <c r="B12" s="21"/>
      <c r="C12" s="143"/>
      <c r="D12" s="143"/>
      <c r="E12" s="143"/>
      <c r="F12" s="143"/>
      <c r="G12" s="97"/>
      <c r="H12" s="97"/>
      <c r="I12" s="9"/>
      <c r="J12" s="87"/>
    </row>
    <row r="13" spans="1:10" ht="14">
      <c r="A13" s="13"/>
      <c r="B13" s="21"/>
      <c r="C13" s="143"/>
      <c r="D13" s="143"/>
      <c r="E13" s="143"/>
      <c r="F13" s="143"/>
      <c r="G13" s="9"/>
      <c r="H13" s="9"/>
      <c r="I13" s="9"/>
      <c r="J13" s="87"/>
    </row>
    <row r="14" spans="1:10" ht="14">
      <c r="A14" s="13"/>
      <c r="B14" s="21"/>
      <c r="C14" s="143"/>
      <c r="D14" s="143"/>
      <c r="E14" s="143"/>
      <c r="F14" s="143"/>
      <c r="G14" s="9"/>
      <c r="H14" s="9"/>
      <c r="I14" s="9"/>
      <c r="J14" s="87"/>
    </row>
    <row r="15" spans="1:10" ht="14">
      <c r="A15" s="13"/>
      <c r="B15" s="21"/>
      <c r="C15" s="143"/>
      <c r="D15" s="143"/>
      <c r="E15" s="143"/>
      <c r="F15" s="143"/>
      <c r="G15" s="9"/>
      <c r="H15" s="9"/>
      <c r="I15" s="9"/>
      <c r="J15" s="87"/>
    </row>
    <row r="16" spans="1:10" ht="14">
      <c r="A16" s="13"/>
      <c r="B16" s="27"/>
      <c r="C16" s="24"/>
      <c r="D16" s="24"/>
      <c r="E16" s="24"/>
      <c r="F16" s="24"/>
      <c r="G16" s="24"/>
      <c r="H16" s="24"/>
      <c r="I16" s="24"/>
      <c r="J16" s="98"/>
    </row>
    <row r="17" spans="1:16" ht="15">
      <c r="A17" s="9"/>
      <c r="B17" s="138" t="s">
        <v>90</v>
      </c>
      <c r="C17" s="140"/>
      <c r="D17" s="140"/>
      <c r="E17" s="140"/>
      <c r="F17" s="140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">
      <c r="A18" s="9"/>
      <c r="B18" s="37" t="s">
        <v>99</v>
      </c>
      <c r="C18" s="29" t="s">
        <v>100</v>
      </c>
      <c r="D18" s="11" t="s">
        <v>66</v>
      </c>
      <c r="E18" s="29" t="s">
        <v>5</v>
      </c>
      <c r="F18" s="37" t="s">
        <v>101</v>
      </c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4">
      <c r="A19" s="9"/>
      <c r="B19" s="20" t="s">
        <v>102</v>
      </c>
      <c r="C19" s="9" t="s">
        <v>3</v>
      </c>
      <c r="D19" s="20" t="s">
        <v>103</v>
      </c>
      <c r="E19" s="9" t="s">
        <v>70</v>
      </c>
      <c r="F19" s="20" t="s">
        <v>104</v>
      </c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4">
      <c r="A20" s="9"/>
      <c r="B20" s="20" t="s">
        <v>16</v>
      </c>
      <c r="C20" s="9" t="s">
        <v>105</v>
      </c>
      <c r="D20" s="20" t="s">
        <v>106</v>
      </c>
      <c r="E20" s="9" t="s">
        <v>107</v>
      </c>
      <c r="F20" s="20" t="s">
        <v>60</v>
      </c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4">
      <c r="A21" s="9"/>
      <c r="B21" s="20" t="s">
        <v>25</v>
      </c>
      <c r="C21" s="9" t="s">
        <v>71</v>
      </c>
      <c r="D21" s="20" t="s">
        <v>108</v>
      </c>
      <c r="E21" s="9" t="s">
        <v>77</v>
      </c>
      <c r="F21" s="20" t="s">
        <v>89</v>
      </c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4">
      <c r="A22" s="9"/>
      <c r="B22" s="20" t="s">
        <v>34</v>
      </c>
      <c r="C22" s="9" t="s">
        <v>109</v>
      </c>
      <c r="D22" s="20" t="s">
        <v>110</v>
      </c>
      <c r="E22" s="9" t="s">
        <v>111</v>
      </c>
      <c r="F22" s="20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4">
      <c r="A23" s="9"/>
      <c r="B23" s="20" t="s">
        <v>43</v>
      </c>
      <c r="C23" s="9" t="s">
        <v>55</v>
      </c>
      <c r="D23" s="20" t="s">
        <v>112</v>
      </c>
      <c r="E23" s="9" t="s">
        <v>84</v>
      </c>
      <c r="F23" s="20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4">
      <c r="A24" s="9"/>
      <c r="B24" s="26" t="s">
        <v>50</v>
      </c>
      <c r="C24" s="24" t="s">
        <v>48</v>
      </c>
      <c r="D24" s="26" t="s">
        <v>113</v>
      </c>
      <c r="E24" s="24" t="s">
        <v>86</v>
      </c>
      <c r="F24" s="26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4">
      <c r="A25" s="9"/>
      <c r="B25" s="33" t="s">
        <v>114</v>
      </c>
      <c r="C25" s="9"/>
      <c r="D25" s="9"/>
      <c r="E25" s="9"/>
      <c r="F25" s="26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4">
      <c r="A26" s="9"/>
      <c r="B26" s="3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14">
      <c r="A27" s="9"/>
      <c r="B27" s="33" t="s">
        <v>115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4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6" ht="14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6" ht="14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6" ht="14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6" ht="14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4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14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14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4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14">
      <c r="A37" s="13"/>
      <c r="B37" s="13"/>
      <c r="C37" s="13"/>
      <c r="D37" s="13"/>
      <c r="E37" s="13"/>
      <c r="F37" s="13"/>
      <c r="G37" s="13"/>
      <c r="H37" s="13"/>
      <c r="I37" s="13"/>
      <c r="J37" s="13"/>
    </row>
  </sheetData>
  <mergeCells count="4">
    <mergeCell ref="B2:J2"/>
    <mergeCell ref="B3:J3"/>
    <mergeCell ref="B4:J4"/>
    <mergeCell ref="B17:F1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427"/>
  <sheetViews>
    <sheetView topLeftCell="C1" workbookViewId="0"/>
  </sheetViews>
  <sheetFormatPr baseColWidth="10" defaultColWidth="12.6640625" defaultRowHeight="15.75" customHeight="1"/>
  <cols>
    <col min="1" max="1" width="102.1640625" hidden="1" customWidth="1"/>
    <col min="2" max="2" width="91.1640625" hidden="1" customWidth="1"/>
    <col min="3" max="3" width="93.5" customWidth="1"/>
  </cols>
  <sheetData>
    <row r="1" spans="1:5" ht="15.75" customHeight="1">
      <c r="A1" s="99" t="s">
        <v>234</v>
      </c>
      <c r="C1" s="51" t="s">
        <v>234</v>
      </c>
    </row>
    <row r="2" spans="1:5" ht="15.75" customHeight="1">
      <c r="A2" s="100" t="s">
        <v>335</v>
      </c>
      <c r="B2" s="51" t="str">
        <f ca="1">IFERROR(__xludf.DUMMYFUNCTION("REGEXREPLACE(A2, ""&lt;loc&gt;"", """")"),"https://odysia-cruise-uk.client.prod.eu-west.dreamlake.io/cruise-lines/regent-seven-seas-cruises/seven-seas-mariner&lt;/loc&gt;")</f>
        <v>https://odysia-cruise-uk.client.prod.eu-west.dreamlake.io/cruise-lines/regent-seven-seas-cruises/seven-seas-mariner&lt;/loc&gt;</v>
      </c>
      <c r="C2" s="101" t="str">
        <f ca="1">IFERROR(__xludf.DUMMYFUNCTION("REGEXREPLACE(B2, ""&lt;/loc&gt;"", """")"),"https://odysia-cruise-uk.client.prod.eu-west.dreamlake.io/cruise-lines/regent-seven-seas-cruises/seven-seas-mariner")</f>
        <v>https://odysia-cruise-uk.client.prod.eu-west.dreamlake.io/cruise-lines/regent-seven-seas-cruises/seven-seas-mariner</v>
      </c>
      <c r="D2" s="51" t="s">
        <v>336</v>
      </c>
      <c r="E2" s="51" t="str">
        <f ca="1">IFERROR(__xludf.DUMMYFUNCTION("REGEXREPLACE(D2, ""https://odysia-cruise-uk.client.prod.eu-west.dreamlake.io"", """")"),"/cruise-lines/regent-seven-seas-cruises/seven-seas-mariner")</f>
        <v>/cruise-lines/regent-seven-seas-cruises/seven-seas-mariner</v>
      </c>
    </row>
    <row r="3" spans="1:5" ht="15.75" customHeight="1">
      <c r="A3" s="100" t="s">
        <v>337</v>
      </c>
      <c r="B3" s="51" t="str">
        <f ca="1">IFERROR(__xludf.DUMMYFUNCTION("REGEXREPLACE(A3, ""&lt;loc&gt;"", """")"),"https://odysia-cruise-uk.client.prod.eu-west.dreamlake.io/cruise-lines/princess-cruises/royal-princess/cruises&lt;/loc&gt;")</f>
        <v>https://odysia-cruise-uk.client.prod.eu-west.dreamlake.io/cruise-lines/princess-cruises/royal-princess/cruises&lt;/loc&gt;</v>
      </c>
      <c r="C3" s="101" t="str">
        <f ca="1">IFERROR(__xludf.DUMMYFUNCTION("REGEXREPLACE(B3, ""&lt;/loc&gt;"", """")"),"https://odysia-cruise-uk.client.prod.eu-west.dreamlake.io/cruise-lines/princess-cruises/royal-princess/cruises")</f>
        <v>https://odysia-cruise-uk.client.prod.eu-west.dreamlake.io/cruise-lines/princess-cruises/royal-princess/cruises</v>
      </c>
      <c r="D3" s="51" t="s">
        <v>338</v>
      </c>
      <c r="E3" s="51" t="str">
        <f ca="1">IFERROR(__xludf.DUMMYFUNCTION("REGEXREPLACE(D3, ""https://odysia-cruise-uk.client.prod.eu-west.dreamlake.io"", """")"),"/cruise-lines/princess-cruises/royal-princess/cruises")</f>
        <v>/cruise-lines/princess-cruises/royal-princess/cruises</v>
      </c>
    </row>
    <row r="4" spans="1:5" ht="15.75" customHeight="1">
      <c r="A4" s="100" t="s">
        <v>339</v>
      </c>
      <c r="B4" s="51" t="str">
        <f ca="1">IFERROR(__xludf.DUMMYFUNCTION("REGEXREPLACE(A4, ""&lt;loc&gt;"", """")"),"https://odysia-cruise-uk.client.prod.eu-west.dreamlake.io/cruise-lines/royal-caribbean/anthem-of-the-seas/cruises&lt;/loc&gt;")</f>
        <v>https://odysia-cruise-uk.client.prod.eu-west.dreamlake.io/cruise-lines/royal-caribbean/anthem-of-the-seas/cruises&lt;/loc&gt;</v>
      </c>
      <c r="C4" s="101" t="str">
        <f ca="1">IFERROR(__xludf.DUMMYFUNCTION("REGEXREPLACE(B4, ""&lt;/loc&gt;"", """")"),"https://odysia-cruise-uk.client.prod.eu-west.dreamlake.io/cruise-lines/royal-caribbean/anthem-of-the-seas/cruises")</f>
        <v>https://odysia-cruise-uk.client.prod.eu-west.dreamlake.io/cruise-lines/royal-caribbean/anthem-of-the-seas/cruises</v>
      </c>
      <c r="D4" s="51" t="s">
        <v>340</v>
      </c>
      <c r="E4" s="51" t="str">
        <f ca="1">IFERROR(__xludf.DUMMYFUNCTION("REGEXREPLACE(D4, ""https://odysia-cruise-uk.client.prod.eu-west.dreamlake.io"", """")"),"/cruise-lines/royal-caribbean/anthem-of-the-seas/cruises")</f>
        <v>/cruise-lines/royal-caribbean/anthem-of-the-seas/cruises</v>
      </c>
    </row>
    <row r="5" spans="1:5" ht="15.75" customHeight="1">
      <c r="A5" s="100" t="s">
        <v>341</v>
      </c>
      <c r="B5" s="51" t="str">
        <f ca="1">IFERROR(__xludf.DUMMYFUNCTION("REGEXREPLACE(A5, ""&lt;loc&gt;"", """")"),"https://odysia-cruise-uk.client.prod.eu-west.dreamlake.io/cruise-lines/holland-america-line/zaandam&lt;/loc&gt;")</f>
        <v>https://odysia-cruise-uk.client.prod.eu-west.dreamlake.io/cruise-lines/holland-america-line/zaandam&lt;/loc&gt;</v>
      </c>
      <c r="C5" s="101" t="str">
        <f ca="1">IFERROR(__xludf.DUMMYFUNCTION("REGEXREPLACE(B5, ""&lt;/loc&gt;"", """")"),"https://odysia-cruise-uk.client.prod.eu-west.dreamlake.io/cruise-lines/holland-america-line/zaandam")</f>
        <v>https://odysia-cruise-uk.client.prod.eu-west.dreamlake.io/cruise-lines/holland-america-line/zaandam</v>
      </c>
      <c r="D5" s="51" t="s">
        <v>342</v>
      </c>
      <c r="E5" s="51" t="str">
        <f ca="1">IFERROR(__xludf.DUMMYFUNCTION("REGEXREPLACE(D5, ""https://odysia-cruise-uk.client.prod.eu-west.dreamlake.io"", """")"),"/cruise-lines/holland-america-line/zaandam")</f>
        <v>/cruise-lines/holland-america-line/zaandam</v>
      </c>
    </row>
    <row r="6" spans="1:5" ht="15.75" customHeight="1">
      <c r="A6" s="100" t="s">
        <v>343</v>
      </c>
      <c r="B6" s="51" t="str">
        <f ca="1">IFERROR(__xludf.DUMMYFUNCTION("REGEXREPLACE(A6, ""&lt;loc&gt;"", """")"),"https://odysia-cruise-uk.client.prod.eu-west.dreamlake.io/cruise-lines/regent-seven-seas-cruises/seven-seas-splendor/cruises&lt;/loc&gt;")</f>
        <v>https://odysia-cruise-uk.client.prod.eu-west.dreamlake.io/cruise-lines/regent-seven-seas-cruises/seven-seas-splendor/cruises&lt;/loc&gt;</v>
      </c>
      <c r="C6" s="101" t="str">
        <f ca="1">IFERROR(__xludf.DUMMYFUNCTION("REGEXREPLACE(B6, ""&lt;/loc&gt;"", """")"),"https://odysia-cruise-uk.client.prod.eu-west.dreamlake.io/cruise-lines/regent-seven-seas-cruises/seven-seas-splendor/cruises")</f>
        <v>https://odysia-cruise-uk.client.prod.eu-west.dreamlake.io/cruise-lines/regent-seven-seas-cruises/seven-seas-splendor/cruises</v>
      </c>
      <c r="D6" s="51" t="s">
        <v>344</v>
      </c>
      <c r="E6" s="51" t="str">
        <f ca="1">IFERROR(__xludf.DUMMYFUNCTION("REGEXREPLACE(D6, ""https://odysia-cruise-uk.client.prod.eu-west.dreamlake.io"", """")"),"/cruise-lines/regent-seven-seas-cruises/seven-seas-splendor/cruises")</f>
        <v>/cruise-lines/regent-seven-seas-cruises/seven-seas-splendor/cruises</v>
      </c>
    </row>
    <row r="7" spans="1:5" ht="15.75" customHeight="1">
      <c r="A7" s="100" t="s">
        <v>345</v>
      </c>
      <c r="B7" s="51" t="str">
        <f ca="1">IFERROR(__xludf.DUMMYFUNCTION("REGEXREPLACE(A7, ""&lt;loc&gt;"", """")"),"https://odysia-cruise-uk.client.prod.eu-west.dreamlake.io&lt;/loc&gt;")</f>
        <v>https://odysia-cruise-uk.client.prod.eu-west.dreamlake.io&lt;/loc&gt;</v>
      </c>
      <c r="C7" s="101" t="str">
        <f ca="1">IFERROR(__xludf.DUMMYFUNCTION("REGEXREPLACE(B7, ""&lt;/loc&gt;"", """")"),"https://odysia-cruise-uk.client.prod.eu-west.dreamlake.io")</f>
        <v>https://odysia-cruise-uk.client.prod.eu-west.dreamlake.io</v>
      </c>
    </row>
    <row r="8" spans="1:5" ht="15.75" customHeight="1">
      <c r="A8" s="100" t="s">
        <v>346</v>
      </c>
      <c r="B8" s="51" t="str">
        <f ca="1">IFERROR(__xludf.DUMMYFUNCTION("REGEXREPLACE(A8, ""&lt;loc&gt;"", """")"),"https://odysia-cruise-uk.client.prod.eu-west.dreamlake.io/cruise-lines/msc-cruises/msc-armonia&lt;/loc&gt;")</f>
        <v>https://odysia-cruise-uk.client.prod.eu-west.dreamlake.io/cruise-lines/msc-cruises/msc-armonia&lt;/loc&gt;</v>
      </c>
      <c r="C8" s="101" t="str">
        <f ca="1">IFERROR(__xludf.DUMMYFUNCTION("REGEXREPLACE(B8, ""&lt;/loc&gt;"", """")"),"https://odysia-cruise-uk.client.prod.eu-west.dreamlake.io/cruise-lines/msc-cruises/msc-armonia")</f>
        <v>https://odysia-cruise-uk.client.prod.eu-west.dreamlake.io/cruise-lines/msc-cruises/msc-armonia</v>
      </c>
      <c r="D8" s="92" t="s">
        <v>347</v>
      </c>
      <c r="E8" s="51" t="str">
        <f ca="1">IFERROR(__xludf.DUMMYFUNCTION("REGEXREPLACE(D8, ""https://odysia-cruise-uk.client.prod.eu-west.dreamlake.io"", """")"),"/cruise-lines/msc-cruises/msc-armonia")</f>
        <v>/cruise-lines/msc-cruises/msc-armonia</v>
      </c>
    </row>
    <row r="9" spans="1:5" ht="15.75" customHeight="1">
      <c r="A9" s="100" t="s">
        <v>348</v>
      </c>
      <c r="B9" s="51" t="str">
        <f ca="1">IFERROR(__xludf.DUMMYFUNCTION("REGEXREPLACE(A9, ""&lt;loc&gt;"", """")"),"https://odysia-cruise-uk.client.prod.eu-west.dreamlake.io/destinations/british-isles-cruises&lt;/loc&gt;")</f>
        <v>https://odysia-cruise-uk.client.prod.eu-west.dreamlake.io/destinations/british-isles-cruises&lt;/loc&gt;</v>
      </c>
      <c r="C9" s="101" t="str">
        <f ca="1">IFERROR(__xludf.DUMMYFUNCTION("REGEXREPLACE(B9, ""&lt;/loc&gt;"", """")"),"https://odysia-cruise-uk.client.prod.eu-west.dreamlake.io/destinations/british-isles-cruises")</f>
        <v>https://odysia-cruise-uk.client.prod.eu-west.dreamlake.io/destinations/british-isles-cruises</v>
      </c>
    </row>
    <row r="10" spans="1:5" ht="15.75" customHeight="1">
      <c r="A10" s="100" t="s">
        <v>349</v>
      </c>
      <c r="B10" s="51" t="str">
        <f ca="1">IFERROR(__xludf.DUMMYFUNCTION("REGEXREPLACE(A10, ""&lt;loc&gt;"", """")"),"https://odysia-cruise-uk.client.prod.eu-west.dreamlake.io/cruise-lines/costa-cruises/costa-smeralda/cruises&lt;/loc&gt;")</f>
        <v>https://odysia-cruise-uk.client.prod.eu-west.dreamlake.io/cruise-lines/costa-cruises/costa-smeralda/cruises&lt;/loc&gt;</v>
      </c>
      <c r="C10" s="101" t="str">
        <f ca="1">IFERROR(__xludf.DUMMYFUNCTION("REGEXREPLACE(B10, ""&lt;/loc&gt;"", """")"),"https://odysia-cruise-uk.client.prod.eu-west.dreamlake.io/cruise-lines/costa-cruises/costa-smeralda/cruises")</f>
        <v>https://odysia-cruise-uk.client.prod.eu-west.dreamlake.io/cruise-lines/costa-cruises/costa-smeralda/cruises</v>
      </c>
      <c r="D10" s="51" t="s">
        <v>350</v>
      </c>
      <c r="E10" s="51" t="str">
        <f ca="1">IFERROR(__xludf.DUMMYFUNCTION("REGEXREPLACE(D10, ""https://odysia-cruise-uk.client.prod.eu-west.dreamlake.io"", """")"),"/cruise-lines/costa-cruises/costa-smeralda/cruises")</f>
        <v>/cruise-lines/costa-cruises/costa-smeralda/cruises</v>
      </c>
    </row>
    <row r="11" spans="1:5" ht="15.75" customHeight="1">
      <c r="A11" s="100" t="s">
        <v>351</v>
      </c>
      <c r="B11" s="51" t="str">
        <f ca="1">IFERROR(__xludf.DUMMYFUNCTION("REGEXREPLACE(A11, ""&lt;loc&gt;"", """")"),"https://odysia-cruise-uk.client.prod.eu-west.dreamlake.io/cruise-lines/holland-america-line/rotterdam/cruises&lt;/loc&gt;")</f>
        <v>https://odysia-cruise-uk.client.prod.eu-west.dreamlake.io/cruise-lines/holland-america-line/rotterdam/cruises&lt;/loc&gt;</v>
      </c>
      <c r="C11" s="101" t="str">
        <f ca="1">IFERROR(__xludf.DUMMYFUNCTION("REGEXREPLACE(B11, ""&lt;/loc&gt;"", """")"),"https://odysia-cruise-uk.client.prod.eu-west.dreamlake.io/cruise-lines/holland-america-line/rotterdam/cruises")</f>
        <v>https://odysia-cruise-uk.client.prod.eu-west.dreamlake.io/cruise-lines/holland-america-line/rotterdam/cruises</v>
      </c>
      <c r="D11" s="51" t="s">
        <v>352</v>
      </c>
      <c r="E11" s="51" t="str">
        <f ca="1">IFERROR(__xludf.DUMMYFUNCTION("REGEXREPLACE(D11, ""https://odysia-cruise-uk.client.prod.eu-west.dreamlake.io"", """")"),"/cruise-lines/holland-america-line/rotterdam/cruises")</f>
        <v>/cruise-lines/holland-america-line/rotterdam/cruises</v>
      </c>
    </row>
    <row r="12" spans="1:5" ht="15.75" customHeight="1">
      <c r="A12" s="100" t="s">
        <v>353</v>
      </c>
      <c r="B12" s="51" t="str">
        <f ca="1">IFERROR(__xludf.DUMMYFUNCTION("REGEXREPLACE(A12, ""&lt;loc&gt;"", """")"),"https://odysia-cruise-uk.client.prod.eu-west.dreamlake.io/cruise-lines/regent-seven-seas-cruises/seven-seas-grandeur/cruises&lt;/loc&gt;")</f>
        <v>https://odysia-cruise-uk.client.prod.eu-west.dreamlake.io/cruise-lines/regent-seven-seas-cruises/seven-seas-grandeur/cruises&lt;/loc&gt;</v>
      </c>
      <c r="C12" s="101" t="str">
        <f ca="1">IFERROR(__xludf.DUMMYFUNCTION("REGEXREPLACE(B12, ""&lt;/loc&gt;"", """")"),"https://odysia-cruise-uk.client.prod.eu-west.dreamlake.io/cruise-lines/regent-seven-seas-cruises/seven-seas-grandeur/cruises")</f>
        <v>https://odysia-cruise-uk.client.prod.eu-west.dreamlake.io/cruise-lines/regent-seven-seas-cruises/seven-seas-grandeur/cruises</v>
      </c>
      <c r="D12" s="51" t="s">
        <v>354</v>
      </c>
      <c r="E12" s="51" t="str">
        <f ca="1">IFERROR(__xludf.DUMMYFUNCTION("REGEXREPLACE(D12, ""https://odysia-cruise-uk.client.prod.eu-west.dreamlake.io"", """")"),"/cruise-lines/regent-seven-seas-cruises/seven-seas-grandeur/cruises")</f>
        <v>/cruise-lines/regent-seven-seas-cruises/seven-seas-grandeur/cruises</v>
      </c>
    </row>
    <row r="13" spans="1:5" ht="15.75" customHeight="1">
      <c r="A13" s="100" t="s">
        <v>355</v>
      </c>
      <c r="B13" s="51" t="str">
        <f ca="1">IFERROR(__xludf.DUMMYFUNCTION("REGEXREPLACE(A13, ""&lt;loc&gt;"", """")"),"https://odysia-cruise-uk.client.prod.eu-west.dreamlake.io/cruise-lines/royal-caribbean/icon-of-the-seas/cruises&lt;/loc&gt;")</f>
        <v>https://odysia-cruise-uk.client.prod.eu-west.dreamlake.io/cruise-lines/royal-caribbean/icon-of-the-seas/cruises&lt;/loc&gt;</v>
      </c>
      <c r="C13" s="101" t="str">
        <f ca="1">IFERROR(__xludf.DUMMYFUNCTION("REGEXREPLACE(B13, ""&lt;/loc&gt;"", """")"),"https://odysia-cruise-uk.client.prod.eu-west.dreamlake.io/cruise-lines/royal-caribbean/icon-of-the-seas/cruises")</f>
        <v>https://odysia-cruise-uk.client.prod.eu-west.dreamlake.io/cruise-lines/royal-caribbean/icon-of-the-seas/cruises</v>
      </c>
      <c r="D13" s="51" t="s">
        <v>356</v>
      </c>
      <c r="E13" s="51" t="str">
        <f ca="1">IFERROR(__xludf.DUMMYFUNCTION("REGEXREPLACE(D13, ""https://odysia-cruise-uk.client.prod.eu-west.dreamlake.io"", """")"),"/cruise-lines/royal-caribbean/icon-of-the-seas/cruises")</f>
        <v>/cruise-lines/royal-caribbean/icon-of-the-seas/cruises</v>
      </c>
    </row>
    <row r="14" spans="1:5" ht="15.75" customHeight="1">
      <c r="A14" s="100" t="s">
        <v>357</v>
      </c>
      <c r="B14" s="51" t="str">
        <f ca="1">IFERROR(__xludf.DUMMYFUNCTION("REGEXREPLACE(A14, ""&lt;loc&gt;"", """")"),"https://odysia-cruise-uk.client.prod.eu-west.dreamlake.io/cruise-lines/virgin-voyages/resilient-lady&lt;/loc&gt;")</f>
        <v>https://odysia-cruise-uk.client.prod.eu-west.dreamlake.io/cruise-lines/virgin-voyages/resilient-lady&lt;/loc&gt;</v>
      </c>
      <c r="C14" s="101" t="str">
        <f ca="1">IFERROR(__xludf.DUMMYFUNCTION("REGEXREPLACE(B14, ""&lt;/loc&gt;"", """")"),"https://odysia-cruise-uk.client.prod.eu-west.dreamlake.io/cruise-lines/virgin-voyages/resilient-lady")</f>
        <v>https://odysia-cruise-uk.client.prod.eu-west.dreamlake.io/cruise-lines/virgin-voyages/resilient-lady</v>
      </c>
      <c r="D14" s="51" t="s">
        <v>358</v>
      </c>
      <c r="E14" s="51" t="str">
        <f ca="1">IFERROR(__xludf.DUMMYFUNCTION("REGEXREPLACE(D14, ""https://odysia-cruise-uk.client.prod.eu-west.dreamlake.io"", """")"),"/cruise-lines/virgin-voyages/resilient-lady")</f>
        <v>/cruise-lines/virgin-voyages/resilient-lady</v>
      </c>
    </row>
    <row r="15" spans="1:5" ht="15.75" customHeight="1">
      <c r="A15" s="100" t="s">
        <v>359</v>
      </c>
      <c r="B15" s="51" t="str">
        <f ca="1">IFERROR(__xludf.DUMMYFUNCTION("REGEXREPLACE(A15, ""&lt;loc&gt;"", """")"),"https://odysia-cruise-uk.client.prod.eu-west.dreamlake.io/cruise-lines/norwegian-cruise-line/norwegian-jade/cruises&lt;/loc&gt;")</f>
        <v>https://odysia-cruise-uk.client.prod.eu-west.dreamlake.io/cruise-lines/norwegian-cruise-line/norwegian-jade/cruises&lt;/loc&gt;</v>
      </c>
      <c r="C15" s="101" t="str">
        <f ca="1">IFERROR(__xludf.DUMMYFUNCTION("REGEXREPLACE(B15, ""&lt;/loc&gt;"", """")"),"https://odysia-cruise-uk.client.prod.eu-west.dreamlake.io/cruise-lines/norwegian-cruise-line/norwegian-jade/cruises")</f>
        <v>https://odysia-cruise-uk.client.prod.eu-west.dreamlake.io/cruise-lines/norwegian-cruise-line/norwegian-jade/cruises</v>
      </c>
      <c r="D15" s="51" t="s">
        <v>360</v>
      </c>
      <c r="E15" s="51" t="str">
        <f ca="1">IFERROR(__xludf.DUMMYFUNCTION("REGEXREPLACE(D15, ""https://odysia-cruise-uk.client.prod.eu-west.dreamlake.io"", """")"),"/cruise-lines/norwegian-cruise-line/norwegian-jade/cruises")</f>
        <v>/cruise-lines/norwegian-cruise-line/norwegian-jade/cruises</v>
      </c>
    </row>
    <row r="16" spans="1:5" ht="15.75" customHeight="1">
      <c r="A16" s="100" t="s">
        <v>361</v>
      </c>
      <c r="B16" s="51" t="str">
        <f ca="1">IFERROR(__xludf.DUMMYFUNCTION("REGEXREPLACE(A16, ""&lt;loc&gt;"", """")"),"https://odysia-cruise-uk.client.prod.eu-west.dreamlake.io/cruise-lines/cunard/cruises&lt;/loc&gt;")</f>
        <v>https://odysia-cruise-uk.client.prod.eu-west.dreamlake.io/cruise-lines/cunard/cruises&lt;/loc&gt;</v>
      </c>
      <c r="C16" s="101" t="str">
        <f ca="1">IFERROR(__xludf.DUMMYFUNCTION("REGEXREPLACE(B16, ""&lt;/loc&gt;"", """")"),"https://odysia-cruise-uk.client.prod.eu-west.dreamlake.io/cruise-lines/cunard/cruises")</f>
        <v>https://odysia-cruise-uk.client.prod.eu-west.dreamlake.io/cruise-lines/cunard/cruises</v>
      </c>
      <c r="D16" s="51" t="s">
        <v>362</v>
      </c>
      <c r="E16" s="51" t="str">
        <f ca="1">IFERROR(__xludf.DUMMYFUNCTION("REGEXREPLACE(D16, ""https://odysia-cruise-uk.client.prod.eu-west.dreamlake.io"", """")"),"/cruise-lines/cunard/cruises")</f>
        <v>/cruise-lines/cunard/cruises</v>
      </c>
    </row>
    <row r="17" spans="1:5" ht="15.75" customHeight="1">
      <c r="A17" s="100" t="s">
        <v>363</v>
      </c>
      <c r="B17" s="51" t="str">
        <f ca="1">IFERROR(__xludf.DUMMYFUNCTION("REGEXREPLACE(A17, ""&lt;loc&gt;"", """")"),"https://odysia-cruise-uk.client.prod.eu-west.dreamlake.io/cruise-lines/celebrity-cruises/celebrity-beyond/cruises&lt;/loc&gt;")</f>
        <v>https://odysia-cruise-uk.client.prod.eu-west.dreamlake.io/cruise-lines/celebrity-cruises/celebrity-beyond/cruises&lt;/loc&gt;</v>
      </c>
      <c r="C17" s="101" t="str">
        <f ca="1">IFERROR(__xludf.DUMMYFUNCTION("REGEXREPLACE(B17, ""&lt;/loc&gt;"", """")"),"https://odysia-cruise-uk.client.prod.eu-west.dreamlake.io/cruise-lines/celebrity-cruises/celebrity-beyond/cruises")</f>
        <v>https://odysia-cruise-uk.client.prod.eu-west.dreamlake.io/cruise-lines/celebrity-cruises/celebrity-beyond/cruises</v>
      </c>
      <c r="D17" s="51" t="s">
        <v>364</v>
      </c>
      <c r="E17" s="51" t="str">
        <f ca="1">IFERROR(__xludf.DUMMYFUNCTION("REGEXREPLACE(D17, ""https://odysia-cruise-uk.client.prod.eu-west.dreamlake.io"", """")"),"/cruise-lines/celebrity-cruises/celebrity-beyond/cruises")</f>
        <v>/cruise-lines/celebrity-cruises/celebrity-beyond/cruises</v>
      </c>
    </row>
    <row r="18" spans="1:5" ht="15.75" customHeight="1">
      <c r="A18" s="100" t="s">
        <v>365</v>
      </c>
      <c r="B18" s="51" t="str">
        <f ca="1">IFERROR(__xludf.DUMMYFUNCTION("REGEXREPLACE(A18, ""&lt;loc&gt;"", """")"),"https://odysia-cruise-uk.client.prod.eu-west.dreamlake.io/cruise-lines/royal-caribbean/icon-of-the-seas&lt;/loc&gt;")</f>
        <v>https://odysia-cruise-uk.client.prod.eu-west.dreamlake.io/cruise-lines/royal-caribbean/icon-of-the-seas&lt;/loc&gt;</v>
      </c>
      <c r="C18" s="101" t="str">
        <f ca="1">IFERROR(__xludf.DUMMYFUNCTION("REGEXREPLACE(B18, ""&lt;/loc&gt;"", """")"),"https://odysia-cruise-uk.client.prod.eu-west.dreamlake.io/cruise-lines/royal-caribbean/icon-of-the-seas")</f>
        <v>https://odysia-cruise-uk.client.prod.eu-west.dreamlake.io/cruise-lines/royal-caribbean/icon-of-the-seas</v>
      </c>
      <c r="D18" s="51" t="s">
        <v>366</v>
      </c>
      <c r="E18" s="51" t="str">
        <f ca="1">IFERROR(__xludf.DUMMYFUNCTION("REGEXREPLACE(D18, ""https://odysia-cruise-uk.client.prod.eu-west.dreamlake.io"", """")"),"/cruise-lines/royal-caribbean/icon-of-the-seas")</f>
        <v>/cruise-lines/royal-caribbean/icon-of-the-seas</v>
      </c>
    </row>
    <row r="19" spans="1:5" ht="15.75" customHeight="1">
      <c r="A19" s="100" t="s">
        <v>367</v>
      </c>
      <c r="B19" s="51" t="str">
        <f ca="1">IFERROR(__xludf.DUMMYFUNCTION("REGEXREPLACE(A19, ""&lt;loc&gt;"", """")"),"https://odysia-cruise-uk.client.prod.eu-west.dreamlake.io/cruise-lines/princess-cruises/regal-princess&lt;/loc&gt;")</f>
        <v>https://odysia-cruise-uk.client.prod.eu-west.dreamlake.io/cruise-lines/princess-cruises/regal-princess&lt;/loc&gt;</v>
      </c>
      <c r="C19" s="101" t="str">
        <f ca="1">IFERROR(__xludf.DUMMYFUNCTION("REGEXREPLACE(B19, ""&lt;/loc&gt;"", """")"),"https://odysia-cruise-uk.client.prod.eu-west.dreamlake.io/cruise-lines/princess-cruises/regal-princess")</f>
        <v>https://odysia-cruise-uk.client.prod.eu-west.dreamlake.io/cruise-lines/princess-cruises/regal-princess</v>
      </c>
      <c r="D19" s="51" t="s">
        <v>368</v>
      </c>
      <c r="E19" s="51" t="str">
        <f ca="1">IFERROR(__xludf.DUMMYFUNCTION("REGEXREPLACE(D19, ""https://odysia-cruise-uk.client.prod.eu-west.dreamlake.io"", """")"),"/cruise-lines/princess-cruises/regal-princess")</f>
        <v>/cruise-lines/princess-cruises/regal-princess</v>
      </c>
    </row>
    <row r="20" spans="1:5" ht="15.75" customHeight="1">
      <c r="A20" s="100" t="s">
        <v>369</v>
      </c>
      <c r="B20" s="51" t="str">
        <f ca="1">IFERROR(__xludf.DUMMYFUNCTION("REGEXREPLACE(A20, ""&lt;loc&gt;"", """")"),"https://odysia-cruise-uk.client.prod.eu-west.dreamlake.io/cruise-lines/royal-caribbean/utopia-of-the-seas/cruises&lt;/loc&gt;")</f>
        <v>https://odysia-cruise-uk.client.prod.eu-west.dreamlake.io/cruise-lines/royal-caribbean/utopia-of-the-seas/cruises&lt;/loc&gt;</v>
      </c>
      <c r="C20" s="101" t="str">
        <f ca="1">IFERROR(__xludf.DUMMYFUNCTION("REGEXREPLACE(B20, ""&lt;/loc&gt;"", """")"),"https://odysia-cruise-uk.client.prod.eu-west.dreamlake.io/cruise-lines/royal-caribbean/utopia-of-the-seas/cruises")</f>
        <v>https://odysia-cruise-uk.client.prod.eu-west.dreamlake.io/cruise-lines/royal-caribbean/utopia-of-the-seas/cruises</v>
      </c>
      <c r="D20" s="51" t="s">
        <v>370</v>
      </c>
      <c r="E20" s="51" t="str">
        <f ca="1">IFERROR(__xludf.DUMMYFUNCTION("REGEXREPLACE(D20, ""https://odysia-cruise-uk.client.prod.eu-west.dreamlake.io"", """")"),"/cruise-lines/royal-caribbean/utopia-of-the-seas/cruises")</f>
        <v>/cruise-lines/royal-caribbean/utopia-of-the-seas/cruises</v>
      </c>
    </row>
    <row r="21" spans="1:5" ht="15.75" customHeight="1">
      <c r="A21" s="100" t="s">
        <v>371</v>
      </c>
      <c r="B21" s="51" t="str">
        <f ca="1">IFERROR(__xludf.DUMMYFUNCTION("REGEXREPLACE(A21, ""&lt;loc&gt;"", """")"),"https://odysia-cruise-uk.client.prod.eu-west.dreamlake.io/cruise-lines/oceania-cruises/oceania-riviera/cruises&lt;/loc&gt;")</f>
        <v>https://odysia-cruise-uk.client.prod.eu-west.dreamlake.io/cruise-lines/oceania-cruises/oceania-riviera/cruises&lt;/loc&gt;</v>
      </c>
      <c r="C21" s="101" t="str">
        <f ca="1">IFERROR(__xludf.DUMMYFUNCTION("REGEXREPLACE(B21, ""&lt;/loc&gt;"", """")"),"https://odysia-cruise-uk.client.prod.eu-west.dreamlake.io/cruise-lines/oceania-cruises/oceania-riviera/cruises")</f>
        <v>https://odysia-cruise-uk.client.prod.eu-west.dreamlake.io/cruise-lines/oceania-cruises/oceania-riviera/cruises</v>
      </c>
      <c r="D21" s="51" t="s">
        <v>372</v>
      </c>
      <c r="E21" s="51" t="str">
        <f ca="1">IFERROR(__xludf.DUMMYFUNCTION("REGEXREPLACE(D21, ""https://odysia-cruise-uk.client.prod.eu-west.dreamlake.io"", """")"),"/cruise-lines/oceania-cruises/oceania-riviera/cruises")</f>
        <v>/cruise-lines/oceania-cruises/oceania-riviera/cruises</v>
      </c>
    </row>
    <row r="22" spans="1:5" ht="15.75" customHeight="1">
      <c r="A22" s="100" t="s">
        <v>373</v>
      </c>
      <c r="B22" s="51" t="str">
        <f ca="1">IFERROR(__xludf.DUMMYFUNCTION("REGEXREPLACE(A22, ""&lt;loc&gt;"", """")"),"https://odysia-cruise-uk.client.prod.eu-west.dreamlake.io/cruise-lines/cunard/queen-anne/cruises&lt;/loc&gt;")</f>
        <v>https://odysia-cruise-uk.client.prod.eu-west.dreamlake.io/cruise-lines/cunard/queen-anne/cruises&lt;/loc&gt;</v>
      </c>
      <c r="C22" s="101" t="str">
        <f ca="1">IFERROR(__xludf.DUMMYFUNCTION("REGEXREPLACE(B22, ""&lt;/loc&gt;"", """")"),"https://odysia-cruise-uk.client.prod.eu-west.dreamlake.io/cruise-lines/cunard/queen-anne/cruises")</f>
        <v>https://odysia-cruise-uk.client.prod.eu-west.dreamlake.io/cruise-lines/cunard/queen-anne/cruises</v>
      </c>
      <c r="D22" s="51" t="s">
        <v>374</v>
      </c>
      <c r="E22" s="51" t="str">
        <f ca="1">IFERROR(__xludf.DUMMYFUNCTION("REGEXREPLACE(D22, ""https://odysia-cruise-uk.client.prod.eu-west.dreamlake.io"", """")"),"/cruise-lines/cunard/queen-anne/cruises")</f>
        <v>/cruise-lines/cunard/queen-anne/cruises</v>
      </c>
    </row>
    <row r="23" spans="1:5" ht="15.75" customHeight="1">
      <c r="A23" s="100" t="s">
        <v>375</v>
      </c>
      <c r="B23" s="51" t="str">
        <f ca="1">IFERROR(__xludf.DUMMYFUNCTION("REGEXREPLACE(A23, ""&lt;loc&gt;"", """")"),"https://odysia-cruise-uk.client.prod.eu-west.dreamlake.io/cruise-lines/norwegian-cruise-line/norwegian-dawn&lt;/loc&gt;")</f>
        <v>https://odysia-cruise-uk.client.prod.eu-west.dreamlake.io/cruise-lines/norwegian-cruise-line/norwegian-dawn&lt;/loc&gt;</v>
      </c>
      <c r="C23" s="101" t="str">
        <f ca="1">IFERROR(__xludf.DUMMYFUNCTION("REGEXREPLACE(B23, ""&lt;/loc&gt;"", """")"),"https://odysia-cruise-uk.client.prod.eu-west.dreamlake.io/cruise-lines/norwegian-cruise-line/norwegian-dawn")</f>
        <v>https://odysia-cruise-uk.client.prod.eu-west.dreamlake.io/cruise-lines/norwegian-cruise-line/norwegian-dawn</v>
      </c>
      <c r="D23" s="51" t="s">
        <v>376</v>
      </c>
      <c r="E23" s="51" t="str">
        <f ca="1">IFERROR(__xludf.DUMMYFUNCTION("REGEXREPLACE(D23, ""https://odysia-cruise-uk.client.prod.eu-west.dreamlake.io"", """")"),"/cruise-lines/norwegian-cruise-line/norwegian-dawn")</f>
        <v>/cruise-lines/norwegian-cruise-line/norwegian-dawn</v>
      </c>
    </row>
    <row r="24" spans="1:5" ht="15.75" customHeight="1">
      <c r="A24" s="100" t="s">
        <v>377</v>
      </c>
      <c r="B24" s="51" t="str">
        <f ca="1">IFERROR(__xludf.DUMMYFUNCTION("REGEXREPLACE(A24, ""&lt;loc&gt;"", """")"),"https://odysia-cruise-uk.client.prod.eu-west.dreamlake.io/destinations/mediterranean-cruises&lt;/loc&gt;")</f>
        <v>https://odysia-cruise-uk.client.prod.eu-west.dreamlake.io/destinations/mediterranean-cruises&lt;/loc&gt;</v>
      </c>
      <c r="C24" s="101" t="str">
        <f ca="1">IFERROR(__xludf.DUMMYFUNCTION("REGEXREPLACE(B24, ""&lt;/loc&gt;"", """")"),"https://odysia-cruise-uk.client.prod.eu-west.dreamlake.io/destinations/mediterranean-cruises")</f>
        <v>https://odysia-cruise-uk.client.prod.eu-west.dreamlake.io/destinations/mediterranean-cruises</v>
      </c>
    </row>
    <row r="25" spans="1:5" ht="15.75" customHeight="1">
      <c r="A25" s="100" t="s">
        <v>378</v>
      </c>
      <c r="B25" s="51" t="str">
        <f ca="1">IFERROR(__xludf.DUMMYFUNCTION("REGEXREPLACE(A25, ""&lt;loc&gt;"", """")"),"https://odysia-cruise-uk.client.prod.eu-west.dreamlake.io/cruise-lines/norwegian-cruise-line/norwegian-epic&lt;/loc&gt;")</f>
        <v>https://odysia-cruise-uk.client.prod.eu-west.dreamlake.io/cruise-lines/norwegian-cruise-line/norwegian-epic&lt;/loc&gt;</v>
      </c>
      <c r="C25" s="101" t="str">
        <f ca="1">IFERROR(__xludf.DUMMYFUNCTION("REGEXREPLACE(B25, ""&lt;/loc&gt;"", """")"),"https://odysia-cruise-uk.client.prod.eu-west.dreamlake.io/cruise-lines/norwegian-cruise-line/norwegian-epic")</f>
        <v>https://odysia-cruise-uk.client.prod.eu-west.dreamlake.io/cruise-lines/norwegian-cruise-line/norwegian-epic</v>
      </c>
      <c r="D25" s="51" t="s">
        <v>379</v>
      </c>
      <c r="E25" s="51" t="str">
        <f ca="1">IFERROR(__xludf.DUMMYFUNCTION("REGEXREPLACE(D25, ""https://odysia-cruise-uk.client.prod.eu-west.dreamlake.io"", """")"),"/cruise-lines/norwegian-cruise-line/norwegian-epic")</f>
        <v>/cruise-lines/norwegian-cruise-line/norwegian-epic</v>
      </c>
    </row>
    <row r="26" spans="1:5" ht="15.75" customHeight="1">
      <c r="A26" s="100" t="s">
        <v>380</v>
      </c>
      <c r="B26" s="51" t="str">
        <f ca="1">IFERROR(__xludf.DUMMYFUNCTION("REGEXREPLACE(A26, ""&lt;loc&gt;"", """")"),"https://odysia-cruise-uk.client.prod.eu-west.dreamlake.io/cruise-lines/celebrity-cruises/celebrity-silhouette&lt;/loc&gt;")</f>
        <v>https://odysia-cruise-uk.client.prod.eu-west.dreamlake.io/cruise-lines/celebrity-cruises/celebrity-silhouette&lt;/loc&gt;</v>
      </c>
      <c r="C26" s="101" t="str">
        <f ca="1">IFERROR(__xludf.DUMMYFUNCTION("REGEXREPLACE(B26, ""&lt;/loc&gt;"", """")"),"https://odysia-cruise-uk.client.prod.eu-west.dreamlake.io/cruise-lines/celebrity-cruises/celebrity-silhouette")</f>
        <v>https://odysia-cruise-uk.client.prod.eu-west.dreamlake.io/cruise-lines/celebrity-cruises/celebrity-silhouette</v>
      </c>
      <c r="D26" s="51" t="s">
        <v>381</v>
      </c>
      <c r="E26" s="51" t="str">
        <f ca="1">IFERROR(__xludf.DUMMYFUNCTION("REGEXREPLACE(D26, ""https://odysia-cruise-uk.client.prod.eu-west.dreamlake.io"", """")"),"/cruise-lines/celebrity-cruises/celebrity-silhouette")</f>
        <v>/cruise-lines/celebrity-cruises/celebrity-silhouette</v>
      </c>
    </row>
    <row r="27" spans="1:5" ht="15.75" customHeight="1">
      <c r="A27" s="100" t="s">
        <v>382</v>
      </c>
      <c r="B27" s="51" t="str">
        <f ca="1">IFERROR(__xludf.DUMMYFUNCTION("REGEXREPLACE(A27, ""&lt;loc&gt;"", """")"),"https://odysia-cruise-uk.client.prod.eu-west.dreamlake.io/destinations/usa-cruises&lt;/loc&gt;")</f>
        <v>https://odysia-cruise-uk.client.prod.eu-west.dreamlake.io/destinations/usa-cruises&lt;/loc&gt;</v>
      </c>
      <c r="C27" s="101" t="str">
        <f ca="1">IFERROR(__xludf.DUMMYFUNCTION("REGEXREPLACE(B27, ""&lt;/loc&gt;"", """")"),"https://odysia-cruise-uk.client.prod.eu-west.dreamlake.io/destinations/usa-cruises")</f>
        <v>https://odysia-cruise-uk.client.prod.eu-west.dreamlake.io/destinations/usa-cruises</v>
      </c>
    </row>
    <row r="28" spans="1:5" ht="15.75" customHeight="1">
      <c r="A28" s="100" t="s">
        <v>383</v>
      </c>
      <c r="B28" s="51" t="str">
        <f ca="1">IFERROR(__xludf.DUMMYFUNCTION("REGEXREPLACE(A28, ""&lt;loc&gt;"", """")"),"https://odysia-cruise-uk.client.prod.eu-west.dreamlake.io/cruise-lines/royal-caribbean/radiance-of-the-seas/cruises&lt;/loc&gt;")</f>
        <v>https://odysia-cruise-uk.client.prod.eu-west.dreamlake.io/cruise-lines/royal-caribbean/radiance-of-the-seas/cruises&lt;/loc&gt;</v>
      </c>
      <c r="C28" s="101" t="str">
        <f ca="1">IFERROR(__xludf.DUMMYFUNCTION("REGEXREPLACE(B28, ""&lt;/loc&gt;"", """")"),"https://odysia-cruise-uk.client.prod.eu-west.dreamlake.io/cruise-lines/royal-caribbean/radiance-of-the-seas/cruises")</f>
        <v>https://odysia-cruise-uk.client.prod.eu-west.dreamlake.io/cruise-lines/royal-caribbean/radiance-of-the-seas/cruises</v>
      </c>
      <c r="D28" s="51" t="s">
        <v>384</v>
      </c>
      <c r="E28" s="51" t="str">
        <f ca="1">IFERROR(__xludf.DUMMYFUNCTION("REGEXREPLACE(D28, ""https://odysia-cruise-uk.client.prod.eu-west.dreamlake.io"", """")"),"/cruise-lines/royal-caribbean/radiance-of-the-seas/cruises")</f>
        <v>/cruise-lines/royal-caribbean/radiance-of-the-seas/cruises</v>
      </c>
    </row>
    <row r="29" spans="1:5" ht="15.75" customHeight="1">
      <c r="A29" s="100" t="s">
        <v>385</v>
      </c>
      <c r="B29" s="51" t="str">
        <f ca="1">IFERROR(__xludf.DUMMYFUNCTION("REGEXREPLACE(A29, ""&lt;loc&gt;"", """")"),"https://odysia-cruise-uk.client.prod.eu-west.dreamlake.io/cruise-lines/holland-america-line/rotterdam&lt;/loc&gt;")</f>
        <v>https://odysia-cruise-uk.client.prod.eu-west.dreamlake.io/cruise-lines/holland-america-line/rotterdam&lt;/loc&gt;</v>
      </c>
      <c r="C29" s="101" t="str">
        <f ca="1">IFERROR(__xludf.DUMMYFUNCTION("REGEXREPLACE(B29, ""&lt;/loc&gt;"", """")"),"https://odysia-cruise-uk.client.prod.eu-west.dreamlake.io/cruise-lines/holland-america-line/rotterdam")</f>
        <v>https://odysia-cruise-uk.client.prod.eu-west.dreamlake.io/cruise-lines/holland-america-line/rotterdam</v>
      </c>
      <c r="D29" s="51" t="s">
        <v>386</v>
      </c>
      <c r="E29" s="51" t="str">
        <f ca="1">IFERROR(__xludf.DUMMYFUNCTION("REGEXREPLACE(D29, ""https://odysia-cruise-uk.client.prod.eu-west.dreamlake.io"", """")"),"/cruise-lines/holland-america-line/rotterdam")</f>
        <v>/cruise-lines/holland-america-line/rotterdam</v>
      </c>
    </row>
    <row r="30" spans="1:5" ht="15.75" customHeight="1">
      <c r="A30" s="100" t="s">
        <v>387</v>
      </c>
      <c r="B30" s="51" t="str">
        <f ca="1">IFERROR(__xludf.DUMMYFUNCTION("REGEXREPLACE(A30, ""&lt;loc&gt;"", """")"),"https://odysia-cruise-uk.client.prod.eu-west.dreamlake.io/cruise-lines/royal-caribbean/anthem-of-the-seas&lt;/loc&gt;")</f>
        <v>https://odysia-cruise-uk.client.prod.eu-west.dreamlake.io/cruise-lines/royal-caribbean/anthem-of-the-seas&lt;/loc&gt;</v>
      </c>
      <c r="C30" s="101" t="str">
        <f ca="1">IFERROR(__xludf.DUMMYFUNCTION("REGEXREPLACE(B30, ""&lt;/loc&gt;"", """")"),"https://odysia-cruise-uk.client.prod.eu-west.dreamlake.io/cruise-lines/royal-caribbean/anthem-of-the-seas")</f>
        <v>https://odysia-cruise-uk.client.prod.eu-west.dreamlake.io/cruise-lines/royal-caribbean/anthem-of-the-seas</v>
      </c>
      <c r="D30" s="51" t="s">
        <v>388</v>
      </c>
      <c r="E30" s="51" t="str">
        <f ca="1">IFERROR(__xludf.DUMMYFUNCTION("REGEXREPLACE(D30, ""https://odysia-cruise-uk.client.prod.eu-west.dreamlake.io"", """")"),"/cruise-lines/royal-caribbean/anthem-of-the-seas")</f>
        <v>/cruise-lines/royal-caribbean/anthem-of-the-seas</v>
      </c>
    </row>
    <row r="31" spans="1:5" ht="15.75" customHeight="1">
      <c r="A31" s="100" t="s">
        <v>389</v>
      </c>
      <c r="B31" s="51" t="str">
        <f ca="1">IFERROR(__xludf.DUMMYFUNCTION("REGEXREPLACE(A31, ""&lt;loc&gt;"", """")"),"https://odysia-cruise-uk.client.prod.eu-west.dreamlake.io/cruise-deals/cruises-from-southampton&lt;/loc&gt;")</f>
        <v>https://odysia-cruise-uk.client.prod.eu-west.dreamlake.io/cruise-deals/cruises-from-southampton&lt;/loc&gt;</v>
      </c>
      <c r="C31" s="101" t="str">
        <f ca="1">IFERROR(__xludf.DUMMYFUNCTION("REGEXREPLACE(B31, ""&lt;/loc&gt;"", """")"),"https://odysia-cruise-uk.client.prod.eu-west.dreamlake.io/cruise-deals/cruises-from-southampton")</f>
        <v>https://odysia-cruise-uk.client.prod.eu-west.dreamlake.io/cruise-deals/cruises-from-southampton</v>
      </c>
      <c r="D31" s="51" t="s">
        <v>390</v>
      </c>
    </row>
    <row r="32" spans="1:5" ht="15.75" customHeight="1">
      <c r="A32" s="100" t="s">
        <v>391</v>
      </c>
      <c r="B32" s="51" t="str">
        <f ca="1">IFERROR(__xludf.DUMMYFUNCTION("REGEXREPLACE(A32, ""&lt;loc&gt;"", """")"),"https://odysia-cruise-uk.client.prod.eu-west.dreamlake.io/cruise-lines/celebrity-cruises/celebrity-silhouette/cruises&lt;/loc&gt;")</f>
        <v>https://odysia-cruise-uk.client.prod.eu-west.dreamlake.io/cruise-lines/celebrity-cruises/celebrity-silhouette/cruises&lt;/loc&gt;</v>
      </c>
      <c r="C32" s="101" t="str">
        <f ca="1">IFERROR(__xludf.DUMMYFUNCTION("REGEXREPLACE(B32, ""&lt;/loc&gt;"", """")"),"https://odysia-cruise-uk.client.prod.eu-west.dreamlake.io/cruise-lines/celebrity-cruises/celebrity-silhouette/cruises")</f>
        <v>https://odysia-cruise-uk.client.prod.eu-west.dreamlake.io/cruise-lines/celebrity-cruises/celebrity-silhouette/cruises</v>
      </c>
      <c r="D32" s="51" t="s">
        <v>392</v>
      </c>
      <c r="E32" s="51" t="str">
        <f ca="1">IFERROR(__xludf.DUMMYFUNCTION("REGEXREPLACE(D32, ""https://odysia-cruise-uk.client.prod.eu-west.dreamlake.io"", """")"),"/cruise-lines/celebrity-cruises/celebrity-silhouette/cruises")</f>
        <v>/cruise-lines/celebrity-cruises/celebrity-silhouette/cruises</v>
      </c>
    </row>
    <row r="33" spans="1:5" ht="15.75" customHeight="1">
      <c r="A33" s="100" t="s">
        <v>393</v>
      </c>
      <c r="B33" s="51" t="str">
        <f ca="1">IFERROR(__xludf.DUMMYFUNCTION("REGEXREPLACE(A33, ""&lt;loc&gt;"", """")"),"https://odysia-cruise-uk.client.prod.eu-west.dreamlake.io/cruise-lines/royal-caribbean/enchantment-of-the-seas&lt;/loc&gt;")</f>
        <v>https://odysia-cruise-uk.client.prod.eu-west.dreamlake.io/cruise-lines/royal-caribbean/enchantment-of-the-seas&lt;/loc&gt;</v>
      </c>
      <c r="C33" s="101" t="str">
        <f ca="1">IFERROR(__xludf.DUMMYFUNCTION("REGEXREPLACE(B33, ""&lt;/loc&gt;"", """")"),"https://odysia-cruise-uk.client.prod.eu-west.dreamlake.io/cruise-lines/royal-caribbean/enchantment-of-the-seas")</f>
        <v>https://odysia-cruise-uk.client.prod.eu-west.dreamlake.io/cruise-lines/royal-caribbean/enchantment-of-the-seas</v>
      </c>
      <c r="D33" s="51" t="s">
        <v>394</v>
      </c>
      <c r="E33" s="51" t="str">
        <f ca="1">IFERROR(__xludf.DUMMYFUNCTION("REGEXREPLACE(D33, ""https://odysia-cruise-uk.client.prod.eu-west.dreamlake.io"", """")"),"/cruise-lines/royal-caribbean/enchantment-of-the-seas")</f>
        <v>/cruise-lines/royal-caribbean/enchantment-of-the-seas</v>
      </c>
    </row>
    <row r="34" spans="1:5" ht="15.75" customHeight="1">
      <c r="A34" s="100" t="s">
        <v>395</v>
      </c>
      <c r="B34" s="51" t="str">
        <f ca="1">IFERROR(__xludf.DUMMYFUNCTION("REGEXREPLACE(A34, ""&lt;loc&gt;"", """")"),"https://odysia-cruise-uk.client.prod.eu-west.dreamlake.io/cruise-lines/norwegian-cruise-line/norwegian-gem/cruises&lt;/loc&gt;")</f>
        <v>https://odysia-cruise-uk.client.prod.eu-west.dreamlake.io/cruise-lines/norwegian-cruise-line/norwegian-gem/cruises&lt;/loc&gt;</v>
      </c>
      <c r="C34" s="101" t="str">
        <f ca="1">IFERROR(__xludf.DUMMYFUNCTION("REGEXREPLACE(B34, ""&lt;/loc&gt;"", """")"),"https://odysia-cruise-uk.client.prod.eu-west.dreamlake.io/cruise-lines/norwegian-cruise-line/norwegian-gem/cruises")</f>
        <v>https://odysia-cruise-uk.client.prod.eu-west.dreamlake.io/cruise-lines/norwegian-cruise-line/norwegian-gem/cruises</v>
      </c>
      <c r="D34" s="51" t="s">
        <v>396</v>
      </c>
      <c r="E34" s="51" t="str">
        <f ca="1">IFERROR(__xludf.DUMMYFUNCTION("REGEXREPLACE(D34, ""https://odysia-cruise-uk.client.prod.eu-west.dreamlake.io"", """")"),"/cruise-lines/norwegian-cruise-line/norwegian-gem/cruises")</f>
        <v>/cruise-lines/norwegian-cruise-line/norwegian-gem/cruises</v>
      </c>
    </row>
    <row r="35" spans="1:5" ht="15.75" customHeight="1">
      <c r="A35" s="100" t="s">
        <v>397</v>
      </c>
      <c r="B35" s="51" t="str">
        <f ca="1">IFERROR(__xludf.DUMMYFUNCTION("REGEXREPLACE(A35, ""&lt;loc&gt;"", """")"),"https://odysia-cruise-uk.client.prod.eu-west.dreamlake.io/cruise-lines/virgin-voyages/scarlet-lady/cruises&lt;/loc&gt;")</f>
        <v>https://odysia-cruise-uk.client.prod.eu-west.dreamlake.io/cruise-lines/virgin-voyages/scarlet-lady/cruises&lt;/loc&gt;</v>
      </c>
      <c r="C35" s="101" t="str">
        <f ca="1">IFERROR(__xludf.DUMMYFUNCTION("REGEXREPLACE(B35, ""&lt;/loc&gt;"", """")"),"https://odysia-cruise-uk.client.prod.eu-west.dreamlake.io/cruise-lines/virgin-voyages/scarlet-lady/cruises")</f>
        <v>https://odysia-cruise-uk.client.prod.eu-west.dreamlake.io/cruise-lines/virgin-voyages/scarlet-lady/cruises</v>
      </c>
      <c r="D35" s="51" t="s">
        <v>398</v>
      </c>
      <c r="E35" s="51" t="str">
        <f ca="1">IFERROR(__xludf.DUMMYFUNCTION("REGEXREPLACE(D35, ""https://odysia-cruise-uk.client.prod.eu-west.dreamlake.io"", """")"),"/cruise-lines/virgin-voyages/scarlet-lady/cruises")</f>
        <v>/cruise-lines/virgin-voyages/scarlet-lady/cruises</v>
      </c>
    </row>
    <row r="36" spans="1:5" ht="15.75" customHeight="1">
      <c r="A36" s="100" t="s">
        <v>399</v>
      </c>
      <c r="B36" s="51" t="str">
        <f ca="1">IFERROR(__xludf.DUMMYFUNCTION("REGEXREPLACE(A36, ""&lt;loc&gt;"", """")"),"https://odysia-cruise-uk.client.prod.eu-west.dreamlake.io/cruise-lines/msc-cruises/msc-splendida/cruises&lt;/loc&gt;")</f>
        <v>https://odysia-cruise-uk.client.prod.eu-west.dreamlake.io/cruise-lines/msc-cruises/msc-splendida/cruises&lt;/loc&gt;</v>
      </c>
      <c r="C36" s="101" t="str">
        <f ca="1">IFERROR(__xludf.DUMMYFUNCTION("REGEXREPLACE(B36, ""&lt;/loc&gt;"", """")"),"https://odysia-cruise-uk.client.prod.eu-west.dreamlake.io/cruise-lines/msc-cruises/msc-splendida/cruises")</f>
        <v>https://odysia-cruise-uk.client.prod.eu-west.dreamlake.io/cruise-lines/msc-cruises/msc-splendida/cruises</v>
      </c>
      <c r="D36" s="51" t="s">
        <v>400</v>
      </c>
      <c r="E36" s="51" t="str">
        <f ca="1">IFERROR(__xludf.DUMMYFUNCTION("REGEXREPLACE(D36, ""https://odysia-cruise-uk.client.prod.eu-west.dreamlake.io"", """")"),"/cruise-lines/msc-cruises/msc-splendida/cruises")</f>
        <v>/cruise-lines/msc-cruises/msc-splendida/cruises</v>
      </c>
    </row>
    <row r="37" spans="1:5" ht="15.75" customHeight="1">
      <c r="A37" s="100" t="s">
        <v>401</v>
      </c>
      <c r="B37" s="51" t="str">
        <f ca="1">IFERROR(__xludf.DUMMYFUNCTION("REGEXREPLACE(A37, ""&lt;loc&gt;"", """")"),"https://odysia-cruise-uk.client.prod.eu-west.dreamlake.io/cruise-lines/norwegian-cruise-line/norwegian-dawn/cruises&lt;/loc&gt;")</f>
        <v>https://odysia-cruise-uk.client.prod.eu-west.dreamlake.io/cruise-lines/norwegian-cruise-line/norwegian-dawn/cruises&lt;/loc&gt;</v>
      </c>
      <c r="C37" s="101" t="str">
        <f ca="1">IFERROR(__xludf.DUMMYFUNCTION("REGEXREPLACE(B37, ""&lt;/loc&gt;"", """")"),"https://odysia-cruise-uk.client.prod.eu-west.dreamlake.io/cruise-lines/norwegian-cruise-line/norwegian-dawn/cruises")</f>
        <v>https://odysia-cruise-uk.client.prod.eu-west.dreamlake.io/cruise-lines/norwegian-cruise-line/norwegian-dawn/cruises</v>
      </c>
      <c r="D37" s="51" t="s">
        <v>402</v>
      </c>
      <c r="E37" s="51" t="str">
        <f ca="1">IFERROR(__xludf.DUMMYFUNCTION("REGEXREPLACE(D37, ""https://odysia-cruise-uk.client.prod.eu-west.dreamlake.io"", """")"),"/cruise-lines/norwegian-cruise-line/norwegian-dawn/cruises")</f>
        <v>/cruise-lines/norwegian-cruise-line/norwegian-dawn/cruises</v>
      </c>
    </row>
    <row r="38" spans="1:5" ht="15.75" customHeight="1">
      <c r="A38" s="100" t="s">
        <v>403</v>
      </c>
      <c r="B38" s="51" t="str">
        <f ca="1">IFERROR(__xludf.DUMMYFUNCTION("REGEXREPLACE(A38, ""&lt;loc&gt;"", """")"),"https://odysia-cruise-uk.client.prod.eu-west.dreamlake.io/cruise-lines/msc-cruises/msc-seascape&lt;/loc&gt;")</f>
        <v>https://odysia-cruise-uk.client.prod.eu-west.dreamlake.io/cruise-lines/msc-cruises/msc-seascape&lt;/loc&gt;</v>
      </c>
      <c r="C38" s="101" t="str">
        <f ca="1">IFERROR(__xludf.DUMMYFUNCTION("REGEXREPLACE(B38, ""&lt;/loc&gt;"", """")"),"https://odysia-cruise-uk.client.prod.eu-west.dreamlake.io/cruise-lines/msc-cruises/msc-seascape")</f>
        <v>https://odysia-cruise-uk.client.prod.eu-west.dreamlake.io/cruise-lines/msc-cruises/msc-seascape</v>
      </c>
      <c r="D38" s="51" t="s">
        <v>404</v>
      </c>
      <c r="E38" s="51" t="str">
        <f ca="1">IFERROR(__xludf.DUMMYFUNCTION("REGEXREPLACE(D38, ""https://odysia-cruise-uk.client.prod.eu-west.dreamlake.io"", """")"),"/cruise-lines/msc-cruises/msc-seascape")</f>
        <v>/cruise-lines/msc-cruises/msc-seascape</v>
      </c>
    </row>
    <row r="39" spans="1:5" ht="15.75" customHeight="1">
      <c r="A39" s="100" t="s">
        <v>405</v>
      </c>
      <c r="B39" s="51" t="str">
        <f ca="1">IFERROR(__xludf.DUMMYFUNCTION("REGEXREPLACE(A39, ""&lt;loc&gt;"", """")"),"https://odysia-cruise-uk.client.prod.eu-west.dreamlake.io/cruise-lines/msc-cruises/cruises&lt;/loc&gt;")</f>
        <v>https://odysia-cruise-uk.client.prod.eu-west.dreamlake.io/cruise-lines/msc-cruises/cruises&lt;/loc&gt;</v>
      </c>
      <c r="C39" s="101" t="str">
        <f ca="1">IFERROR(__xludf.DUMMYFUNCTION("REGEXREPLACE(B39, ""&lt;/loc&gt;"", """")"),"https://odysia-cruise-uk.client.prod.eu-west.dreamlake.io/cruise-lines/msc-cruises/cruises")</f>
        <v>https://odysia-cruise-uk.client.prod.eu-west.dreamlake.io/cruise-lines/msc-cruises/cruises</v>
      </c>
      <c r="D39" s="51" t="s">
        <v>406</v>
      </c>
      <c r="E39" s="51" t="str">
        <f ca="1">IFERROR(__xludf.DUMMYFUNCTION("REGEXREPLACE(D39, ""https://odysia-cruise-uk.client.prod.eu-west.dreamlake.io"", """")"),"/cruise-lines/msc-cruises/cruises")</f>
        <v>/cruise-lines/msc-cruises/cruises</v>
      </c>
    </row>
    <row r="40" spans="1:5" ht="15.75" customHeight="1">
      <c r="A40" s="100" t="s">
        <v>407</v>
      </c>
      <c r="B40" s="51" t="str">
        <f ca="1">IFERROR(__xludf.DUMMYFUNCTION("REGEXREPLACE(A40, ""&lt;loc&gt;"", """")"),"https://odysia-cruise-uk.client.prod.eu-west.dreamlake.io/cruise-lines/virgin-voyages/valiant-lady/cruises&lt;/loc&gt;")</f>
        <v>https://odysia-cruise-uk.client.prod.eu-west.dreamlake.io/cruise-lines/virgin-voyages/valiant-lady/cruises&lt;/loc&gt;</v>
      </c>
      <c r="C40" s="101" t="str">
        <f ca="1">IFERROR(__xludf.DUMMYFUNCTION("REGEXREPLACE(B40, ""&lt;/loc&gt;"", """")"),"https://odysia-cruise-uk.client.prod.eu-west.dreamlake.io/cruise-lines/virgin-voyages/valiant-lady/cruises")</f>
        <v>https://odysia-cruise-uk.client.prod.eu-west.dreamlake.io/cruise-lines/virgin-voyages/valiant-lady/cruises</v>
      </c>
      <c r="D40" s="51" t="s">
        <v>408</v>
      </c>
      <c r="E40" s="51" t="str">
        <f ca="1">IFERROR(__xludf.DUMMYFUNCTION("REGEXREPLACE(D40, ""https://odysia-cruise-uk.client.prod.eu-west.dreamlake.io"", """")"),"/cruise-lines/virgin-voyages/valiant-lady/cruises")</f>
        <v>/cruise-lines/virgin-voyages/valiant-lady/cruises</v>
      </c>
    </row>
    <row r="41" spans="1:5" ht="15.75" customHeight="1">
      <c r="A41" s="100" t="s">
        <v>409</v>
      </c>
      <c r="B41" s="51" t="str">
        <f ca="1">IFERROR(__xludf.DUMMYFUNCTION("REGEXREPLACE(A41, ""&lt;loc&gt;"", """")"),"https://odysia-cruise-uk.client.prod.eu-west.dreamlake.io/cruise-deals/fly-cruise-deals&lt;/loc&gt;")</f>
        <v>https://odysia-cruise-uk.client.prod.eu-west.dreamlake.io/cruise-deals/fly-cruise-deals&lt;/loc&gt;</v>
      </c>
      <c r="C41" s="101" t="str">
        <f ca="1">IFERROR(__xludf.DUMMYFUNCTION("REGEXREPLACE(B41, ""&lt;/loc&gt;"", """")"),"https://odysia-cruise-uk.client.prod.eu-west.dreamlake.io/cruise-deals/fly-cruise-deals")</f>
        <v>https://odysia-cruise-uk.client.prod.eu-west.dreamlake.io/cruise-deals/fly-cruise-deals</v>
      </c>
      <c r="D41" s="51" t="s">
        <v>410</v>
      </c>
    </row>
    <row r="42" spans="1:5" ht="15.75" customHeight="1">
      <c r="A42" s="100" t="s">
        <v>411</v>
      </c>
      <c r="B42" s="51" t="str">
        <f ca="1">IFERROR(__xludf.DUMMYFUNCTION("REGEXREPLACE(A42, ""&lt;loc&gt;"", """")"),"https://odysia-cruise-uk.client.prod.eu-west.dreamlake.io/cruise-lines/virgin-voyages/cruises&lt;/loc&gt;")</f>
        <v>https://odysia-cruise-uk.client.prod.eu-west.dreamlake.io/cruise-lines/virgin-voyages/cruises&lt;/loc&gt;</v>
      </c>
      <c r="C42" s="101" t="str">
        <f ca="1">IFERROR(__xludf.DUMMYFUNCTION("REGEXREPLACE(B42, ""&lt;/loc&gt;"", """")"),"https://odysia-cruise-uk.client.prod.eu-west.dreamlake.io/cruise-lines/virgin-voyages/cruises")</f>
        <v>https://odysia-cruise-uk.client.prod.eu-west.dreamlake.io/cruise-lines/virgin-voyages/cruises</v>
      </c>
      <c r="D42" s="51" t="s">
        <v>412</v>
      </c>
      <c r="E42" s="51" t="str">
        <f ca="1">IFERROR(__xludf.DUMMYFUNCTION("REGEXREPLACE(D42, ""https://odysia-cruise-uk.client.prod.eu-west.dreamlake.io"", """")"),"/cruise-lines/virgin-voyages/cruises")</f>
        <v>/cruise-lines/virgin-voyages/cruises</v>
      </c>
    </row>
    <row r="43" spans="1:5" ht="15.75" customHeight="1">
      <c r="A43" s="100" t="s">
        <v>413</v>
      </c>
      <c r="B43" s="51" t="str">
        <f ca="1">IFERROR(__xludf.DUMMYFUNCTION("REGEXREPLACE(A43, ""&lt;loc&gt;"", """")"),"https://odysia-cruise-uk.client.prod.eu-west.dreamlake.io/cruise-lines/royal-caribbean/vision-of-the-seas&lt;/loc&gt;")</f>
        <v>https://odysia-cruise-uk.client.prod.eu-west.dreamlake.io/cruise-lines/royal-caribbean/vision-of-the-seas&lt;/loc&gt;</v>
      </c>
      <c r="C43" s="101" t="str">
        <f ca="1">IFERROR(__xludf.DUMMYFUNCTION("REGEXREPLACE(B43, ""&lt;/loc&gt;"", """")"),"https://odysia-cruise-uk.client.prod.eu-west.dreamlake.io/cruise-lines/royal-caribbean/vision-of-the-seas")</f>
        <v>https://odysia-cruise-uk.client.prod.eu-west.dreamlake.io/cruise-lines/royal-caribbean/vision-of-the-seas</v>
      </c>
      <c r="D43" s="51" t="s">
        <v>414</v>
      </c>
      <c r="E43" s="51" t="str">
        <f ca="1">IFERROR(__xludf.DUMMYFUNCTION("REGEXREPLACE(D43, ""https://odysia-cruise-uk.client.prod.eu-west.dreamlake.io"", """")"),"/cruise-lines/royal-caribbean/vision-of-the-seas")</f>
        <v>/cruise-lines/royal-caribbean/vision-of-the-seas</v>
      </c>
    </row>
    <row r="44" spans="1:5" ht="15.75" customHeight="1">
      <c r="A44" s="100" t="s">
        <v>415</v>
      </c>
      <c r="B44" s="51" t="str">
        <f ca="1">IFERROR(__xludf.DUMMYFUNCTION("REGEXREPLACE(A44, ""&lt;loc&gt;"", """")"),"https://odysia-cruise-uk.client.prod.eu-west.dreamlake.io/cruise-lines/explora-journeys/explora-iii/cruises&lt;/loc&gt;")</f>
        <v>https://odysia-cruise-uk.client.prod.eu-west.dreamlake.io/cruise-lines/explora-journeys/explora-iii/cruises&lt;/loc&gt;</v>
      </c>
      <c r="C44" s="101" t="str">
        <f ca="1">IFERROR(__xludf.DUMMYFUNCTION("REGEXREPLACE(B44, ""&lt;/loc&gt;"", """")"),"https://odysia-cruise-uk.client.prod.eu-west.dreamlake.io/cruise-lines/explora-journeys/explora-iii/cruises")</f>
        <v>https://odysia-cruise-uk.client.prod.eu-west.dreamlake.io/cruise-lines/explora-journeys/explora-iii/cruises</v>
      </c>
      <c r="D44" s="51" t="s">
        <v>416</v>
      </c>
      <c r="E44" s="51" t="str">
        <f ca="1">IFERROR(__xludf.DUMMYFUNCTION("REGEXREPLACE(D44, ""https://odysia-cruise-uk.client.prod.eu-west.dreamlake.io"", """")"),"/cruise-lines/explora-journeys/explora-iii/cruises")</f>
        <v>/cruise-lines/explora-journeys/explora-iii/cruises</v>
      </c>
    </row>
    <row r="45" spans="1:5" ht="15.75" customHeight="1">
      <c r="A45" s="100" t="s">
        <v>417</v>
      </c>
      <c r="B45" s="51" t="str">
        <f ca="1">IFERROR(__xludf.DUMMYFUNCTION("REGEXREPLACE(A45, ""&lt;loc&gt;"", """")"),"https://odysia-cruise-uk.client.prod.eu-west.dreamlake.io/cruise-lines/holland-america-line/nieuw-amsterdam/cruises&lt;/loc&gt;")</f>
        <v>https://odysia-cruise-uk.client.prod.eu-west.dreamlake.io/cruise-lines/holland-america-line/nieuw-amsterdam/cruises&lt;/loc&gt;</v>
      </c>
      <c r="C45" s="101" t="str">
        <f ca="1">IFERROR(__xludf.DUMMYFUNCTION("REGEXREPLACE(B45, ""&lt;/loc&gt;"", """")"),"https://odysia-cruise-uk.client.prod.eu-west.dreamlake.io/cruise-lines/holland-america-line/nieuw-amsterdam/cruises")</f>
        <v>https://odysia-cruise-uk.client.prod.eu-west.dreamlake.io/cruise-lines/holland-america-line/nieuw-amsterdam/cruises</v>
      </c>
      <c r="D45" s="51" t="s">
        <v>418</v>
      </c>
      <c r="E45" s="51" t="str">
        <f ca="1">IFERROR(__xludf.DUMMYFUNCTION("REGEXREPLACE(D45, ""https://odysia-cruise-uk.client.prod.eu-west.dreamlake.io"", """")"),"/cruise-lines/holland-america-line/nieuw-amsterdam/cruises")</f>
        <v>/cruise-lines/holland-america-line/nieuw-amsterdam/cruises</v>
      </c>
    </row>
    <row r="46" spans="1:5" ht="15.75" customHeight="1">
      <c r="A46" s="100" t="s">
        <v>419</v>
      </c>
      <c r="B46" s="51" t="str">
        <f ca="1">IFERROR(__xludf.DUMMYFUNCTION("REGEXREPLACE(A46, ""&lt;loc&gt;"", """")"),"https://odysia-cruise-uk.client.prod.eu-west.dreamlake.io/cruise-lines/holland-america-line/eurodam&lt;/loc&gt;")</f>
        <v>https://odysia-cruise-uk.client.prod.eu-west.dreamlake.io/cruise-lines/holland-america-line/eurodam&lt;/loc&gt;</v>
      </c>
      <c r="C46" s="101" t="str">
        <f ca="1">IFERROR(__xludf.DUMMYFUNCTION("REGEXREPLACE(B46, ""&lt;/loc&gt;"", """")"),"https://odysia-cruise-uk.client.prod.eu-west.dreamlake.io/cruise-lines/holland-america-line/eurodam")</f>
        <v>https://odysia-cruise-uk.client.prod.eu-west.dreamlake.io/cruise-lines/holland-america-line/eurodam</v>
      </c>
      <c r="D46" s="51" t="s">
        <v>420</v>
      </c>
      <c r="E46" s="51" t="str">
        <f ca="1">IFERROR(__xludf.DUMMYFUNCTION("REGEXREPLACE(D46, ""https://odysia-cruise-uk.client.prod.eu-west.dreamlake.io"", """")"),"/cruise-lines/holland-america-line/eurodam")</f>
        <v>/cruise-lines/holland-america-line/eurodam</v>
      </c>
    </row>
    <row r="47" spans="1:5" ht="15.75" customHeight="1">
      <c r="A47" s="100" t="s">
        <v>421</v>
      </c>
      <c r="B47" s="51" t="str">
        <f ca="1">IFERROR(__xludf.DUMMYFUNCTION("REGEXREPLACE(A47, ""&lt;loc&gt;"", """")"),"https://odysia-cruise-uk.client.prod.eu-west.dreamlake.io/cruise-lines/princess-cruises/majestic-princess&lt;/loc&gt;")</f>
        <v>https://odysia-cruise-uk.client.prod.eu-west.dreamlake.io/cruise-lines/princess-cruises/majestic-princess&lt;/loc&gt;</v>
      </c>
      <c r="C47" s="101" t="str">
        <f ca="1">IFERROR(__xludf.DUMMYFUNCTION("REGEXREPLACE(B47, ""&lt;/loc&gt;"", """")"),"https://odysia-cruise-uk.client.prod.eu-west.dreamlake.io/cruise-lines/princess-cruises/majestic-princess")</f>
        <v>https://odysia-cruise-uk.client.prod.eu-west.dreamlake.io/cruise-lines/princess-cruises/majestic-princess</v>
      </c>
      <c r="D47" s="51" t="s">
        <v>422</v>
      </c>
      <c r="E47" s="51" t="str">
        <f ca="1">IFERROR(__xludf.DUMMYFUNCTION("REGEXREPLACE(D47, ""https://odysia-cruise-uk.client.prod.eu-west.dreamlake.io"", """")"),"/cruise-lines/princess-cruises/majestic-princess")</f>
        <v>/cruise-lines/princess-cruises/majestic-princess</v>
      </c>
    </row>
    <row r="48" spans="1:5" ht="15.75" customHeight="1">
      <c r="A48" s="100" t="s">
        <v>423</v>
      </c>
      <c r="B48" s="51" t="str">
        <f ca="1">IFERROR(__xludf.DUMMYFUNCTION("REGEXREPLACE(A48, ""&lt;loc&gt;"", """")"),"https://odysia-cruise-uk.client.prod.eu-west.dreamlake.io/cruise-lines/oceania-cruises/oceania-nautica/cruises&lt;/loc&gt;")</f>
        <v>https://odysia-cruise-uk.client.prod.eu-west.dreamlake.io/cruise-lines/oceania-cruises/oceania-nautica/cruises&lt;/loc&gt;</v>
      </c>
      <c r="C48" s="101" t="str">
        <f ca="1">IFERROR(__xludf.DUMMYFUNCTION("REGEXREPLACE(B48, ""&lt;/loc&gt;"", """")"),"https://odysia-cruise-uk.client.prod.eu-west.dreamlake.io/cruise-lines/oceania-cruises/oceania-nautica/cruises")</f>
        <v>https://odysia-cruise-uk.client.prod.eu-west.dreamlake.io/cruise-lines/oceania-cruises/oceania-nautica/cruises</v>
      </c>
      <c r="D48" s="51" t="s">
        <v>424</v>
      </c>
      <c r="E48" s="51" t="str">
        <f ca="1">IFERROR(__xludf.DUMMYFUNCTION("REGEXREPLACE(D48, ""https://odysia-cruise-uk.client.prod.eu-west.dreamlake.io"", """")"),"/cruise-lines/oceania-cruises/oceania-nautica/cruises")</f>
        <v>/cruise-lines/oceania-cruises/oceania-nautica/cruises</v>
      </c>
    </row>
    <row r="49" spans="1:5" ht="15.75" customHeight="1">
      <c r="A49" s="100" t="s">
        <v>425</v>
      </c>
      <c r="B49" s="51" t="str">
        <f ca="1">IFERROR(__xludf.DUMMYFUNCTION("REGEXREPLACE(A49, ""&lt;loc&gt;"", """")"),"https://odysia-cruise-uk.client.prod.eu-west.dreamlake.io/cruise-lines/holland-america-line/koningsdam&lt;/loc&gt;")</f>
        <v>https://odysia-cruise-uk.client.prod.eu-west.dreamlake.io/cruise-lines/holland-america-line/koningsdam&lt;/loc&gt;</v>
      </c>
      <c r="C49" s="101" t="str">
        <f ca="1">IFERROR(__xludf.DUMMYFUNCTION("REGEXREPLACE(B49, ""&lt;/loc&gt;"", """")"),"https://odysia-cruise-uk.client.prod.eu-west.dreamlake.io/cruise-lines/holland-america-line/koningsdam")</f>
        <v>https://odysia-cruise-uk.client.prod.eu-west.dreamlake.io/cruise-lines/holland-america-line/koningsdam</v>
      </c>
      <c r="D49" s="51" t="s">
        <v>426</v>
      </c>
      <c r="E49" s="51" t="str">
        <f ca="1">IFERROR(__xludf.DUMMYFUNCTION("REGEXREPLACE(D49, ""https://odysia-cruise-uk.client.prod.eu-west.dreamlake.io"", """")"),"/cruise-lines/holland-america-line/koningsdam")</f>
        <v>/cruise-lines/holland-america-line/koningsdam</v>
      </c>
    </row>
    <row r="50" spans="1:5" ht="15.75" customHeight="1">
      <c r="A50" s="100" t="s">
        <v>427</v>
      </c>
      <c r="B50" s="51" t="str">
        <f ca="1">IFERROR(__xludf.DUMMYFUNCTION("REGEXREPLACE(A50, ""&lt;loc&gt;"", """")"),"https://odysia-cruise-uk.client.prod.eu-west.dreamlake.io/cruise-lines/oceania-cruises/cruises&lt;/loc&gt;")</f>
        <v>https://odysia-cruise-uk.client.prod.eu-west.dreamlake.io/cruise-lines/oceania-cruises/cruises&lt;/loc&gt;</v>
      </c>
      <c r="C50" s="101" t="str">
        <f ca="1">IFERROR(__xludf.DUMMYFUNCTION("REGEXREPLACE(B50, ""&lt;/loc&gt;"", """")"),"https://odysia-cruise-uk.client.prod.eu-west.dreamlake.io/cruise-lines/oceania-cruises/cruises")</f>
        <v>https://odysia-cruise-uk.client.prod.eu-west.dreamlake.io/cruise-lines/oceania-cruises/cruises</v>
      </c>
      <c r="D50" s="51" t="s">
        <v>428</v>
      </c>
      <c r="E50" s="51" t="str">
        <f ca="1">IFERROR(__xludf.DUMMYFUNCTION("REGEXREPLACE(D50, ""https://odysia-cruise-uk.client.prod.eu-west.dreamlake.io"", """")"),"/cruise-lines/oceania-cruises/cruises")</f>
        <v>/cruise-lines/oceania-cruises/cruises</v>
      </c>
    </row>
    <row r="51" spans="1:5" ht="15.75" customHeight="1">
      <c r="A51" s="100" t="s">
        <v>429</v>
      </c>
      <c r="B51" s="51" t="str">
        <f ca="1">IFERROR(__xludf.DUMMYFUNCTION("REGEXREPLACE(A51, ""&lt;loc&gt;"", """")"),"https://odysia-cruise-uk.client.prod.eu-west.dreamlake.io/cruise-lines/msc-cruises/msc-euribia/cruises&lt;/loc&gt;")</f>
        <v>https://odysia-cruise-uk.client.prod.eu-west.dreamlake.io/cruise-lines/msc-cruises/msc-euribia/cruises&lt;/loc&gt;</v>
      </c>
      <c r="C51" s="101" t="str">
        <f ca="1">IFERROR(__xludf.DUMMYFUNCTION("REGEXREPLACE(B51, ""&lt;/loc&gt;"", """")"),"https://odysia-cruise-uk.client.prod.eu-west.dreamlake.io/cruise-lines/msc-cruises/msc-euribia/cruises")</f>
        <v>https://odysia-cruise-uk.client.prod.eu-west.dreamlake.io/cruise-lines/msc-cruises/msc-euribia/cruises</v>
      </c>
      <c r="D51" s="51" t="s">
        <v>430</v>
      </c>
      <c r="E51" s="51" t="str">
        <f ca="1">IFERROR(__xludf.DUMMYFUNCTION("REGEXREPLACE(D51, ""https://odysia-cruise-uk.client.prod.eu-west.dreamlake.io"", """")"),"/cruise-lines/msc-cruises/msc-euribia/cruises")</f>
        <v>/cruise-lines/msc-cruises/msc-euribia/cruises</v>
      </c>
    </row>
    <row r="52" spans="1:5" ht="15.75" customHeight="1">
      <c r="A52" s="100" t="s">
        <v>431</v>
      </c>
      <c r="B52" s="51" t="str">
        <f ca="1">IFERROR(__xludf.DUMMYFUNCTION("REGEXREPLACE(A52, ""&lt;loc&gt;"", """")"),"https://odysia-cruise-uk.client.prod.eu-west.dreamlake.io/cruise-calendar/north-america-cruises&lt;/loc&gt;")</f>
        <v>https://odysia-cruise-uk.client.prod.eu-west.dreamlake.io/cruise-calendar/north-america-cruises&lt;/loc&gt;</v>
      </c>
      <c r="C52" s="101" t="str">
        <f ca="1">IFERROR(__xludf.DUMMYFUNCTION("REGEXREPLACE(B52, ""&lt;/loc&gt;"", """")"),"https://odysia-cruise-uk.client.prod.eu-west.dreamlake.io/cruise-calendar/north-america-cruises")</f>
        <v>https://odysia-cruise-uk.client.prod.eu-west.dreamlake.io/cruise-calendar/north-america-cruises</v>
      </c>
    </row>
    <row r="53" spans="1:5" ht="15.75" customHeight="1">
      <c r="A53" s="100" t="s">
        <v>432</v>
      </c>
      <c r="B53" s="51" t="str">
        <f ca="1">IFERROR(__xludf.DUMMYFUNCTION("REGEXREPLACE(A53, ""&lt;loc&gt;"", """")"),"https://odysia-cruise-uk.client.prod.eu-west.dreamlake.io/destinations/norway-norwegian-fjords-cruises&lt;/loc&gt;")</f>
        <v>https://odysia-cruise-uk.client.prod.eu-west.dreamlake.io/destinations/norway-norwegian-fjords-cruises&lt;/loc&gt;</v>
      </c>
      <c r="C53" s="101" t="str">
        <f ca="1">IFERROR(__xludf.DUMMYFUNCTION("REGEXREPLACE(B53, ""&lt;/loc&gt;"", """")"),"https://odysia-cruise-uk.client.prod.eu-west.dreamlake.io/destinations/norway-norwegian-fjords-cruises")</f>
        <v>https://odysia-cruise-uk.client.prod.eu-west.dreamlake.io/destinations/norway-norwegian-fjords-cruises</v>
      </c>
    </row>
    <row r="54" spans="1:5" ht="15.75" customHeight="1">
      <c r="A54" s="100" t="s">
        <v>433</v>
      </c>
      <c r="B54" s="51" t="str">
        <f ca="1">IFERROR(__xludf.DUMMYFUNCTION("REGEXREPLACE(A54, ""&lt;loc&gt;"", """")"),"https://odysia-cruise-uk.client.prod.eu-west.dreamlake.io/cruise-lines/msc-cruises/msc-euribia&lt;/loc&gt;")</f>
        <v>https://odysia-cruise-uk.client.prod.eu-west.dreamlake.io/cruise-lines/msc-cruises/msc-euribia&lt;/loc&gt;</v>
      </c>
      <c r="C54" s="101" t="str">
        <f ca="1">IFERROR(__xludf.DUMMYFUNCTION("REGEXREPLACE(B54, ""&lt;/loc&gt;"", """")"),"https://odysia-cruise-uk.client.prod.eu-west.dreamlake.io/cruise-lines/msc-cruises/msc-euribia")</f>
        <v>https://odysia-cruise-uk.client.prod.eu-west.dreamlake.io/cruise-lines/msc-cruises/msc-euribia</v>
      </c>
      <c r="D54" s="51" t="s">
        <v>434</v>
      </c>
      <c r="E54" s="51" t="str">
        <f ca="1">IFERROR(__xludf.DUMMYFUNCTION("REGEXREPLACE(D54, ""https://odysia-cruise-uk.client.prod.eu-west.dreamlake.io"", """")"),"/cruise-lines/msc-cruises/msc-euribia")</f>
        <v>/cruise-lines/msc-cruises/msc-euribia</v>
      </c>
    </row>
    <row r="55" spans="1:5" ht="15.75" customHeight="1">
      <c r="A55" s="100" t="s">
        <v>435</v>
      </c>
      <c r="B55" s="51" t="str">
        <f ca="1">IFERROR(__xludf.DUMMYFUNCTION("REGEXREPLACE(A55, ""&lt;loc&gt;"", """")"),"https://odysia-cruise-uk.client.prod.eu-west.dreamlake.io/cruise-deals/cruises-from-the-uk&lt;/loc&gt;")</f>
        <v>https://odysia-cruise-uk.client.prod.eu-west.dreamlake.io/cruise-deals/cruises-from-the-uk&lt;/loc&gt;</v>
      </c>
      <c r="C55" s="101" t="str">
        <f ca="1">IFERROR(__xludf.DUMMYFUNCTION("REGEXREPLACE(B55, ""&lt;/loc&gt;"", """")"),"https://odysia-cruise-uk.client.prod.eu-west.dreamlake.io/cruise-deals/cruises-from-the-uk")</f>
        <v>https://odysia-cruise-uk.client.prod.eu-west.dreamlake.io/cruise-deals/cruises-from-the-uk</v>
      </c>
      <c r="D55" s="51" t="s">
        <v>436</v>
      </c>
    </row>
    <row r="56" spans="1:5" ht="15.75" customHeight="1">
      <c r="A56" s="100" t="s">
        <v>437</v>
      </c>
      <c r="B56" s="51" t="str">
        <f ca="1">IFERROR(__xludf.DUMMYFUNCTION("REGEXREPLACE(A56, ""&lt;loc&gt;"", """")"),"https://odysia-cruise-uk.client.prod.eu-west.dreamlake.io/cruise-lines/norwegian-cruise-line/norwegian-prima/cruises&lt;/loc&gt;")</f>
        <v>https://odysia-cruise-uk.client.prod.eu-west.dreamlake.io/cruise-lines/norwegian-cruise-line/norwegian-prima/cruises&lt;/loc&gt;</v>
      </c>
      <c r="C56" s="101" t="str">
        <f ca="1">IFERROR(__xludf.DUMMYFUNCTION("REGEXREPLACE(B56, ""&lt;/loc&gt;"", """")"),"https://odysia-cruise-uk.client.prod.eu-west.dreamlake.io/cruise-lines/norwegian-cruise-line/norwegian-prima/cruises")</f>
        <v>https://odysia-cruise-uk.client.prod.eu-west.dreamlake.io/cruise-lines/norwegian-cruise-line/norwegian-prima/cruises</v>
      </c>
      <c r="D56" s="51" t="s">
        <v>438</v>
      </c>
      <c r="E56" s="51" t="str">
        <f ca="1">IFERROR(__xludf.DUMMYFUNCTION("REGEXREPLACE(D56, ""https://odysia-cruise-uk.client.prod.eu-west.dreamlake.io"", """")"),"/cruise-lines/norwegian-cruise-line/norwegian-prima/cruises")</f>
        <v>/cruise-lines/norwegian-cruise-line/norwegian-prima/cruises</v>
      </c>
    </row>
    <row r="57" spans="1:5" ht="15.75" customHeight="1">
      <c r="A57" s="100" t="s">
        <v>439</v>
      </c>
      <c r="B57" s="51" t="str">
        <f ca="1">IFERROR(__xludf.DUMMYFUNCTION("REGEXREPLACE(A57, ""&lt;loc&gt;"", """")"),"https://odysia-cruise-uk.client.prod.eu-west.dreamlake.io/cruise-lines/princess-cruises/crown-princess/cruises&lt;/loc&gt;")</f>
        <v>https://odysia-cruise-uk.client.prod.eu-west.dreamlake.io/cruise-lines/princess-cruises/crown-princess/cruises&lt;/loc&gt;</v>
      </c>
      <c r="C57" s="101" t="str">
        <f ca="1">IFERROR(__xludf.DUMMYFUNCTION("REGEXREPLACE(B57, ""&lt;/loc&gt;"", """")"),"https://odysia-cruise-uk.client.prod.eu-west.dreamlake.io/cruise-lines/princess-cruises/crown-princess/cruises")</f>
        <v>https://odysia-cruise-uk.client.prod.eu-west.dreamlake.io/cruise-lines/princess-cruises/crown-princess/cruises</v>
      </c>
      <c r="D57" s="51" t="s">
        <v>440</v>
      </c>
      <c r="E57" s="51" t="str">
        <f ca="1">IFERROR(__xludf.DUMMYFUNCTION("REGEXREPLACE(D57, ""https://odysia-cruise-uk.client.prod.eu-west.dreamlake.io"", """")"),"/cruise-lines/princess-cruises/crown-princess/cruises")</f>
        <v>/cruise-lines/princess-cruises/crown-princess/cruises</v>
      </c>
    </row>
    <row r="58" spans="1:5" ht="15.75" customHeight="1">
      <c r="A58" s="100" t="s">
        <v>441</v>
      </c>
      <c r="B58" s="51" t="str">
        <f ca="1">IFERROR(__xludf.DUMMYFUNCTION("REGEXREPLACE(A58, ""&lt;loc&gt;"", """")"),"https://odysia-cruise-uk.client.prod.eu-west.dreamlake.io/cruise-lines/royal-caribbean/harmony-of-the-seas/cruises&lt;/loc&gt;")</f>
        <v>https://odysia-cruise-uk.client.prod.eu-west.dreamlake.io/cruise-lines/royal-caribbean/harmony-of-the-seas/cruises&lt;/loc&gt;</v>
      </c>
      <c r="C58" s="101" t="str">
        <f ca="1">IFERROR(__xludf.DUMMYFUNCTION("REGEXREPLACE(B58, ""&lt;/loc&gt;"", """")"),"https://odysia-cruise-uk.client.prod.eu-west.dreamlake.io/cruise-lines/royal-caribbean/harmony-of-the-seas/cruises")</f>
        <v>https://odysia-cruise-uk.client.prod.eu-west.dreamlake.io/cruise-lines/royal-caribbean/harmony-of-the-seas/cruises</v>
      </c>
      <c r="D58" s="51" t="s">
        <v>442</v>
      </c>
      <c r="E58" s="51" t="str">
        <f ca="1">IFERROR(__xludf.DUMMYFUNCTION("REGEXREPLACE(D58, ""https://odysia-cruise-uk.client.prod.eu-west.dreamlake.io"", """")"),"/cruise-lines/royal-caribbean/harmony-of-the-seas/cruises")</f>
        <v>/cruise-lines/royal-caribbean/harmony-of-the-seas/cruises</v>
      </c>
    </row>
    <row r="59" spans="1:5" ht="13">
      <c r="A59" s="100" t="s">
        <v>443</v>
      </c>
      <c r="B59" s="51" t="str">
        <f ca="1">IFERROR(__xludf.DUMMYFUNCTION("REGEXREPLACE(A59, ""&lt;loc&gt;"", """")"),"https://odysia-cruise-uk.client.prod.eu-west.dreamlake.io/cruise-calendar/asia-far-east-cruise-dates&lt;/loc&gt;")</f>
        <v>https://odysia-cruise-uk.client.prod.eu-west.dreamlake.io/cruise-calendar/asia-far-east-cruise-dates&lt;/loc&gt;</v>
      </c>
      <c r="C59" s="101" t="str">
        <f ca="1">IFERROR(__xludf.DUMMYFUNCTION("REGEXREPLACE(B59, ""&lt;/loc&gt;"", """")"),"https://odysia-cruise-uk.client.prod.eu-west.dreamlake.io/cruise-calendar/asia-far-east-cruise-dates")</f>
        <v>https://odysia-cruise-uk.client.prod.eu-west.dreamlake.io/cruise-calendar/asia-far-east-cruise-dates</v>
      </c>
    </row>
    <row r="60" spans="1:5" ht="13">
      <c r="A60" s="100" t="s">
        <v>444</v>
      </c>
      <c r="B60" s="51" t="str">
        <f ca="1">IFERROR(__xludf.DUMMYFUNCTION("REGEXREPLACE(A60, ""&lt;loc&gt;"", """")"),"https://odysia-cruise-uk.client.prod.eu-west.dreamlake.io/cruise-lines/celebrity-cruises/celebrity-edge&lt;/loc&gt;")</f>
        <v>https://odysia-cruise-uk.client.prod.eu-west.dreamlake.io/cruise-lines/celebrity-cruises/celebrity-edge&lt;/loc&gt;</v>
      </c>
      <c r="C60" s="101" t="str">
        <f ca="1">IFERROR(__xludf.DUMMYFUNCTION("REGEXREPLACE(B60, ""&lt;/loc&gt;"", """")"),"https://odysia-cruise-uk.client.prod.eu-west.dreamlake.io/cruise-lines/celebrity-cruises/celebrity-edge")</f>
        <v>https://odysia-cruise-uk.client.prod.eu-west.dreamlake.io/cruise-lines/celebrity-cruises/celebrity-edge</v>
      </c>
      <c r="D60" s="51" t="s">
        <v>445</v>
      </c>
      <c r="E60" s="51" t="str">
        <f ca="1">IFERROR(__xludf.DUMMYFUNCTION("REGEXREPLACE(D60, ""https://odysia-cruise-uk.client.prod.eu-west.dreamlake.io"", """")"),"/cruise-lines/celebrity-cruises/celebrity-edge")</f>
        <v>/cruise-lines/celebrity-cruises/celebrity-edge</v>
      </c>
    </row>
    <row r="61" spans="1:5" ht="13">
      <c r="A61" s="100" t="s">
        <v>446</v>
      </c>
      <c r="B61" s="51" t="str">
        <f ca="1">IFERROR(__xludf.DUMMYFUNCTION("REGEXREPLACE(A61, ""&lt;loc&gt;"", """")"),"https://odysia-cruise-uk.client.prod.eu-west.dreamlake.io/cruise-lines/celebrity-cruises/cruises&lt;/loc&gt;")</f>
        <v>https://odysia-cruise-uk.client.prod.eu-west.dreamlake.io/cruise-lines/celebrity-cruises/cruises&lt;/loc&gt;</v>
      </c>
      <c r="C61" s="101" t="str">
        <f ca="1">IFERROR(__xludf.DUMMYFUNCTION("REGEXREPLACE(B61, ""&lt;/loc&gt;"", """")"),"https://odysia-cruise-uk.client.prod.eu-west.dreamlake.io/cruise-lines/celebrity-cruises/cruises")</f>
        <v>https://odysia-cruise-uk.client.prod.eu-west.dreamlake.io/cruise-lines/celebrity-cruises/cruises</v>
      </c>
      <c r="D61" s="51" t="s">
        <v>447</v>
      </c>
      <c r="E61" s="51" t="str">
        <f ca="1">IFERROR(__xludf.DUMMYFUNCTION("REGEXREPLACE(D61, ""https://odysia-cruise-uk.client.prod.eu-west.dreamlake.io"", """")"),"/cruise-lines/celebrity-cruises/cruises")</f>
        <v>/cruise-lines/celebrity-cruises/cruises</v>
      </c>
    </row>
    <row r="62" spans="1:5" ht="13">
      <c r="A62" s="100" t="s">
        <v>448</v>
      </c>
      <c r="B62" s="51" t="str">
        <f ca="1">IFERROR(__xludf.DUMMYFUNCTION("REGEXREPLACE(A62, ""&lt;loc&gt;"", """")"),"https://odysia-cruise-uk.client.prod.eu-west.dreamlake.io/cruise-lines/seabourn/seabourn-pursuit/cruises&lt;/loc&gt;")</f>
        <v>https://odysia-cruise-uk.client.prod.eu-west.dreamlake.io/cruise-lines/seabourn/seabourn-pursuit/cruises&lt;/loc&gt;</v>
      </c>
      <c r="C62" s="101" t="str">
        <f ca="1">IFERROR(__xludf.DUMMYFUNCTION("REGEXREPLACE(B62, ""&lt;/loc&gt;"", """")"),"https://odysia-cruise-uk.client.prod.eu-west.dreamlake.io/cruise-lines/seabourn/seabourn-pursuit/cruises")</f>
        <v>https://odysia-cruise-uk.client.prod.eu-west.dreamlake.io/cruise-lines/seabourn/seabourn-pursuit/cruises</v>
      </c>
      <c r="D62" s="51" t="s">
        <v>449</v>
      </c>
      <c r="E62" s="51" t="str">
        <f ca="1">IFERROR(__xludf.DUMMYFUNCTION("REGEXREPLACE(D62, ""https://odysia-cruise-uk.client.prod.eu-west.dreamlake.io"", """")"),"/cruise-lines/seabourn/seabourn-pursuit/cruises")</f>
        <v>/cruise-lines/seabourn/seabourn-pursuit/cruises</v>
      </c>
    </row>
    <row r="63" spans="1:5" ht="13">
      <c r="A63" s="100" t="s">
        <v>450</v>
      </c>
      <c r="B63" s="51" t="str">
        <f ca="1">IFERROR(__xludf.DUMMYFUNCTION("REGEXREPLACE(A63, ""&lt;loc&gt;"", """")"),"https://odysia-cruise-uk.client.prod.eu-west.dreamlake.io/cruise-lines/msc-cruises/msc-world-europa/cruises&lt;/loc&gt;")</f>
        <v>https://odysia-cruise-uk.client.prod.eu-west.dreamlake.io/cruise-lines/msc-cruises/msc-world-europa/cruises&lt;/loc&gt;</v>
      </c>
      <c r="C63" s="101" t="str">
        <f ca="1">IFERROR(__xludf.DUMMYFUNCTION("REGEXREPLACE(B63, ""&lt;/loc&gt;"", """")"),"https://odysia-cruise-uk.client.prod.eu-west.dreamlake.io/cruise-lines/msc-cruises/msc-world-europa/cruises")</f>
        <v>https://odysia-cruise-uk.client.prod.eu-west.dreamlake.io/cruise-lines/msc-cruises/msc-world-europa/cruises</v>
      </c>
      <c r="D63" s="51" t="s">
        <v>451</v>
      </c>
      <c r="E63" s="51" t="str">
        <f ca="1">IFERROR(__xludf.DUMMYFUNCTION("REGEXREPLACE(D63, ""https://odysia-cruise-uk.client.prod.eu-west.dreamlake.io"", """")"),"/cruise-lines/msc-cruises/msc-world-europa/cruises")</f>
        <v>/cruise-lines/msc-cruises/msc-world-europa/cruises</v>
      </c>
    </row>
    <row r="64" spans="1:5" ht="13">
      <c r="A64" s="100" t="s">
        <v>452</v>
      </c>
      <c r="B64" s="51" t="str">
        <f ca="1">IFERROR(__xludf.DUMMYFUNCTION("REGEXREPLACE(A64, ""&lt;loc&gt;"", """")"),"https://odysia-cruise-uk.client.prod.eu-west.dreamlake.io/cruise-calendar/norwegian-fjord-cruises-dates&lt;/loc&gt;")</f>
        <v>https://odysia-cruise-uk.client.prod.eu-west.dreamlake.io/cruise-calendar/norwegian-fjord-cruises-dates&lt;/loc&gt;</v>
      </c>
      <c r="C64" s="101" t="str">
        <f ca="1">IFERROR(__xludf.DUMMYFUNCTION("REGEXREPLACE(B64, ""&lt;/loc&gt;"", """")"),"https://odysia-cruise-uk.client.prod.eu-west.dreamlake.io/cruise-calendar/norwegian-fjord-cruises-dates")</f>
        <v>https://odysia-cruise-uk.client.prod.eu-west.dreamlake.io/cruise-calendar/norwegian-fjord-cruises-dates</v>
      </c>
    </row>
    <row r="65" spans="1:5" ht="13">
      <c r="A65" s="100" t="s">
        <v>453</v>
      </c>
      <c r="B65" s="51" t="str">
        <f ca="1">IFERROR(__xludf.DUMMYFUNCTION("REGEXREPLACE(A65, ""&lt;loc&gt;"", """")"),"https://odysia-cruise-uk.client.prod.eu-west.dreamlake.io/cruise-lines/norwegian-cruise-line/norwegian-breakaway/cruises&lt;/loc&gt;")</f>
        <v>https://odysia-cruise-uk.client.prod.eu-west.dreamlake.io/cruise-lines/norwegian-cruise-line/norwegian-breakaway/cruises&lt;/loc&gt;</v>
      </c>
      <c r="C65" s="101" t="str">
        <f ca="1">IFERROR(__xludf.DUMMYFUNCTION("REGEXREPLACE(B65, ""&lt;/loc&gt;"", """")"),"https://odysia-cruise-uk.client.prod.eu-west.dreamlake.io/cruise-lines/norwegian-cruise-line/norwegian-breakaway/cruises")</f>
        <v>https://odysia-cruise-uk.client.prod.eu-west.dreamlake.io/cruise-lines/norwegian-cruise-line/norwegian-breakaway/cruises</v>
      </c>
      <c r="D65" s="51" t="s">
        <v>454</v>
      </c>
      <c r="E65" s="51" t="str">
        <f ca="1">IFERROR(__xludf.DUMMYFUNCTION("REGEXREPLACE(D65, ""https://odysia-cruise-uk.client.prod.eu-west.dreamlake.io"", """")"),"/cruise-lines/norwegian-cruise-line/norwegian-breakaway/cruises")</f>
        <v>/cruise-lines/norwegian-cruise-line/norwegian-breakaway/cruises</v>
      </c>
    </row>
    <row r="66" spans="1:5" ht="13">
      <c r="A66" s="100" t="s">
        <v>455</v>
      </c>
      <c r="B66" s="51" t="str">
        <f ca="1">IFERROR(__xludf.DUMMYFUNCTION("REGEXREPLACE(A66, ""&lt;loc&gt;"", """")"),"https://odysia-cruise-uk.client.prod.eu-west.dreamlake.io/cruise-lines/norwegian-cruise-line/norwegian-bliss&lt;/loc&gt;")</f>
        <v>https://odysia-cruise-uk.client.prod.eu-west.dreamlake.io/cruise-lines/norwegian-cruise-line/norwegian-bliss&lt;/loc&gt;</v>
      </c>
      <c r="C66" s="101" t="str">
        <f ca="1">IFERROR(__xludf.DUMMYFUNCTION("REGEXREPLACE(B66, ""&lt;/loc&gt;"", """")"),"https://odysia-cruise-uk.client.prod.eu-west.dreamlake.io/cruise-lines/norwegian-cruise-line/norwegian-bliss")</f>
        <v>https://odysia-cruise-uk.client.prod.eu-west.dreamlake.io/cruise-lines/norwegian-cruise-line/norwegian-bliss</v>
      </c>
      <c r="D66" s="51" t="s">
        <v>456</v>
      </c>
      <c r="E66" s="51" t="str">
        <f ca="1">IFERROR(__xludf.DUMMYFUNCTION("REGEXREPLACE(D66, ""https://odysia-cruise-uk.client.prod.eu-west.dreamlake.io"", """")"),"/cruise-lines/norwegian-cruise-line/norwegian-bliss")</f>
        <v>/cruise-lines/norwegian-cruise-line/norwegian-bliss</v>
      </c>
    </row>
    <row r="67" spans="1:5" ht="13">
      <c r="A67" s="100" t="s">
        <v>457</v>
      </c>
      <c r="B67" s="51" t="str">
        <f ca="1">IFERROR(__xludf.DUMMYFUNCTION("REGEXREPLACE(A67, ""&lt;loc&gt;"", """")"),"https://odysia-cruise-uk.client.prod.eu-west.dreamlake.io/cruise-lines/regent-seven-seas-cruises&lt;/loc&gt;")</f>
        <v>https://odysia-cruise-uk.client.prod.eu-west.dreamlake.io/cruise-lines/regent-seven-seas-cruises&lt;/loc&gt;</v>
      </c>
      <c r="C67" s="101" t="str">
        <f ca="1">IFERROR(__xludf.DUMMYFUNCTION("REGEXREPLACE(B67, ""&lt;/loc&gt;"", """")"),"https://odysia-cruise-uk.client.prod.eu-west.dreamlake.io/cruise-lines/regent-seven-seas-cruises")</f>
        <v>https://odysia-cruise-uk.client.prod.eu-west.dreamlake.io/cruise-lines/regent-seven-seas-cruises</v>
      </c>
      <c r="D67" s="51" t="s">
        <v>458</v>
      </c>
      <c r="E67" s="51" t="str">
        <f ca="1">IFERROR(__xludf.DUMMYFUNCTION("REGEXREPLACE(D67, ""https://odysia-cruise-uk.client.prod.eu-west.dreamlake.io"", """")"),"/cruise-lines/regent-seven-seas-cruises")</f>
        <v>/cruise-lines/regent-seven-seas-cruises</v>
      </c>
    </row>
    <row r="68" spans="1:5" ht="13">
      <c r="A68" s="100" t="s">
        <v>459</v>
      </c>
      <c r="B68" s="51" t="str">
        <f ca="1">IFERROR(__xludf.DUMMYFUNCTION("REGEXREPLACE(A68, ""&lt;loc&gt;"", """")"),"https://odysia-cruise-uk.client.prod.eu-west.dreamlake.io/cruise-lines/royal-caribbean/enchantment-of-the-seas/cruises&lt;/loc&gt;")</f>
        <v>https://odysia-cruise-uk.client.prod.eu-west.dreamlake.io/cruise-lines/royal-caribbean/enchantment-of-the-seas/cruises&lt;/loc&gt;</v>
      </c>
      <c r="C68" s="101" t="str">
        <f ca="1">IFERROR(__xludf.DUMMYFUNCTION("REGEXREPLACE(B68, ""&lt;/loc&gt;"", """")"),"https://odysia-cruise-uk.client.prod.eu-west.dreamlake.io/cruise-lines/royal-caribbean/enchantment-of-the-seas/cruises")</f>
        <v>https://odysia-cruise-uk.client.prod.eu-west.dreamlake.io/cruise-lines/royal-caribbean/enchantment-of-the-seas/cruises</v>
      </c>
      <c r="D68" s="51" t="s">
        <v>460</v>
      </c>
      <c r="E68" s="51" t="str">
        <f ca="1">IFERROR(__xludf.DUMMYFUNCTION("REGEXREPLACE(D68, ""https://odysia-cruise-uk.client.prod.eu-west.dreamlake.io"", """")"),"/cruise-lines/royal-caribbean/enchantment-of-the-seas/cruises")</f>
        <v>/cruise-lines/royal-caribbean/enchantment-of-the-seas/cruises</v>
      </c>
    </row>
    <row r="69" spans="1:5" ht="13">
      <c r="A69" s="100" t="s">
        <v>461</v>
      </c>
      <c r="B69" s="51" t="str">
        <f ca="1">IFERROR(__xludf.DUMMYFUNCTION("REGEXREPLACE(A69, ""&lt;loc&gt;"", """")"),"https://odysia-cruise-uk.client.prod.eu-west.dreamlake.io/cruise-deals/mini-cruises&lt;/loc&gt;")</f>
        <v>https://odysia-cruise-uk.client.prod.eu-west.dreamlake.io/cruise-deals/mini-cruises&lt;/loc&gt;</v>
      </c>
      <c r="C69" s="101" t="str">
        <f ca="1">IFERROR(__xludf.DUMMYFUNCTION("REGEXREPLACE(B69, ""&lt;/loc&gt;"", """")"),"https://odysia-cruise-uk.client.prod.eu-west.dreamlake.io/cruise-deals/mini-cruises")</f>
        <v>https://odysia-cruise-uk.client.prod.eu-west.dreamlake.io/cruise-deals/mini-cruises</v>
      </c>
      <c r="D69" s="51" t="s">
        <v>462</v>
      </c>
    </row>
    <row r="70" spans="1:5" ht="13">
      <c r="A70" s="100" t="s">
        <v>463</v>
      </c>
      <c r="B70" s="51" t="str">
        <f ca="1">IFERROR(__xludf.DUMMYFUNCTION("REGEXREPLACE(A70, ""&lt;loc&gt;"", """")"),"https://odysia-cruise-uk.client.prod.eu-west.dreamlake.io/destinations/africa-cruises&lt;/loc&gt;")</f>
        <v>https://odysia-cruise-uk.client.prod.eu-west.dreamlake.io/destinations/africa-cruises&lt;/loc&gt;</v>
      </c>
      <c r="C70" s="101" t="str">
        <f ca="1">IFERROR(__xludf.DUMMYFUNCTION("REGEXREPLACE(B70, ""&lt;/loc&gt;"", """")"),"https://odysia-cruise-uk.client.prod.eu-west.dreamlake.io/destinations/africa-cruises")</f>
        <v>https://odysia-cruise-uk.client.prod.eu-west.dreamlake.io/destinations/africa-cruises</v>
      </c>
    </row>
    <row r="71" spans="1:5" ht="13">
      <c r="A71" s="100" t="s">
        <v>464</v>
      </c>
      <c r="B71" s="51" t="str">
        <f ca="1">IFERROR(__xludf.DUMMYFUNCTION("REGEXREPLACE(A71, ""&lt;loc&gt;"", """")"),"https://odysia-cruise-uk.client.prod.eu-west.dreamlake.io/cruise-deals/family-cruise-deals&lt;/loc&gt;")</f>
        <v>https://odysia-cruise-uk.client.prod.eu-west.dreamlake.io/cruise-deals/family-cruise-deals&lt;/loc&gt;</v>
      </c>
      <c r="C71" s="101" t="str">
        <f ca="1">IFERROR(__xludf.DUMMYFUNCTION("REGEXREPLACE(B71, ""&lt;/loc&gt;"", """")"),"https://odysia-cruise-uk.client.prod.eu-west.dreamlake.io/cruise-deals/family-cruise-deals")</f>
        <v>https://odysia-cruise-uk.client.prod.eu-west.dreamlake.io/cruise-deals/family-cruise-deals</v>
      </c>
      <c r="D71" s="51" t="s">
        <v>465</v>
      </c>
    </row>
    <row r="72" spans="1:5" ht="13">
      <c r="A72" s="100" t="s">
        <v>466</v>
      </c>
      <c r="B72" s="51" t="str">
        <f ca="1">IFERROR(__xludf.DUMMYFUNCTION("REGEXREPLACE(A72, ""&lt;loc&gt;"", """")"),"https://odysia-cruise-uk.client.prod.eu-west.dreamlake.io/cruise-deals/all-inclusive-cruise-deals&lt;/loc&gt;")</f>
        <v>https://odysia-cruise-uk.client.prod.eu-west.dreamlake.io/cruise-deals/all-inclusive-cruise-deals&lt;/loc&gt;</v>
      </c>
      <c r="C72" s="101" t="str">
        <f ca="1">IFERROR(__xludf.DUMMYFUNCTION("REGEXREPLACE(B72, ""&lt;/loc&gt;"", """")"),"https://odysia-cruise-uk.client.prod.eu-west.dreamlake.io/cruise-deals/all-inclusive-cruise-deals")</f>
        <v>https://odysia-cruise-uk.client.prod.eu-west.dreamlake.io/cruise-deals/all-inclusive-cruise-deals</v>
      </c>
      <c r="D72" s="51" t="s">
        <v>467</v>
      </c>
    </row>
    <row r="73" spans="1:5" ht="13">
      <c r="A73" s="100" t="s">
        <v>468</v>
      </c>
      <c r="B73" s="51" t="str">
        <f ca="1">IFERROR(__xludf.DUMMYFUNCTION("REGEXREPLACE(A73, ""&lt;loc&gt;"", """")"),"https://odysia-cruise-uk.client.prod.eu-west.dreamlake.io/cruise-lines/virgin-voyages/scarlet-lady&lt;/loc&gt;")</f>
        <v>https://odysia-cruise-uk.client.prod.eu-west.dreamlake.io/cruise-lines/virgin-voyages/scarlet-lady&lt;/loc&gt;</v>
      </c>
      <c r="C73" s="101" t="str">
        <f ca="1">IFERROR(__xludf.DUMMYFUNCTION("REGEXREPLACE(B73, ""&lt;/loc&gt;"", """")"),"https://odysia-cruise-uk.client.prod.eu-west.dreamlake.io/cruise-lines/virgin-voyages/scarlet-lady")</f>
        <v>https://odysia-cruise-uk.client.prod.eu-west.dreamlake.io/cruise-lines/virgin-voyages/scarlet-lady</v>
      </c>
      <c r="D73" s="51" t="s">
        <v>469</v>
      </c>
      <c r="E73" s="51" t="str">
        <f ca="1">IFERROR(__xludf.DUMMYFUNCTION("REGEXREPLACE(D73, ""https://odysia-cruise-uk.client.prod.eu-west.dreamlake.io"", """")"),"/cruise-lines/virgin-voyages/scarlet-lady")</f>
        <v>/cruise-lines/virgin-voyages/scarlet-lady</v>
      </c>
    </row>
    <row r="74" spans="1:5" ht="13">
      <c r="A74" s="100" t="s">
        <v>470</v>
      </c>
      <c r="B74" s="51" t="str">
        <f ca="1">IFERROR(__xludf.DUMMYFUNCTION("REGEXREPLACE(A74, ""&lt;loc&gt;"", """")"),"https://odysia-cruise-uk.client.prod.eu-west.dreamlake.io/cruise-lines/norwegian-cruise-line/norwegian-spirit&lt;/loc&gt;")</f>
        <v>https://odysia-cruise-uk.client.prod.eu-west.dreamlake.io/cruise-lines/norwegian-cruise-line/norwegian-spirit&lt;/loc&gt;</v>
      </c>
      <c r="C74" s="101" t="str">
        <f ca="1">IFERROR(__xludf.DUMMYFUNCTION("REGEXREPLACE(B74, ""&lt;/loc&gt;"", """")"),"https://odysia-cruise-uk.client.prod.eu-west.dreamlake.io/cruise-lines/norwegian-cruise-line/norwegian-spirit")</f>
        <v>https://odysia-cruise-uk.client.prod.eu-west.dreamlake.io/cruise-lines/norwegian-cruise-line/norwegian-spirit</v>
      </c>
      <c r="D74" s="51" t="s">
        <v>471</v>
      </c>
      <c r="E74" s="51" t="str">
        <f ca="1">IFERROR(__xludf.DUMMYFUNCTION("REGEXREPLACE(D74, ""https://odysia-cruise-uk.client.prod.eu-west.dreamlake.io"", """")"),"/cruise-lines/norwegian-cruise-line/norwegian-spirit")</f>
        <v>/cruise-lines/norwegian-cruise-line/norwegian-spirit</v>
      </c>
    </row>
    <row r="75" spans="1:5" ht="13">
      <c r="A75" s="100" t="s">
        <v>472</v>
      </c>
      <c r="B75" s="51" t="str">
        <f ca="1">IFERROR(__xludf.DUMMYFUNCTION("REGEXREPLACE(A75, ""&lt;loc&gt;"", """")"),"https://odysia-cruise-uk.client.prod.eu-west.dreamlake.io/cruise-lines/princess-cruises/emerald-princess&lt;/loc&gt;")</f>
        <v>https://odysia-cruise-uk.client.prod.eu-west.dreamlake.io/cruise-lines/princess-cruises/emerald-princess&lt;/loc&gt;</v>
      </c>
      <c r="C75" s="101" t="str">
        <f ca="1">IFERROR(__xludf.DUMMYFUNCTION("REGEXREPLACE(B75, ""&lt;/loc&gt;"", """")"),"https://odysia-cruise-uk.client.prod.eu-west.dreamlake.io/cruise-lines/princess-cruises/emerald-princess")</f>
        <v>https://odysia-cruise-uk.client.prod.eu-west.dreamlake.io/cruise-lines/princess-cruises/emerald-princess</v>
      </c>
      <c r="D75" s="51" t="s">
        <v>473</v>
      </c>
      <c r="E75" s="51" t="str">
        <f ca="1">IFERROR(__xludf.DUMMYFUNCTION("REGEXREPLACE(D75, ""https://odysia-cruise-uk.client.prod.eu-west.dreamlake.io"", """")"),"/cruise-lines/princess-cruises/emerald-princess")</f>
        <v>/cruise-lines/princess-cruises/emerald-princess</v>
      </c>
    </row>
    <row r="76" spans="1:5" ht="13">
      <c r="A76" s="100" t="s">
        <v>474</v>
      </c>
      <c r="B76" s="51" t="str">
        <f ca="1">IFERROR(__xludf.DUMMYFUNCTION("REGEXREPLACE(A76, ""&lt;loc&gt;"", """")"),"https://odysia-cruise-uk.client.prod.eu-west.dreamlake.io/cruise-lines/royal-caribbean/independence-of-the-seas&lt;/loc&gt;")</f>
        <v>https://odysia-cruise-uk.client.prod.eu-west.dreamlake.io/cruise-lines/royal-caribbean/independence-of-the-seas&lt;/loc&gt;</v>
      </c>
      <c r="C76" s="101" t="str">
        <f ca="1">IFERROR(__xludf.DUMMYFUNCTION("REGEXREPLACE(B76, ""&lt;/loc&gt;"", """")"),"https://odysia-cruise-uk.client.prod.eu-west.dreamlake.io/cruise-lines/royal-caribbean/independence-of-the-seas")</f>
        <v>https://odysia-cruise-uk.client.prod.eu-west.dreamlake.io/cruise-lines/royal-caribbean/independence-of-the-seas</v>
      </c>
      <c r="D76" s="51" t="s">
        <v>475</v>
      </c>
      <c r="E76" s="51" t="str">
        <f ca="1">IFERROR(__xludf.DUMMYFUNCTION("REGEXREPLACE(D76, ""https://odysia-cruise-uk.client.prod.eu-west.dreamlake.io"", """")"),"/cruise-lines/royal-caribbean/independence-of-the-seas")</f>
        <v>/cruise-lines/royal-caribbean/independence-of-the-seas</v>
      </c>
    </row>
    <row r="77" spans="1:5" ht="13">
      <c r="A77" s="100" t="s">
        <v>476</v>
      </c>
      <c r="B77" s="51" t="str">
        <f ca="1">IFERROR(__xludf.DUMMYFUNCTION("REGEXREPLACE(A77, ""&lt;loc&gt;"", """")"),"https://odysia-cruise-uk.client.prod.eu-west.dreamlake.io/destinations/australasia-cruises&lt;/loc&gt;")</f>
        <v>https://odysia-cruise-uk.client.prod.eu-west.dreamlake.io/destinations/australasia-cruises&lt;/loc&gt;</v>
      </c>
      <c r="C77" s="101" t="str">
        <f ca="1">IFERROR(__xludf.DUMMYFUNCTION("REGEXREPLACE(B77, ""&lt;/loc&gt;"", """")"),"https://odysia-cruise-uk.client.prod.eu-west.dreamlake.io/destinations/australasia-cruises")</f>
        <v>https://odysia-cruise-uk.client.prod.eu-west.dreamlake.io/destinations/australasia-cruises</v>
      </c>
    </row>
    <row r="78" spans="1:5" ht="13">
      <c r="A78" s="100" t="s">
        <v>477</v>
      </c>
      <c r="B78" s="51" t="str">
        <f ca="1">IFERROR(__xludf.DUMMYFUNCTION("REGEXREPLACE(A78, ""&lt;loc&gt;"", """")"),"https://odysia-cruise-uk.client.prod.eu-west.dreamlake.io/cruise-lines/holland-america-line/oosterdam/cruises&lt;/loc&gt;")</f>
        <v>https://odysia-cruise-uk.client.prod.eu-west.dreamlake.io/cruise-lines/holland-america-line/oosterdam/cruises&lt;/loc&gt;</v>
      </c>
      <c r="C78" s="101" t="str">
        <f ca="1">IFERROR(__xludf.DUMMYFUNCTION("REGEXREPLACE(B78, ""&lt;/loc&gt;"", """")"),"https://odysia-cruise-uk.client.prod.eu-west.dreamlake.io/cruise-lines/holland-america-line/oosterdam/cruises")</f>
        <v>https://odysia-cruise-uk.client.prod.eu-west.dreamlake.io/cruise-lines/holland-america-line/oosterdam/cruises</v>
      </c>
      <c r="D78" s="51" t="s">
        <v>478</v>
      </c>
      <c r="E78" s="51" t="str">
        <f ca="1">IFERROR(__xludf.DUMMYFUNCTION("REGEXREPLACE(D78, ""https://odysia-cruise-uk.client.prod.eu-west.dreamlake.io"", """")"),"/cruise-lines/holland-america-line/oosterdam/cruises")</f>
        <v>/cruise-lines/holland-america-line/oosterdam/cruises</v>
      </c>
    </row>
    <row r="79" spans="1:5" ht="13">
      <c r="A79" s="100" t="s">
        <v>479</v>
      </c>
      <c r="B79" s="51" t="str">
        <f ca="1">IFERROR(__xludf.DUMMYFUNCTION("REGEXREPLACE(A79, ""&lt;loc&gt;"", """")"),"https://odysia-cruise-uk.client.prod.eu-west.dreamlake.io/cruise-lines/princess-cruises&lt;/loc&gt;")</f>
        <v>https://odysia-cruise-uk.client.prod.eu-west.dreamlake.io/cruise-lines/princess-cruises&lt;/loc&gt;</v>
      </c>
      <c r="C79" s="101" t="str">
        <f ca="1">IFERROR(__xludf.DUMMYFUNCTION("REGEXREPLACE(B79, ""&lt;/loc&gt;"", """")"),"https://odysia-cruise-uk.client.prod.eu-west.dreamlake.io/cruise-lines/princess-cruises")</f>
        <v>https://odysia-cruise-uk.client.prod.eu-west.dreamlake.io/cruise-lines/princess-cruises</v>
      </c>
      <c r="D79" s="51" t="s">
        <v>480</v>
      </c>
      <c r="E79" s="51" t="str">
        <f ca="1">IFERROR(__xludf.DUMMYFUNCTION("REGEXREPLACE(D79, ""https://odysia-cruise-uk.client.prod.eu-west.dreamlake.io"", """")"),"/cruise-lines/princess-cruises")</f>
        <v>/cruise-lines/princess-cruises</v>
      </c>
    </row>
    <row r="80" spans="1:5" ht="13">
      <c r="A80" s="100" t="s">
        <v>481</v>
      </c>
      <c r="B80" s="51" t="str">
        <f ca="1">IFERROR(__xludf.DUMMYFUNCTION("REGEXREPLACE(A80, ""&lt;loc&gt;"", """")"),"https://odysia-cruise-uk.client.prod.eu-west.dreamlake.io/cruise-lines/norwegian-cruise-line/norwegian-prima&lt;/loc&gt;")</f>
        <v>https://odysia-cruise-uk.client.prod.eu-west.dreamlake.io/cruise-lines/norwegian-cruise-line/norwegian-prima&lt;/loc&gt;</v>
      </c>
      <c r="C80" s="101" t="str">
        <f ca="1">IFERROR(__xludf.DUMMYFUNCTION("REGEXREPLACE(B80, ""&lt;/loc&gt;"", """")"),"https://odysia-cruise-uk.client.prod.eu-west.dreamlake.io/cruise-lines/norwegian-cruise-line/norwegian-prima")</f>
        <v>https://odysia-cruise-uk.client.prod.eu-west.dreamlake.io/cruise-lines/norwegian-cruise-line/norwegian-prima</v>
      </c>
      <c r="D80" s="51" t="s">
        <v>482</v>
      </c>
      <c r="E80" s="51" t="str">
        <f ca="1">IFERROR(__xludf.DUMMYFUNCTION("REGEXREPLACE(D80, ""https://odysia-cruise-uk.client.prod.eu-west.dreamlake.io"", """")"),"/cruise-lines/norwegian-cruise-line/norwegian-prima")</f>
        <v>/cruise-lines/norwegian-cruise-line/norwegian-prima</v>
      </c>
    </row>
    <row r="81" spans="1:5" ht="13">
      <c r="A81" s="100" t="s">
        <v>483</v>
      </c>
      <c r="B81" s="51" t="str">
        <f ca="1">IFERROR(__xludf.DUMMYFUNCTION("REGEXREPLACE(A81, ""&lt;loc&gt;"", """")"),"https://odysia-cruise-uk.client.prod.eu-west.dreamlake.io/cruise-lines/holland-america-line/zuiderdam/cruises&lt;/loc&gt;")</f>
        <v>https://odysia-cruise-uk.client.prod.eu-west.dreamlake.io/cruise-lines/holland-america-line/zuiderdam/cruises&lt;/loc&gt;</v>
      </c>
      <c r="C81" s="101" t="str">
        <f ca="1">IFERROR(__xludf.DUMMYFUNCTION("REGEXREPLACE(B81, ""&lt;/loc&gt;"", """")"),"https://odysia-cruise-uk.client.prod.eu-west.dreamlake.io/cruise-lines/holland-america-line/zuiderdam/cruises")</f>
        <v>https://odysia-cruise-uk.client.prod.eu-west.dreamlake.io/cruise-lines/holland-america-line/zuiderdam/cruises</v>
      </c>
      <c r="D81" s="51" t="s">
        <v>484</v>
      </c>
      <c r="E81" s="51" t="str">
        <f ca="1">IFERROR(__xludf.DUMMYFUNCTION("REGEXREPLACE(D81, ""https://odysia-cruise-uk.client.prod.eu-west.dreamlake.io"", """")"),"/cruise-lines/holland-america-line/zuiderdam/cruises")</f>
        <v>/cruise-lines/holland-america-line/zuiderdam/cruises</v>
      </c>
    </row>
    <row r="82" spans="1:5" ht="13">
      <c r="A82" s="100" t="s">
        <v>485</v>
      </c>
      <c r="B82" s="51" t="str">
        <f ca="1">IFERROR(__xludf.DUMMYFUNCTION("REGEXREPLACE(A82, ""&lt;loc&gt;"", """")"),"https://odysia-cruise-uk.client.prod.eu-west.dreamlake.io/cruise-lines/norwegian-cruise-line/norwegian-aqua&lt;/loc&gt;")</f>
        <v>https://odysia-cruise-uk.client.prod.eu-west.dreamlake.io/cruise-lines/norwegian-cruise-line/norwegian-aqua&lt;/loc&gt;</v>
      </c>
      <c r="C82" s="101" t="str">
        <f ca="1">IFERROR(__xludf.DUMMYFUNCTION("REGEXREPLACE(B82, ""&lt;/loc&gt;"", """")"),"https://odysia-cruise-uk.client.prod.eu-west.dreamlake.io/cruise-lines/norwegian-cruise-line/norwegian-aqua")</f>
        <v>https://odysia-cruise-uk.client.prod.eu-west.dreamlake.io/cruise-lines/norwegian-cruise-line/norwegian-aqua</v>
      </c>
      <c r="D82" s="51" t="s">
        <v>486</v>
      </c>
      <c r="E82" s="51" t="str">
        <f ca="1">IFERROR(__xludf.DUMMYFUNCTION("REGEXREPLACE(D82, ""https://odysia-cruise-uk.client.prod.eu-west.dreamlake.io"", """")"),"/cruise-lines/norwegian-cruise-line/norwegian-aqua")</f>
        <v>/cruise-lines/norwegian-cruise-line/norwegian-aqua</v>
      </c>
    </row>
    <row r="83" spans="1:5" ht="13">
      <c r="A83" s="100" t="s">
        <v>487</v>
      </c>
      <c r="B83" s="51" t="str">
        <f ca="1">IFERROR(__xludf.DUMMYFUNCTION("REGEXREPLACE(A83, ""&lt;loc&gt;"", """")"),"https://odysia-cruise-uk.client.prod.eu-west.dreamlake.io/cruise-lines/royal-caribbean/odyssey-of-the-seas&lt;/loc&gt;")</f>
        <v>https://odysia-cruise-uk.client.prod.eu-west.dreamlake.io/cruise-lines/royal-caribbean/odyssey-of-the-seas&lt;/loc&gt;</v>
      </c>
      <c r="C83" s="101" t="str">
        <f ca="1">IFERROR(__xludf.DUMMYFUNCTION("REGEXREPLACE(B83, ""&lt;/loc&gt;"", """")"),"https://odysia-cruise-uk.client.prod.eu-west.dreamlake.io/cruise-lines/royal-caribbean/odyssey-of-the-seas")</f>
        <v>https://odysia-cruise-uk.client.prod.eu-west.dreamlake.io/cruise-lines/royal-caribbean/odyssey-of-the-seas</v>
      </c>
      <c r="D83" s="51" t="s">
        <v>488</v>
      </c>
      <c r="E83" s="51" t="str">
        <f ca="1">IFERROR(__xludf.DUMMYFUNCTION("REGEXREPLACE(D83, ""https://odysia-cruise-uk.client.prod.eu-west.dreamlake.io"", """")"),"/cruise-lines/royal-caribbean/odyssey-of-the-seas")</f>
        <v>/cruise-lines/royal-caribbean/odyssey-of-the-seas</v>
      </c>
    </row>
    <row r="84" spans="1:5" ht="13">
      <c r="A84" s="100" t="s">
        <v>489</v>
      </c>
      <c r="B84" s="51" t="str">
        <f ca="1">IFERROR(__xludf.DUMMYFUNCTION("REGEXREPLACE(A84, ""&lt;loc&gt;"", """")"),"https://odysia-cruise-uk.client.prod.eu-west.dreamlake.io/cruise-lines/celebrity-cruises/celebrity-infinity/cruises&lt;/loc&gt;")</f>
        <v>https://odysia-cruise-uk.client.prod.eu-west.dreamlake.io/cruise-lines/celebrity-cruises/celebrity-infinity/cruises&lt;/loc&gt;</v>
      </c>
      <c r="C84" s="101" t="str">
        <f ca="1">IFERROR(__xludf.DUMMYFUNCTION("REGEXREPLACE(B84, ""&lt;/loc&gt;"", """")"),"https://odysia-cruise-uk.client.prod.eu-west.dreamlake.io/cruise-lines/celebrity-cruises/celebrity-infinity/cruises")</f>
        <v>https://odysia-cruise-uk.client.prod.eu-west.dreamlake.io/cruise-lines/celebrity-cruises/celebrity-infinity/cruises</v>
      </c>
      <c r="D84" s="51" t="s">
        <v>490</v>
      </c>
      <c r="E84" s="51" t="str">
        <f ca="1">IFERROR(__xludf.DUMMYFUNCTION("REGEXREPLACE(D84, ""https://odysia-cruise-uk.client.prod.eu-west.dreamlake.io"", """")"),"/cruise-lines/celebrity-cruises/celebrity-infinity/cruises")</f>
        <v>/cruise-lines/celebrity-cruises/celebrity-infinity/cruises</v>
      </c>
    </row>
    <row r="85" spans="1:5" ht="13">
      <c r="A85" s="100" t="s">
        <v>491</v>
      </c>
      <c r="B85" s="51" t="str">
        <f ca="1">IFERROR(__xludf.DUMMYFUNCTION("REGEXREPLACE(A85, ""&lt;loc&gt;"", """")"),"https://odysia-cruise-uk.client.prod.eu-west.dreamlake.io/cruise-lines/norwegian-cruise-line/norwegian-sun&lt;/loc&gt;")</f>
        <v>https://odysia-cruise-uk.client.prod.eu-west.dreamlake.io/cruise-lines/norwegian-cruise-line/norwegian-sun&lt;/loc&gt;</v>
      </c>
      <c r="C85" s="101" t="str">
        <f ca="1">IFERROR(__xludf.DUMMYFUNCTION("REGEXREPLACE(B85, ""&lt;/loc&gt;"", """")"),"https://odysia-cruise-uk.client.prod.eu-west.dreamlake.io/cruise-lines/norwegian-cruise-line/norwegian-sun")</f>
        <v>https://odysia-cruise-uk.client.prod.eu-west.dreamlake.io/cruise-lines/norwegian-cruise-line/norwegian-sun</v>
      </c>
      <c r="D85" s="51" t="s">
        <v>492</v>
      </c>
      <c r="E85" s="51" t="str">
        <f ca="1">IFERROR(__xludf.DUMMYFUNCTION("REGEXREPLACE(D85, ""https://odysia-cruise-uk.client.prod.eu-west.dreamlake.io"", """")"),"/cruise-lines/norwegian-cruise-line/norwegian-sun")</f>
        <v>/cruise-lines/norwegian-cruise-line/norwegian-sun</v>
      </c>
    </row>
    <row r="86" spans="1:5" ht="13">
      <c r="A86" s="100" t="s">
        <v>493</v>
      </c>
      <c r="B86" s="51" t="str">
        <f ca="1">IFERROR(__xludf.DUMMYFUNCTION("REGEXREPLACE(A86, ""&lt;loc&gt;"", """")"),"https://odysia-cruise-uk.client.prod.eu-west.dreamlake.io/cruise-lines/holland-america-line/eurodam/cruises&lt;/loc&gt;")</f>
        <v>https://odysia-cruise-uk.client.prod.eu-west.dreamlake.io/cruise-lines/holland-america-line/eurodam/cruises&lt;/loc&gt;</v>
      </c>
      <c r="C86" s="101" t="str">
        <f ca="1">IFERROR(__xludf.DUMMYFUNCTION("REGEXREPLACE(B86, ""&lt;/loc&gt;"", """")"),"https://odysia-cruise-uk.client.prod.eu-west.dreamlake.io/cruise-lines/holland-america-line/eurodam/cruises")</f>
        <v>https://odysia-cruise-uk.client.prod.eu-west.dreamlake.io/cruise-lines/holland-america-line/eurodam/cruises</v>
      </c>
      <c r="D86" s="51" t="s">
        <v>494</v>
      </c>
      <c r="E86" s="51" t="str">
        <f ca="1">IFERROR(__xludf.DUMMYFUNCTION("REGEXREPLACE(D86, ""https://odysia-cruise-uk.client.prod.eu-west.dreamlake.io"", """")"),"/cruise-lines/holland-america-line/eurodam/cruises")</f>
        <v>/cruise-lines/holland-america-line/eurodam/cruises</v>
      </c>
    </row>
    <row r="87" spans="1:5" ht="13">
      <c r="A87" s="100" t="s">
        <v>495</v>
      </c>
      <c r="B87" s="51" t="str">
        <f ca="1">IFERROR(__xludf.DUMMYFUNCTION("REGEXREPLACE(A87, ""&lt;loc&gt;"", """")"),"https://odysia-cruise-uk.client.prod.eu-west.dreamlake.io/cruise-lines/royal-caribbean/symphony-of-the-seas/cruises&lt;/loc&gt;")</f>
        <v>https://odysia-cruise-uk.client.prod.eu-west.dreamlake.io/cruise-lines/royal-caribbean/symphony-of-the-seas/cruises&lt;/loc&gt;</v>
      </c>
      <c r="C87" s="101" t="str">
        <f ca="1">IFERROR(__xludf.DUMMYFUNCTION("REGEXREPLACE(B87, ""&lt;/loc&gt;"", """")"),"https://odysia-cruise-uk.client.prod.eu-west.dreamlake.io/cruise-lines/royal-caribbean/symphony-of-the-seas/cruises")</f>
        <v>https://odysia-cruise-uk.client.prod.eu-west.dreamlake.io/cruise-lines/royal-caribbean/symphony-of-the-seas/cruises</v>
      </c>
      <c r="D87" s="51" t="s">
        <v>496</v>
      </c>
      <c r="E87" s="51" t="str">
        <f ca="1">IFERROR(__xludf.DUMMYFUNCTION("REGEXREPLACE(D87, ""https://odysia-cruise-uk.client.prod.eu-west.dreamlake.io"", """")"),"/cruise-lines/royal-caribbean/symphony-of-the-seas/cruises")</f>
        <v>/cruise-lines/royal-caribbean/symphony-of-the-seas/cruises</v>
      </c>
    </row>
    <row r="88" spans="1:5" ht="13">
      <c r="A88" s="100" t="s">
        <v>497</v>
      </c>
      <c r="B88" s="51" t="str">
        <f ca="1">IFERROR(__xludf.DUMMYFUNCTION("REGEXREPLACE(A88, ""&lt;loc&gt;"", """")"),"https://odysia-cruise-uk.client.prod.eu-west.dreamlake.io/cruise-lines/azamara/azamara-pursuit/cruises&lt;/loc&gt;")</f>
        <v>https://odysia-cruise-uk.client.prod.eu-west.dreamlake.io/cruise-lines/azamara/azamara-pursuit/cruises&lt;/loc&gt;</v>
      </c>
      <c r="C88" s="101" t="str">
        <f ca="1">IFERROR(__xludf.DUMMYFUNCTION("REGEXREPLACE(B88, ""&lt;/loc&gt;"", """")"),"https://odysia-cruise-uk.client.prod.eu-west.dreamlake.io/cruise-lines/azamara/azamara-pursuit/cruises")</f>
        <v>https://odysia-cruise-uk.client.prod.eu-west.dreamlake.io/cruise-lines/azamara/azamara-pursuit/cruises</v>
      </c>
    </row>
    <row r="89" spans="1:5" ht="13">
      <c r="A89" s="100" t="s">
        <v>498</v>
      </c>
      <c r="B89" s="51" t="str">
        <f ca="1">IFERROR(__xludf.DUMMYFUNCTION("REGEXREPLACE(A89, ""&lt;loc&gt;"", """")"),"https://odysia-cruise-uk.client.prod.eu-west.dreamlake.io/cruise-lines/msc-cruises/msc-musica&lt;/loc&gt;")</f>
        <v>https://odysia-cruise-uk.client.prod.eu-west.dreamlake.io/cruise-lines/msc-cruises/msc-musica&lt;/loc&gt;</v>
      </c>
      <c r="C89" s="101" t="str">
        <f ca="1">IFERROR(__xludf.DUMMYFUNCTION("REGEXREPLACE(B89, ""&lt;/loc&gt;"", """")"),"https://odysia-cruise-uk.client.prod.eu-west.dreamlake.io/cruise-lines/msc-cruises/msc-musica")</f>
        <v>https://odysia-cruise-uk.client.prod.eu-west.dreamlake.io/cruise-lines/msc-cruises/msc-musica</v>
      </c>
      <c r="D89" s="51" t="s">
        <v>499</v>
      </c>
      <c r="E89" s="51" t="str">
        <f ca="1">IFERROR(__xludf.DUMMYFUNCTION("REGEXREPLACE(D89, ""https://odysia-cruise-uk.client.prod.eu-west.dreamlake.io"", """")"),"/cruise-lines/msc-cruises/msc-musica")</f>
        <v>/cruise-lines/msc-cruises/msc-musica</v>
      </c>
    </row>
    <row r="90" spans="1:5" ht="13">
      <c r="A90" s="100" t="s">
        <v>500</v>
      </c>
      <c r="B90" s="51" t="str">
        <f ca="1">IFERROR(__xludf.DUMMYFUNCTION("REGEXREPLACE(A90, ""&lt;loc&gt;"", """")"),"https://odysia-cruise-uk.client.prod.eu-west.dreamlake.io/cruise-lines/fred-olsen-cruises/borealis/cruises&lt;/loc&gt;")</f>
        <v>https://odysia-cruise-uk.client.prod.eu-west.dreamlake.io/cruise-lines/fred-olsen-cruises/borealis/cruises&lt;/loc&gt;</v>
      </c>
      <c r="C90" s="101" t="str">
        <f ca="1">IFERROR(__xludf.DUMMYFUNCTION("REGEXREPLACE(B90, ""&lt;/loc&gt;"", """")"),"https://odysia-cruise-uk.client.prod.eu-west.dreamlake.io/cruise-lines/fred-olsen-cruises/borealis/cruises")</f>
        <v>https://odysia-cruise-uk.client.prod.eu-west.dreamlake.io/cruise-lines/fred-olsen-cruises/borealis/cruises</v>
      </c>
      <c r="D90" s="51" t="s">
        <v>501</v>
      </c>
      <c r="E90" s="51" t="str">
        <f ca="1">IFERROR(__xludf.DUMMYFUNCTION("REGEXREPLACE(D90, ""https://odysia-cruise-uk.client.prod.eu-west.dreamlake.io"", """")"),"/cruise-lines/fred-olsen-cruises/borealis/cruises")</f>
        <v>/cruise-lines/fred-olsen-cruises/borealis/cruises</v>
      </c>
    </row>
    <row r="91" spans="1:5" ht="13">
      <c r="A91" s="100" t="s">
        <v>502</v>
      </c>
      <c r="B91" s="51" t="str">
        <f ca="1">IFERROR(__xludf.DUMMYFUNCTION("REGEXREPLACE(A91, ""&lt;loc&gt;"", """")"),"https://odysia-cruise-uk.client.prod.eu-west.dreamlake.io/cruise-lines/costa-cruises&lt;/loc&gt;")</f>
        <v>https://odysia-cruise-uk.client.prod.eu-west.dreamlake.io/cruise-lines/costa-cruises&lt;/loc&gt;</v>
      </c>
      <c r="C91" s="101" t="str">
        <f ca="1">IFERROR(__xludf.DUMMYFUNCTION("REGEXREPLACE(B91, ""&lt;/loc&gt;"", """")"),"https://odysia-cruise-uk.client.prod.eu-west.dreamlake.io/cruise-lines/costa-cruises")</f>
        <v>https://odysia-cruise-uk.client.prod.eu-west.dreamlake.io/cruise-lines/costa-cruises</v>
      </c>
      <c r="D91" s="51" t="s">
        <v>503</v>
      </c>
      <c r="E91" s="51" t="str">
        <f ca="1">IFERROR(__xludf.DUMMYFUNCTION("REGEXREPLACE(D91, ""https://odysia-cruise-uk.client.prod.eu-west.dreamlake.io"", """")"),"/cruise-lines/costa-cruises")</f>
        <v>/cruise-lines/costa-cruises</v>
      </c>
    </row>
    <row r="92" spans="1:5" ht="13">
      <c r="A92" s="100" t="s">
        <v>504</v>
      </c>
      <c r="B92" s="51" t="str">
        <f ca="1">IFERROR(__xludf.DUMMYFUNCTION("REGEXREPLACE(A92, ""&lt;loc&gt;"", """")"),"https://odysia-cruise-uk.client.prod.eu-west.dreamlake.io/cruise-lines/norwegian-cruise-line/norwegian-escape&lt;/loc&gt;")</f>
        <v>https://odysia-cruise-uk.client.prod.eu-west.dreamlake.io/cruise-lines/norwegian-cruise-line/norwegian-escape&lt;/loc&gt;</v>
      </c>
      <c r="C92" s="101" t="str">
        <f ca="1">IFERROR(__xludf.DUMMYFUNCTION("REGEXREPLACE(B92, ""&lt;/loc&gt;"", """")"),"https://odysia-cruise-uk.client.prod.eu-west.dreamlake.io/cruise-lines/norwegian-cruise-line/norwegian-escape")</f>
        <v>https://odysia-cruise-uk.client.prod.eu-west.dreamlake.io/cruise-lines/norwegian-cruise-line/norwegian-escape</v>
      </c>
      <c r="D92" s="51" t="s">
        <v>505</v>
      </c>
      <c r="E92" s="51" t="str">
        <f ca="1">IFERROR(__xludf.DUMMYFUNCTION("REGEXREPLACE(D92, ""https://odysia-cruise-uk.client.prod.eu-west.dreamlake.io"", """")"),"/cruise-lines/norwegian-cruise-line/norwegian-escape")</f>
        <v>/cruise-lines/norwegian-cruise-line/norwegian-escape</v>
      </c>
    </row>
    <row r="93" spans="1:5" ht="13">
      <c r="A93" s="100" t="s">
        <v>506</v>
      </c>
      <c r="B93" s="51" t="str">
        <f ca="1">IFERROR(__xludf.DUMMYFUNCTION("REGEXREPLACE(A93, ""&lt;loc&gt;"", """")"),"https://odysia-cruise-uk.client.prod.eu-west.dreamlake.io/cruise-lines/costa-cruises/costa-serena/cruises&lt;/loc&gt;")</f>
        <v>https://odysia-cruise-uk.client.prod.eu-west.dreamlake.io/cruise-lines/costa-cruises/costa-serena/cruises&lt;/loc&gt;</v>
      </c>
      <c r="C93" s="101" t="str">
        <f ca="1">IFERROR(__xludf.DUMMYFUNCTION("REGEXREPLACE(B93, ""&lt;/loc&gt;"", """")"),"https://odysia-cruise-uk.client.prod.eu-west.dreamlake.io/cruise-lines/costa-cruises/costa-serena/cruises")</f>
        <v>https://odysia-cruise-uk.client.prod.eu-west.dreamlake.io/cruise-lines/costa-cruises/costa-serena/cruises</v>
      </c>
      <c r="D93" s="51" t="s">
        <v>507</v>
      </c>
      <c r="E93" s="51" t="str">
        <f ca="1">IFERROR(__xludf.DUMMYFUNCTION("REGEXREPLACE(D93, ""https://odysia-cruise-uk.client.prod.eu-west.dreamlake.io"", """")"),"/cruise-lines/costa-cruises/costa-serena/cruises")</f>
        <v>/cruise-lines/costa-cruises/costa-serena/cruises</v>
      </c>
    </row>
    <row r="94" spans="1:5" ht="13">
      <c r="A94" s="100" t="s">
        <v>508</v>
      </c>
      <c r="B94" s="51" t="str">
        <f ca="1">IFERROR(__xludf.DUMMYFUNCTION("REGEXREPLACE(A94, ""&lt;loc&gt;"", """")"),"https://odysia-cruise-uk.client.prod.eu-west.dreamlake.io/cruise-lines/msc-cruises&lt;/loc&gt;")</f>
        <v>https://odysia-cruise-uk.client.prod.eu-west.dreamlake.io/cruise-lines/msc-cruises&lt;/loc&gt;</v>
      </c>
      <c r="C94" s="101" t="str">
        <f ca="1">IFERROR(__xludf.DUMMYFUNCTION("REGEXREPLACE(B94, ""&lt;/loc&gt;"", """")"),"https://odysia-cruise-uk.client.prod.eu-west.dreamlake.io/cruise-lines/msc-cruises")</f>
        <v>https://odysia-cruise-uk.client.prod.eu-west.dreamlake.io/cruise-lines/msc-cruises</v>
      </c>
      <c r="D94" s="51" t="s">
        <v>509</v>
      </c>
      <c r="E94" s="51" t="str">
        <f ca="1">IFERROR(__xludf.DUMMYFUNCTION("REGEXREPLACE(D94, ""https://odysia-cruise-uk.client.prod.eu-west.dreamlake.io"", """")"),"/cruise-lines/msc-cruises")</f>
        <v>/cruise-lines/msc-cruises</v>
      </c>
    </row>
    <row r="95" spans="1:5" ht="13">
      <c r="A95" s="100" t="s">
        <v>510</v>
      </c>
      <c r="B95" s="51" t="str">
        <f ca="1">IFERROR(__xludf.DUMMYFUNCTION("REGEXREPLACE(A95, ""&lt;loc&gt;"", """")"),"https://odysia-cruise-uk.client.prod.eu-west.dreamlake.io/cruise-lines/cunard/queen-victoria&lt;/loc&gt;")</f>
        <v>https://odysia-cruise-uk.client.prod.eu-west.dreamlake.io/cruise-lines/cunard/queen-victoria&lt;/loc&gt;</v>
      </c>
      <c r="C95" s="101" t="str">
        <f ca="1">IFERROR(__xludf.DUMMYFUNCTION("REGEXREPLACE(B95, ""&lt;/loc&gt;"", """")"),"https://odysia-cruise-uk.client.prod.eu-west.dreamlake.io/cruise-lines/cunard/queen-victoria")</f>
        <v>https://odysia-cruise-uk.client.prod.eu-west.dreamlake.io/cruise-lines/cunard/queen-victoria</v>
      </c>
      <c r="D95" s="51" t="s">
        <v>511</v>
      </c>
      <c r="E95" s="51" t="str">
        <f ca="1">IFERROR(__xludf.DUMMYFUNCTION("REGEXREPLACE(D95, ""https://odysia-cruise-uk.client.prod.eu-west.dreamlake.io"", """")"),"/cruise-lines/cunard/queen-victoria")</f>
        <v>/cruise-lines/cunard/queen-victoria</v>
      </c>
    </row>
    <row r="96" spans="1:5" ht="13">
      <c r="A96" s="100" t="s">
        <v>512</v>
      </c>
      <c r="B96" s="51" t="str">
        <f ca="1">IFERROR(__xludf.DUMMYFUNCTION("REGEXREPLACE(A96, ""&lt;loc&gt;"", """")"),"https://odysia-cruise-uk.client.prod.eu-west.dreamlake.io/cruise-lines/royal-caribbean/freedom-of-the-seas&lt;/loc&gt;")</f>
        <v>https://odysia-cruise-uk.client.prod.eu-west.dreamlake.io/cruise-lines/royal-caribbean/freedom-of-the-seas&lt;/loc&gt;</v>
      </c>
      <c r="C96" s="101" t="str">
        <f ca="1">IFERROR(__xludf.DUMMYFUNCTION("REGEXREPLACE(B96, ""&lt;/loc&gt;"", """")"),"https://odysia-cruise-uk.client.prod.eu-west.dreamlake.io/cruise-lines/royal-caribbean/freedom-of-the-seas")</f>
        <v>https://odysia-cruise-uk.client.prod.eu-west.dreamlake.io/cruise-lines/royal-caribbean/freedom-of-the-seas</v>
      </c>
      <c r="D96" s="51" t="s">
        <v>513</v>
      </c>
      <c r="E96" s="51" t="str">
        <f ca="1">IFERROR(__xludf.DUMMYFUNCTION("REGEXREPLACE(D96, ""https://odysia-cruise-uk.client.prod.eu-west.dreamlake.io"", """")"),"/cruise-lines/royal-caribbean/freedom-of-the-seas")</f>
        <v>/cruise-lines/royal-caribbean/freedom-of-the-seas</v>
      </c>
    </row>
    <row r="97" spans="1:5" ht="13">
      <c r="A97" s="100" t="s">
        <v>514</v>
      </c>
      <c r="B97" s="51" t="str">
        <f ca="1">IFERROR(__xludf.DUMMYFUNCTION("REGEXREPLACE(A97, ""&lt;loc&gt;"", """")"),"https://odysia-cruise-uk.client.prod.eu-west.dreamlake.io/cruise-lines/po-cruises/arvia&lt;/loc&gt;")</f>
        <v>https://odysia-cruise-uk.client.prod.eu-west.dreamlake.io/cruise-lines/po-cruises/arvia&lt;/loc&gt;</v>
      </c>
      <c r="C97" s="101" t="str">
        <f ca="1">IFERROR(__xludf.DUMMYFUNCTION("REGEXREPLACE(B97, ""&lt;/loc&gt;"", """")"),"https://odysia-cruise-uk.client.prod.eu-west.dreamlake.io/cruise-lines/po-cruises/arvia")</f>
        <v>https://odysia-cruise-uk.client.prod.eu-west.dreamlake.io/cruise-lines/po-cruises/arvia</v>
      </c>
      <c r="D97" s="51" t="s">
        <v>515</v>
      </c>
      <c r="E97" s="51" t="str">
        <f ca="1">IFERROR(__xludf.DUMMYFUNCTION("REGEXREPLACE(D97, ""https://odysia-cruise-uk.client.prod.eu-west.dreamlake.io"", """")"),"/cruise-lines/po-cruises/arvia")</f>
        <v>/cruise-lines/po-cruises/arvia</v>
      </c>
    </row>
    <row r="98" spans="1:5" ht="13">
      <c r="A98" s="100" t="s">
        <v>516</v>
      </c>
      <c r="B98" s="51" t="str">
        <f ca="1">IFERROR(__xludf.DUMMYFUNCTION("REGEXREPLACE(A98, ""&lt;loc&gt;"", """")"),"https://odysia-cruise-uk.client.prod.eu-west.dreamlake.io/cruise-lines/oceania-cruises/oceania-allura/cruises&lt;/loc&gt;")</f>
        <v>https://odysia-cruise-uk.client.prod.eu-west.dreamlake.io/cruise-lines/oceania-cruises/oceania-allura/cruises&lt;/loc&gt;</v>
      </c>
      <c r="C98" s="101" t="str">
        <f ca="1">IFERROR(__xludf.DUMMYFUNCTION("REGEXREPLACE(B98, ""&lt;/loc&gt;"", """")"),"https://odysia-cruise-uk.client.prod.eu-west.dreamlake.io/cruise-lines/oceania-cruises/oceania-allura/cruises")</f>
        <v>https://odysia-cruise-uk.client.prod.eu-west.dreamlake.io/cruise-lines/oceania-cruises/oceania-allura/cruises</v>
      </c>
      <c r="D98" s="51" t="s">
        <v>517</v>
      </c>
      <c r="E98" s="51" t="str">
        <f ca="1">IFERROR(__xludf.DUMMYFUNCTION("REGEXREPLACE(D98, ""https://odysia-cruise-uk.client.prod.eu-west.dreamlake.io"", """")"),"/cruise-lines/oceania-cruises/oceania-allura/cruises")</f>
        <v>/cruise-lines/oceania-cruises/oceania-allura/cruises</v>
      </c>
    </row>
    <row r="99" spans="1:5" ht="13">
      <c r="A99" s="100" t="s">
        <v>518</v>
      </c>
      <c r="B99" s="51" t="str">
        <f ca="1">IFERROR(__xludf.DUMMYFUNCTION("REGEXREPLACE(A99, ""&lt;loc&gt;"", """")"),"https://odysia-cruise-uk.client.prod.eu-west.dreamlake.io/cruise-lines/norwegian-cruise-line/norwegian-getaway&lt;/loc&gt;")</f>
        <v>https://odysia-cruise-uk.client.prod.eu-west.dreamlake.io/cruise-lines/norwegian-cruise-line/norwegian-getaway&lt;/loc&gt;</v>
      </c>
      <c r="C99" s="101" t="str">
        <f ca="1">IFERROR(__xludf.DUMMYFUNCTION("REGEXREPLACE(B99, ""&lt;/loc&gt;"", """")"),"https://odysia-cruise-uk.client.prod.eu-west.dreamlake.io/cruise-lines/norwegian-cruise-line/norwegian-getaway")</f>
        <v>https://odysia-cruise-uk.client.prod.eu-west.dreamlake.io/cruise-lines/norwegian-cruise-line/norwegian-getaway</v>
      </c>
      <c r="D99" s="51" t="s">
        <v>519</v>
      </c>
      <c r="E99" s="51" t="str">
        <f ca="1">IFERROR(__xludf.DUMMYFUNCTION("REGEXREPLACE(D99, ""https://odysia-cruise-uk.client.prod.eu-west.dreamlake.io"", """")"),"/cruise-lines/norwegian-cruise-line/norwegian-getaway")</f>
        <v>/cruise-lines/norwegian-cruise-line/norwegian-getaway</v>
      </c>
    </row>
    <row r="100" spans="1:5" ht="13">
      <c r="A100" s="100" t="s">
        <v>520</v>
      </c>
      <c r="B100" s="51" t="str">
        <f ca="1">IFERROR(__xludf.DUMMYFUNCTION("REGEXREPLACE(A100, ""&lt;loc&gt;"", """")"),"https://odysia-cruise-uk.client.prod.eu-west.dreamlake.io/cruise-calendar/polar-region-cruises&lt;/loc&gt;")</f>
        <v>https://odysia-cruise-uk.client.prod.eu-west.dreamlake.io/cruise-calendar/polar-region-cruises&lt;/loc&gt;</v>
      </c>
      <c r="C100" s="101" t="str">
        <f ca="1">IFERROR(__xludf.DUMMYFUNCTION("REGEXREPLACE(B100, ""&lt;/loc&gt;"", """")"),"https://odysia-cruise-uk.client.prod.eu-west.dreamlake.io/cruise-calendar/polar-region-cruises")</f>
        <v>https://odysia-cruise-uk.client.prod.eu-west.dreamlake.io/cruise-calendar/polar-region-cruises</v>
      </c>
    </row>
    <row r="101" spans="1:5" ht="13">
      <c r="A101" s="100" t="s">
        <v>521</v>
      </c>
      <c r="B101" s="51" t="str">
        <f ca="1">IFERROR(__xludf.DUMMYFUNCTION("REGEXREPLACE(A101, ""&lt;loc&gt;"", """")"),"https://odysia-cruise-uk.client.prod.eu-west.dreamlake.io/cruise-lines/oceania-cruises/oceania-regatta/cruises&lt;/loc&gt;")</f>
        <v>https://odysia-cruise-uk.client.prod.eu-west.dreamlake.io/cruise-lines/oceania-cruises/oceania-regatta/cruises&lt;/loc&gt;</v>
      </c>
      <c r="C101" s="101" t="str">
        <f ca="1">IFERROR(__xludf.DUMMYFUNCTION("REGEXREPLACE(B101, ""&lt;/loc&gt;"", """")"),"https://odysia-cruise-uk.client.prod.eu-west.dreamlake.io/cruise-lines/oceania-cruises/oceania-regatta/cruises")</f>
        <v>https://odysia-cruise-uk.client.prod.eu-west.dreamlake.io/cruise-lines/oceania-cruises/oceania-regatta/cruises</v>
      </c>
      <c r="D101" s="51" t="s">
        <v>522</v>
      </c>
      <c r="E101" s="51" t="str">
        <f ca="1">IFERROR(__xludf.DUMMYFUNCTION("REGEXREPLACE(D101, ""https://odysia-cruise-uk.client.prod.eu-west.dreamlake.io"", """")"),"/cruise-lines/oceania-cruises/oceania-regatta/cruises")</f>
        <v>/cruise-lines/oceania-cruises/oceania-regatta/cruises</v>
      </c>
    </row>
    <row r="102" spans="1:5" ht="13">
      <c r="A102" s="100" t="s">
        <v>523</v>
      </c>
      <c r="B102" s="51" t="str">
        <f ca="1">IFERROR(__xludf.DUMMYFUNCTION("REGEXREPLACE(A102, ""&lt;loc&gt;"", """")"),"https://odysia-cruise-uk.client.prod.eu-west.dreamlake.io/cruise-lines/royal-caribbean/navigator-of-the-seas&lt;/loc&gt;")</f>
        <v>https://odysia-cruise-uk.client.prod.eu-west.dreamlake.io/cruise-lines/royal-caribbean/navigator-of-the-seas&lt;/loc&gt;</v>
      </c>
      <c r="C102" s="101" t="str">
        <f ca="1">IFERROR(__xludf.DUMMYFUNCTION("REGEXREPLACE(B102, ""&lt;/loc&gt;"", """")"),"https://odysia-cruise-uk.client.prod.eu-west.dreamlake.io/cruise-lines/royal-caribbean/navigator-of-the-seas")</f>
        <v>https://odysia-cruise-uk.client.prod.eu-west.dreamlake.io/cruise-lines/royal-caribbean/navigator-of-the-seas</v>
      </c>
      <c r="D102" s="51" t="s">
        <v>524</v>
      </c>
      <c r="E102" s="51" t="str">
        <f ca="1">IFERROR(__xludf.DUMMYFUNCTION("REGEXREPLACE(D102, ""https://odysia-cruise-uk.client.prod.eu-west.dreamlake.io"", """")"),"/cruise-lines/royal-caribbean/navigator-of-the-seas")</f>
        <v>/cruise-lines/royal-caribbean/navigator-of-the-seas</v>
      </c>
    </row>
    <row r="103" spans="1:5" ht="13">
      <c r="A103" s="100" t="s">
        <v>525</v>
      </c>
      <c r="B103" s="51" t="str">
        <f ca="1">IFERROR(__xludf.DUMMYFUNCTION("REGEXREPLACE(A103, ""&lt;loc&gt;"", """")"),"https://odysia-cruise-uk.client.prod.eu-west.dreamlake.io/cruise-lines/explora-journeys/explora-ii&lt;/loc&gt;")</f>
        <v>https://odysia-cruise-uk.client.prod.eu-west.dreamlake.io/cruise-lines/explora-journeys/explora-ii&lt;/loc&gt;</v>
      </c>
      <c r="C103" s="101" t="str">
        <f ca="1">IFERROR(__xludf.DUMMYFUNCTION("REGEXREPLACE(B103, ""&lt;/loc&gt;"", """")"),"https://odysia-cruise-uk.client.prod.eu-west.dreamlake.io/cruise-lines/explora-journeys/explora-ii")</f>
        <v>https://odysia-cruise-uk.client.prod.eu-west.dreamlake.io/cruise-lines/explora-journeys/explora-ii</v>
      </c>
      <c r="D103" s="51" t="s">
        <v>526</v>
      </c>
      <c r="E103" s="51" t="str">
        <f ca="1">IFERROR(__xludf.DUMMYFUNCTION("REGEXREPLACE(D103, ""https://odysia-cruise-uk.client.prod.eu-west.dreamlake.io"", """")"),"/cruise-lines/explora-journeys/explora-ii")</f>
        <v>/cruise-lines/explora-journeys/explora-ii</v>
      </c>
    </row>
    <row r="104" spans="1:5" ht="13">
      <c r="A104" s="100" t="s">
        <v>527</v>
      </c>
      <c r="B104" s="51" t="str">
        <f ca="1">IFERROR(__xludf.DUMMYFUNCTION("REGEXREPLACE(A104, ""&lt;loc&gt;"", """")"),"https://odysia-cruise-uk.client.prod.eu-west.dreamlake.io/cruise-lines/seabourn/seabourn-venture/cruises&lt;/loc&gt;")</f>
        <v>https://odysia-cruise-uk.client.prod.eu-west.dreamlake.io/cruise-lines/seabourn/seabourn-venture/cruises&lt;/loc&gt;</v>
      </c>
      <c r="C104" s="101" t="str">
        <f ca="1">IFERROR(__xludf.DUMMYFUNCTION("REGEXREPLACE(B104, ""&lt;/loc&gt;"", """")"),"https://odysia-cruise-uk.client.prod.eu-west.dreamlake.io/cruise-lines/seabourn/seabourn-venture/cruises")</f>
        <v>https://odysia-cruise-uk.client.prod.eu-west.dreamlake.io/cruise-lines/seabourn/seabourn-venture/cruises</v>
      </c>
      <c r="D104" s="51" t="s">
        <v>528</v>
      </c>
      <c r="E104" s="51" t="str">
        <f ca="1">IFERROR(__xludf.DUMMYFUNCTION("REGEXREPLACE(D104, ""https://odysia-cruise-uk.client.prod.eu-west.dreamlake.io"", """")"),"/cruise-lines/seabourn/seabourn-venture/cruises")</f>
        <v>/cruise-lines/seabourn/seabourn-venture/cruises</v>
      </c>
    </row>
    <row r="105" spans="1:5" ht="13">
      <c r="A105" s="100" t="s">
        <v>529</v>
      </c>
      <c r="B105" s="51" t="str">
        <f ca="1">IFERROR(__xludf.DUMMYFUNCTION("REGEXREPLACE(A105, ""&lt;loc&gt;"", """")"),"https://odysia-cruise-uk.client.prod.eu-west.dreamlake.io/cruise-lines/princess-cruises/discovery-princess&lt;/loc&gt;")</f>
        <v>https://odysia-cruise-uk.client.prod.eu-west.dreamlake.io/cruise-lines/princess-cruises/discovery-princess&lt;/loc&gt;</v>
      </c>
      <c r="C105" s="101" t="str">
        <f ca="1">IFERROR(__xludf.DUMMYFUNCTION("REGEXREPLACE(B105, ""&lt;/loc&gt;"", """")"),"https://odysia-cruise-uk.client.prod.eu-west.dreamlake.io/cruise-lines/princess-cruises/discovery-princess")</f>
        <v>https://odysia-cruise-uk.client.prod.eu-west.dreamlake.io/cruise-lines/princess-cruises/discovery-princess</v>
      </c>
      <c r="D105" s="51" t="s">
        <v>530</v>
      </c>
      <c r="E105" s="51" t="str">
        <f ca="1">IFERROR(__xludf.DUMMYFUNCTION("REGEXREPLACE(D105, ""https://odysia-cruise-uk.client.prod.eu-west.dreamlake.io"", """")"),"/cruise-lines/princess-cruises/discovery-princess")</f>
        <v>/cruise-lines/princess-cruises/discovery-princess</v>
      </c>
    </row>
    <row r="106" spans="1:5" ht="13">
      <c r="A106" s="100" t="s">
        <v>531</v>
      </c>
      <c r="B106" s="51" t="str">
        <f ca="1">IFERROR(__xludf.DUMMYFUNCTION("REGEXREPLACE(A106, ""&lt;loc&gt;"", """")"),"https://odysia-cruise-uk.client.prod.eu-west.dreamlake.io/cruise-lines/msc-cruises/msc-virtuosa/cruises&lt;/loc&gt;")</f>
        <v>https://odysia-cruise-uk.client.prod.eu-west.dreamlake.io/cruise-lines/msc-cruises/msc-virtuosa/cruises&lt;/loc&gt;</v>
      </c>
      <c r="C106" s="101" t="str">
        <f ca="1">IFERROR(__xludf.DUMMYFUNCTION("REGEXREPLACE(B106, ""&lt;/loc&gt;"", """")"),"https://odysia-cruise-uk.client.prod.eu-west.dreamlake.io/cruise-lines/msc-cruises/msc-virtuosa/cruises")</f>
        <v>https://odysia-cruise-uk.client.prod.eu-west.dreamlake.io/cruise-lines/msc-cruises/msc-virtuosa/cruises</v>
      </c>
      <c r="D106" s="51" t="s">
        <v>532</v>
      </c>
      <c r="E106" s="51" t="str">
        <f ca="1">IFERROR(__xludf.DUMMYFUNCTION("REGEXREPLACE(D106, ""https://odysia-cruise-uk.client.prod.eu-west.dreamlake.io"", """")"),"/cruise-lines/msc-cruises/msc-virtuosa/cruises")</f>
        <v>/cruise-lines/msc-cruises/msc-virtuosa/cruises</v>
      </c>
    </row>
    <row r="107" spans="1:5" ht="13">
      <c r="A107" s="100" t="s">
        <v>533</v>
      </c>
      <c r="B107" s="51" t="str">
        <f ca="1">IFERROR(__xludf.DUMMYFUNCTION("REGEXREPLACE(A107, ""&lt;loc&gt;"", """")"),"https://odysia-cruise-uk.client.prod.eu-west.dreamlake.io/cruise-lines&lt;/loc&gt;")</f>
        <v>https://odysia-cruise-uk.client.prod.eu-west.dreamlake.io/cruise-lines&lt;/loc&gt;</v>
      </c>
      <c r="C107" s="101" t="str">
        <f ca="1">IFERROR(__xludf.DUMMYFUNCTION("REGEXREPLACE(B107, ""&lt;/loc&gt;"", """")"),"https://odysia-cruise-uk.client.prod.eu-west.dreamlake.io/cruise-lines")</f>
        <v>https://odysia-cruise-uk.client.prod.eu-west.dreamlake.io/cruise-lines</v>
      </c>
    </row>
    <row r="108" spans="1:5" ht="13">
      <c r="A108" s="100" t="s">
        <v>534</v>
      </c>
      <c r="B108" s="51" t="str">
        <f ca="1">IFERROR(__xludf.DUMMYFUNCTION("REGEXREPLACE(A108, ""&lt;loc&gt;"", """")"),"https://odysia-cruise-uk.client.prod.eu-west.dreamlake.io/cruise-lines/costa-cruises/costa-deliziosa/cruises&lt;/loc&gt;")</f>
        <v>https://odysia-cruise-uk.client.prod.eu-west.dreamlake.io/cruise-lines/costa-cruises/costa-deliziosa/cruises&lt;/loc&gt;</v>
      </c>
      <c r="C108" s="101" t="str">
        <f ca="1">IFERROR(__xludf.DUMMYFUNCTION("REGEXREPLACE(B108, ""&lt;/loc&gt;"", """")"),"https://odysia-cruise-uk.client.prod.eu-west.dreamlake.io/cruise-lines/costa-cruises/costa-deliziosa/cruises")</f>
        <v>https://odysia-cruise-uk.client.prod.eu-west.dreamlake.io/cruise-lines/costa-cruises/costa-deliziosa/cruises</v>
      </c>
      <c r="D108" s="51" t="s">
        <v>535</v>
      </c>
      <c r="E108" s="51" t="str">
        <f ca="1">IFERROR(__xludf.DUMMYFUNCTION("REGEXREPLACE(D108, ""https://odysia-cruise-uk.client.prod.eu-west.dreamlake.io"", """")"),"/cruise-lines/costa-cruises/costa-deliziosa/cruises")</f>
        <v>/cruise-lines/costa-cruises/costa-deliziosa/cruises</v>
      </c>
    </row>
    <row r="109" spans="1:5" ht="13">
      <c r="A109" s="100" t="s">
        <v>536</v>
      </c>
      <c r="B109" s="51" t="str">
        <f ca="1">IFERROR(__xludf.DUMMYFUNCTION("REGEXREPLACE(A109, ""&lt;loc&gt;"", """")"),"https://odysia-cruise-uk.client.prod.eu-west.dreamlake.io/cruise-lines/holland-america-line/koningsdam/cruises&lt;/loc&gt;")</f>
        <v>https://odysia-cruise-uk.client.prod.eu-west.dreamlake.io/cruise-lines/holland-america-line/koningsdam/cruises&lt;/loc&gt;</v>
      </c>
      <c r="C109" s="101" t="str">
        <f ca="1">IFERROR(__xludf.DUMMYFUNCTION("REGEXREPLACE(B109, ""&lt;/loc&gt;"", """")"),"https://odysia-cruise-uk.client.prod.eu-west.dreamlake.io/cruise-lines/holland-america-line/koningsdam/cruises")</f>
        <v>https://odysia-cruise-uk.client.prod.eu-west.dreamlake.io/cruise-lines/holland-america-line/koningsdam/cruises</v>
      </c>
      <c r="D109" s="51" t="s">
        <v>537</v>
      </c>
      <c r="E109" s="51" t="str">
        <f ca="1">IFERROR(__xludf.DUMMYFUNCTION("REGEXREPLACE(D109, ""https://odysia-cruise-uk.client.prod.eu-west.dreamlake.io"", """")"),"/cruise-lines/holland-america-line/koningsdam/cruises")</f>
        <v>/cruise-lines/holland-america-line/koningsdam/cruises</v>
      </c>
    </row>
    <row r="110" spans="1:5" ht="13">
      <c r="A110" s="100" t="s">
        <v>538</v>
      </c>
      <c r="B110" s="51" t="str">
        <f ca="1">IFERROR(__xludf.DUMMYFUNCTION("REGEXREPLACE(A110, ""&lt;loc&gt;"", """")"),"https://odysia-cruise-uk.client.prod.eu-west.dreamlake.io/cruise-lines/costa-cruises/costa-favolosa/cruises&lt;/loc&gt;")</f>
        <v>https://odysia-cruise-uk.client.prod.eu-west.dreamlake.io/cruise-lines/costa-cruises/costa-favolosa/cruises&lt;/loc&gt;</v>
      </c>
      <c r="C110" s="101" t="str">
        <f ca="1">IFERROR(__xludf.DUMMYFUNCTION("REGEXREPLACE(B110, ""&lt;/loc&gt;"", """")"),"https://odysia-cruise-uk.client.prod.eu-west.dreamlake.io/cruise-lines/costa-cruises/costa-favolosa/cruises")</f>
        <v>https://odysia-cruise-uk.client.prod.eu-west.dreamlake.io/cruise-lines/costa-cruises/costa-favolosa/cruises</v>
      </c>
      <c r="D110" s="51" t="s">
        <v>539</v>
      </c>
      <c r="E110" s="51" t="str">
        <f ca="1">IFERROR(__xludf.DUMMYFUNCTION("REGEXREPLACE(D110, ""https://odysia-cruise-uk.client.prod.eu-west.dreamlake.io"", """")"),"/cruise-lines/costa-cruises/costa-favolosa/cruises")</f>
        <v>/cruise-lines/costa-cruises/costa-favolosa/cruises</v>
      </c>
    </row>
    <row r="111" spans="1:5" ht="13">
      <c r="A111" s="100" t="s">
        <v>540</v>
      </c>
      <c r="B111" s="51" t="str">
        <f ca="1">IFERROR(__xludf.DUMMYFUNCTION("REGEXREPLACE(A111, ""&lt;loc&gt;"", """")"),"https://odysia-cruise-uk.client.prod.eu-west.dreamlake.io/cruise-lines/norwegian-cruise-line/norwegian-gem&lt;/loc&gt;")</f>
        <v>https://odysia-cruise-uk.client.prod.eu-west.dreamlake.io/cruise-lines/norwegian-cruise-line/norwegian-gem&lt;/loc&gt;</v>
      </c>
      <c r="C111" s="101" t="str">
        <f ca="1">IFERROR(__xludf.DUMMYFUNCTION("REGEXREPLACE(B111, ""&lt;/loc&gt;"", """")"),"https://odysia-cruise-uk.client.prod.eu-west.dreamlake.io/cruise-lines/norwegian-cruise-line/norwegian-gem")</f>
        <v>https://odysia-cruise-uk.client.prod.eu-west.dreamlake.io/cruise-lines/norwegian-cruise-line/norwegian-gem</v>
      </c>
      <c r="D111" s="51" t="s">
        <v>541</v>
      </c>
      <c r="E111" s="51" t="str">
        <f ca="1">IFERROR(__xludf.DUMMYFUNCTION("REGEXREPLACE(D111, ""https://odysia-cruise-uk.client.prod.eu-west.dreamlake.io"", """")"),"/cruise-lines/norwegian-cruise-line/norwegian-gem")</f>
        <v>/cruise-lines/norwegian-cruise-line/norwegian-gem</v>
      </c>
    </row>
    <row r="112" spans="1:5" ht="13">
      <c r="A112" s="100" t="s">
        <v>542</v>
      </c>
      <c r="B112" s="51" t="str">
        <f ca="1">IFERROR(__xludf.DUMMYFUNCTION("REGEXREPLACE(A112, ""&lt;loc&gt;"", """")"),"https://odysia-cruise-uk.client.prod.eu-west.dreamlake.io/cruise-lines/princess-cruises/star-princess&lt;/loc&gt;")</f>
        <v>https://odysia-cruise-uk.client.prod.eu-west.dreamlake.io/cruise-lines/princess-cruises/star-princess&lt;/loc&gt;</v>
      </c>
      <c r="C112" s="101" t="str">
        <f ca="1">IFERROR(__xludf.DUMMYFUNCTION("REGEXREPLACE(B112, ""&lt;/loc&gt;"", """")"),"https://odysia-cruise-uk.client.prod.eu-west.dreamlake.io/cruise-lines/princess-cruises/star-princess")</f>
        <v>https://odysia-cruise-uk.client.prod.eu-west.dreamlake.io/cruise-lines/princess-cruises/star-princess</v>
      </c>
      <c r="D112" s="51" t="s">
        <v>543</v>
      </c>
      <c r="E112" s="51" t="str">
        <f ca="1">IFERROR(__xludf.DUMMYFUNCTION("REGEXREPLACE(D112, ""https://odysia-cruise-uk.client.prod.eu-west.dreamlake.io"", """")"),"/cruise-lines/princess-cruises/star-princess")</f>
        <v>/cruise-lines/princess-cruises/star-princess</v>
      </c>
    </row>
    <row r="113" spans="1:5" ht="13">
      <c r="A113" s="100" t="s">
        <v>544</v>
      </c>
      <c r="B113" s="51" t="str">
        <f ca="1">IFERROR(__xludf.DUMMYFUNCTION("REGEXREPLACE(A113, ""&lt;loc&gt;"", """")"),"https://odysia-cruise-uk.client.prod.eu-west.dreamlake.io/cruise-calendar/british-isles-cruises&lt;/loc&gt;")</f>
        <v>https://odysia-cruise-uk.client.prod.eu-west.dreamlake.io/cruise-calendar/british-isles-cruises&lt;/loc&gt;</v>
      </c>
      <c r="C113" s="101" t="str">
        <f ca="1">IFERROR(__xludf.DUMMYFUNCTION("REGEXREPLACE(B113, ""&lt;/loc&gt;"", """")"),"https://odysia-cruise-uk.client.prod.eu-west.dreamlake.io/cruise-calendar/british-isles-cruises")</f>
        <v>https://odysia-cruise-uk.client.prod.eu-west.dreamlake.io/cruise-calendar/british-isles-cruises</v>
      </c>
    </row>
    <row r="114" spans="1:5" ht="13">
      <c r="A114" s="100" t="s">
        <v>545</v>
      </c>
      <c r="B114" s="51" t="str">
        <f ca="1">IFERROR(__xludf.DUMMYFUNCTION("REGEXREPLACE(A114, ""&lt;loc&gt;"", """")"),"https://odysia-cruise-uk.client.prod.eu-west.dreamlake.io/cruise-lines/celebrity-cruises/celebrity-flora/cruises&lt;/loc&gt;")</f>
        <v>https://odysia-cruise-uk.client.prod.eu-west.dreamlake.io/cruise-lines/celebrity-cruises/celebrity-flora/cruises&lt;/loc&gt;</v>
      </c>
      <c r="C114" s="101" t="str">
        <f ca="1">IFERROR(__xludf.DUMMYFUNCTION("REGEXREPLACE(B114, ""&lt;/loc&gt;"", """")"),"https://odysia-cruise-uk.client.prod.eu-west.dreamlake.io/cruise-lines/celebrity-cruises/celebrity-flora/cruises")</f>
        <v>https://odysia-cruise-uk.client.prod.eu-west.dreamlake.io/cruise-lines/celebrity-cruises/celebrity-flora/cruises</v>
      </c>
      <c r="D114" s="51" t="s">
        <v>546</v>
      </c>
      <c r="E114" s="51" t="str">
        <f ca="1">IFERROR(__xludf.DUMMYFUNCTION("REGEXREPLACE(D114, ""https://odysia-cruise-uk.client.prod.eu-west.dreamlake.io"", """")"),"/cruise-lines/celebrity-cruises/celebrity-flora/cruises")</f>
        <v>/cruise-lines/celebrity-cruises/celebrity-flora/cruises</v>
      </c>
    </row>
    <row r="115" spans="1:5" ht="13">
      <c r="A115" s="100" t="s">
        <v>547</v>
      </c>
      <c r="B115" s="51" t="str">
        <f ca="1">IFERROR(__xludf.DUMMYFUNCTION("REGEXREPLACE(A115, ""&lt;loc&gt;"", """")"),"https://odysia-cruise-uk.client.prod.eu-west.dreamlake.io/cruise-lines/princess-cruises/island-princess&lt;/loc&gt;")</f>
        <v>https://odysia-cruise-uk.client.prod.eu-west.dreamlake.io/cruise-lines/princess-cruises/island-princess&lt;/loc&gt;</v>
      </c>
      <c r="C115" s="101" t="str">
        <f ca="1">IFERROR(__xludf.DUMMYFUNCTION("REGEXREPLACE(B115, ""&lt;/loc&gt;"", """")"),"https://odysia-cruise-uk.client.prod.eu-west.dreamlake.io/cruise-lines/princess-cruises/island-princess")</f>
        <v>https://odysia-cruise-uk.client.prod.eu-west.dreamlake.io/cruise-lines/princess-cruises/island-princess</v>
      </c>
      <c r="D115" s="51" t="s">
        <v>548</v>
      </c>
      <c r="E115" s="51" t="str">
        <f ca="1">IFERROR(__xludf.DUMMYFUNCTION("REGEXREPLACE(D115, ""https://odysia-cruise-uk.client.prod.eu-west.dreamlake.io"", """")"),"/cruise-lines/princess-cruises/island-princess")</f>
        <v>/cruise-lines/princess-cruises/island-princess</v>
      </c>
    </row>
    <row r="116" spans="1:5" ht="13">
      <c r="A116" s="100" t="s">
        <v>549</v>
      </c>
      <c r="B116" s="51" t="str">
        <f ca="1">IFERROR(__xludf.DUMMYFUNCTION("REGEXREPLACE(A116, ""&lt;loc&gt;"", """")"),"https://odysia-cruise-uk.client.prod.eu-west.dreamlake.io/cruise-lines/ambassador-cruise-line&lt;/loc&gt;")</f>
        <v>https://odysia-cruise-uk.client.prod.eu-west.dreamlake.io/cruise-lines/ambassador-cruise-line&lt;/loc&gt;</v>
      </c>
      <c r="C116" s="101" t="str">
        <f ca="1">IFERROR(__xludf.DUMMYFUNCTION("REGEXREPLACE(B116, ""&lt;/loc&gt;"", """")"),"https://odysia-cruise-uk.client.prod.eu-west.dreamlake.io/cruise-lines/ambassador-cruise-line")</f>
        <v>https://odysia-cruise-uk.client.prod.eu-west.dreamlake.io/cruise-lines/ambassador-cruise-line</v>
      </c>
      <c r="D116" s="51" t="s">
        <v>550</v>
      </c>
      <c r="E116" s="51" t="str">
        <f ca="1">IFERROR(__xludf.DUMMYFUNCTION("REGEXREPLACE(D116, ""https://odysia-cruise-uk.client.prod.eu-west.dreamlake.io"", """")"),"/cruise-lines/ambassador-cruise-line")</f>
        <v>/cruise-lines/ambassador-cruise-line</v>
      </c>
    </row>
    <row r="117" spans="1:5" ht="13">
      <c r="A117" s="100" t="s">
        <v>551</v>
      </c>
      <c r="B117" s="51" t="str">
        <f ca="1">IFERROR(__xludf.DUMMYFUNCTION("REGEXREPLACE(A117, ""&lt;loc&gt;"", """")"),"https://odysia-cruise-uk.client.prod.eu-west.dreamlake.io/cruise-lines/cunard/queen-mary-2/cruises&lt;/loc&gt;")</f>
        <v>https://odysia-cruise-uk.client.prod.eu-west.dreamlake.io/cruise-lines/cunard/queen-mary-2/cruises&lt;/loc&gt;</v>
      </c>
      <c r="C117" s="101" t="str">
        <f ca="1">IFERROR(__xludf.DUMMYFUNCTION("REGEXREPLACE(B117, ""&lt;/loc&gt;"", """")"),"https://odysia-cruise-uk.client.prod.eu-west.dreamlake.io/cruise-lines/cunard/queen-mary-2/cruises")</f>
        <v>https://odysia-cruise-uk.client.prod.eu-west.dreamlake.io/cruise-lines/cunard/queen-mary-2/cruises</v>
      </c>
      <c r="D117" s="51" t="s">
        <v>552</v>
      </c>
      <c r="E117" s="51" t="str">
        <f ca="1">IFERROR(__xludf.DUMMYFUNCTION("REGEXREPLACE(D117, ""https://odysia-cruise-uk.client.prod.eu-west.dreamlake.io"", """")"),"/cruise-lines/cunard/queen-mary-2/cruises")</f>
        <v>/cruise-lines/cunard/queen-mary-2/cruises</v>
      </c>
    </row>
    <row r="118" spans="1:5" ht="13">
      <c r="A118" s="100" t="s">
        <v>553</v>
      </c>
      <c r="B118" s="51" t="str">
        <f ca="1">IFERROR(__xludf.DUMMYFUNCTION("REGEXREPLACE(A118, ""&lt;loc&gt;"", """")"),"https://odysia-cruise-uk.client.prod.eu-west.dreamlake.io/cruise-lines/fred-olsen-cruises/balmoral/cruises&lt;/loc&gt;")</f>
        <v>https://odysia-cruise-uk.client.prod.eu-west.dreamlake.io/cruise-lines/fred-olsen-cruises/balmoral/cruises&lt;/loc&gt;</v>
      </c>
      <c r="C118" s="101" t="str">
        <f ca="1">IFERROR(__xludf.DUMMYFUNCTION("REGEXREPLACE(B118, ""&lt;/loc&gt;"", """")"),"https://odysia-cruise-uk.client.prod.eu-west.dreamlake.io/cruise-lines/fred-olsen-cruises/balmoral/cruises")</f>
        <v>https://odysia-cruise-uk.client.prod.eu-west.dreamlake.io/cruise-lines/fred-olsen-cruises/balmoral/cruises</v>
      </c>
      <c r="D118" s="51" t="s">
        <v>554</v>
      </c>
      <c r="E118" s="51" t="str">
        <f ca="1">IFERROR(__xludf.DUMMYFUNCTION("REGEXREPLACE(D118, ""https://odysia-cruise-uk.client.prod.eu-west.dreamlake.io"", """")"),"/cruise-lines/fred-olsen-cruises/balmoral/cruises")</f>
        <v>/cruise-lines/fred-olsen-cruises/balmoral/cruises</v>
      </c>
    </row>
    <row r="119" spans="1:5" ht="13">
      <c r="A119" s="100" t="s">
        <v>555</v>
      </c>
      <c r="B119" s="51" t="str">
        <f ca="1">IFERROR(__xludf.DUMMYFUNCTION("REGEXREPLACE(A119, ""&lt;loc&gt;"", """")"),"https://odysia-cruise-uk.client.prod.eu-west.dreamlake.io/cruise-lines/oceania-cruises/oceania-regatta&lt;/loc&gt;")</f>
        <v>https://odysia-cruise-uk.client.prod.eu-west.dreamlake.io/cruise-lines/oceania-cruises/oceania-regatta&lt;/loc&gt;</v>
      </c>
      <c r="C119" s="101" t="str">
        <f ca="1">IFERROR(__xludf.DUMMYFUNCTION("REGEXREPLACE(B119, ""&lt;/loc&gt;"", """")"),"https://odysia-cruise-uk.client.prod.eu-west.dreamlake.io/cruise-lines/oceania-cruises/oceania-regatta")</f>
        <v>https://odysia-cruise-uk.client.prod.eu-west.dreamlake.io/cruise-lines/oceania-cruises/oceania-regatta</v>
      </c>
      <c r="D119" s="51" t="s">
        <v>556</v>
      </c>
      <c r="E119" s="51" t="str">
        <f ca="1">IFERROR(__xludf.DUMMYFUNCTION("REGEXREPLACE(D119, ""https://odysia-cruise-uk.client.prod.eu-west.dreamlake.io"", """")"),"/cruise-lines/oceania-cruises/oceania-regatta")</f>
        <v>/cruise-lines/oceania-cruises/oceania-regatta</v>
      </c>
    </row>
    <row r="120" spans="1:5" ht="13">
      <c r="A120" s="100" t="s">
        <v>557</v>
      </c>
      <c r="B120" s="51" t="str">
        <f ca="1">IFERROR(__xludf.DUMMYFUNCTION("REGEXREPLACE(A120, ""&lt;loc&gt;"", """")"),"https://odysia-cruise-uk.client.prod.eu-west.dreamlake.io/cruise-lines/po-cruises/iona/cruises&lt;/loc&gt;")</f>
        <v>https://odysia-cruise-uk.client.prod.eu-west.dreamlake.io/cruise-lines/po-cruises/iona/cruises&lt;/loc&gt;</v>
      </c>
      <c r="C120" s="101" t="str">
        <f ca="1">IFERROR(__xludf.DUMMYFUNCTION("REGEXREPLACE(B120, ""&lt;/loc&gt;"", """")"),"https://odysia-cruise-uk.client.prod.eu-west.dreamlake.io/cruise-lines/po-cruises/iona/cruises")</f>
        <v>https://odysia-cruise-uk.client.prod.eu-west.dreamlake.io/cruise-lines/po-cruises/iona/cruises</v>
      </c>
      <c r="D120" s="51" t="s">
        <v>558</v>
      </c>
      <c r="E120" s="51" t="str">
        <f ca="1">IFERROR(__xludf.DUMMYFUNCTION("REGEXREPLACE(D120, ""https://odysia-cruise-uk.client.prod.eu-west.dreamlake.io"", """")"),"/cruise-lines/po-cruises/iona/cruises")</f>
        <v>/cruise-lines/po-cruises/iona/cruises</v>
      </c>
    </row>
    <row r="121" spans="1:5" ht="13">
      <c r="A121" s="100" t="s">
        <v>559</v>
      </c>
      <c r="B121" s="51" t="str">
        <f ca="1">IFERROR(__xludf.DUMMYFUNCTION("REGEXREPLACE(A121, ""&lt;loc&gt;"", """")"),"https://odysia-cruise-uk.client.prod.eu-west.dreamlake.io/cruise-lines/virgin-voyages&lt;/loc&gt;")</f>
        <v>https://odysia-cruise-uk.client.prod.eu-west.dreamlake.io/cruise-lines/virgin-voyages&lt;/loc&gt;</v>
      </c>
      <c r="C121" s="101" t="str">
        <f ca="1">IFERROR(__xludf.DUMMYFUNCTION("REGEXREPLACE(B121, ""&lt;/loc&gt;"", """")"),"https://odysia-cruise-uk.client.prod.eu-west.dreamlake.io/cruise-lines/virgin-voyages")</f>
        <v>https://odysia-cruise-uk.client.prod.eu-west.dreamlake.io/cruise-lines/virgin-voyages</v>
      </c>
      <c r="D121" s="51" t="s">
        <v>560</v>
      </c>
      <c r="E121" s="51" t="str">
        <f ca="1">IFERROR(__xludf.DUMMYFUNCTION("REGEXREPLACE(D121, ""https://odysia-cruise-uk.client.prod.eu-west.dreamlake.io"", """")"),"/cruise-lines/virgin-voyages")</f>
        <v>/cruise-lines/virgin-voyages</v>
      </c>
    </row>
    <row r="122" spans="1:5" ht="13">
      <c r="A122" s="100" t="s">
        <v>561</v>
      </c>
      <c r="B122" s="51" t="str">
        <f ca="1">IFERROR(__xludf.DUMMYFUNCTION("REGEXREPLACE(A122, ""&lt;loc&gt;"", """")"),"https://odysia-cruise-uk.client.prod.eu-west.dreamlake.io/cruise-lines/norwegian-cruise-line/norwegian-viva/cruises&lt;/loc&gt;")</f>
        <v>https://odysia-cruise-uk.client.prod.eu-west.dreamlake.io/cruise-lines/norwegian-cruise-line/norwegian-viva/cruises&lt;/loc&gt;</v>
      </c>
      <c r="C122" s="101" t="str">
        <f ca="1">IFERROR(__xludf.DUMMYFUNCTION("REGEXREPLACE(B122, ""&lt;/loc&gt;"", """")"),"https://odysia-cruise-uk.client.prod.eu-west.dreamlake.io/cruise-lines/norwegian-cruise-line/norwegian-viva/cruises")</f>
        <v>https://odysia-cruise-uk.client.prod.eu-west.dreamlake.io/cruise-lines/norwegian-cruise-line/norwegian-viva/cruises</v>
      </c>
      <c r="D122" s="51" t="s">
        <v>562</v>
      </c>
      <c r="E122" s="51" t="str">
        <f ca="1">IFERROR(__xludf.DUMMYFUNCTION("REGEXREPLACE(D122, ""https://odysia-cruise-uk.client.prod.eu-west.dreamlake.io"", """")"),"/cruise-lines/norwegian-cruise-line/norwegian-viva/cruises")</f>
        <v>/cruise-lines/norwegian-cruise-line/norwegian-viva/cruises</v>
      </c>
    </row>
    <row r="123" spans="1:5" ht="13">
      <c r="A123" s="100" t="s">
        <v>563</v>
      </c>
      <c r="B123" s="51" t="str">
        <f ca="1">IFERROR(__xludf.DUMMYFUNCTION("REGEXREPLACE(A123, ""&lt;loc&gt;"", """")"),"https://odysia-cruise-uk.client.prod.eu-west.dreamlake.io/cruise-lines/princess-cruises/emerald-princess/cruises&lt;/loc&gt;")</f>
        <v>https://odysia-cruise-uk.client.prod.eu-west.dreamlake.io/cruise-lines/princess-cruises/emerald-princess/cruises&lt;/loc&gt;</v>
      </c>
      <c r="C123" s="101" t="str">
        <f ca="1">IFERROR(__xludf.DUMMYFUNCTION("REGEXREPLACE(B123, ""&lt;/loc&gt;"", """")"),"https://odysia-cruise-uk.client.prod.eu-west.dreamlake.io/cruise-lines/princess-cruises/emerald-princess/cruises")</f>
        <v>https://odysia-cruise-uk.client.prod.eu-west.dreamlake.io/cruise-lines/princess-cruises/emerald-princess/cruises</v>
      </c>
      <c r="D123" s="51" t="s">
        <v>564</v>
      </c>
      <c r="E123" s="51" t="str">
        <f ca="1">IFERROR(__xludf.DUMMYFUNCTION("REGEXREPLACE(D123, ""https://odysia-cruise-uk.client.prod.eu-west.dreamlake.io"", """")"),"/cruise-lines/princess-cruises/emerald-princess/cruises")</f>
        <v>/cruise-lines/princess-cruises/emerald-princess/cruises</v>
      </c>
    </row>
    <row r="124" spans="1:5" ht="13">
      <c r="A124" s="100" t="s">
        <v>565</v>
      </c>
      <c r="B124" s="51" t="str">
        <f ca="1">IFERROR(__xludf.DUMMYFUNCTION("REGEXREPLACE(A124, ""&lt;loc&gt;"", """")"),"https://odysia-cruise-uk.client.prod.eu-west.dreamlake.io/cruise-lines/costa-cruises/costa-smeralda&lt;/loc&gt;")</f>
        <v>https://odysia-cruise-uk.client.prod.eu-west.dreamlake.io/cruise-lines/costa-cruises/costa-smeralda&lt;/loc&gt;</v>
      </c>
      <c r="C124" s="101" t="str">
        <f ca="1">IFERROR(__xludf.DUMMYFUNCTION("REGEXREPLACE(B124, ""&lt;/loc&gt;"", """")"),"https://odysia-cruise-uk.client.prod.eu-west.dreamlake.io/cruise-lines/costa-cruises/costa-smeralda")</f>
        <v>https://odysia-cruise-uk.client.prod.eu-west.dreamlake.io/cruise-lines/costa-cruises/costa-smeralda</v>
      </c>
      <c r="D124" s="51" t="s">
        <v>566</v>
      </c>
      <c r="E124" s="51" t="str">
        <f ca="1">IFERROR(__xludf.DUMMYFUNCTION("REGEXREPLACE(D124, ""https://odysia-cruise-uk.client.prod.eu-west.dreamlake.io"", """")"),"/cruise-lines/costa-cruises/costa-smeralda")</f>
        <v>/cruise-lines/costa-cruises/costa-smeralda</v>
      </c>
    </row>
    <row r="125" spans="1:5" ht="13">
      <c r="A125" s="100" t="s">
        <v>567</v>
      </c>
      <c r="B125" s="51" t="str">
        <f ca="1">IFERROR(__xludf.DUMMYFUNCTION("REGEXREPLACE(A125, ""&lt;loc&gt;"", """")"),"https://odysia-cruise-uk.client.prod.eu-west.dreamlake.io/cruise-lines/msc-cruises/msc-seaside/cruises&lt;/loc&gt;")</f>
        <v>https://odysia-cruise-uk.client.prod.eu-west.dreamlake.io/cruise-lines/msc-cruises/msc-seaside/cruises&lt;/loc&gt;</v>
      </c>
      <c r="C125" s="101" t="str">
        <f ca="1">IFERROR(__xludf.DUMMYFUNCTION("REGEXREPLACE(B125, ""&lt;/loc&gt;"", """")"),"https://odysia-cruise-uk.client.prod.eu-west.dreamlake.io/cruise-lines/msc-cruises/msc-seaside/cruises")</f>
        <v>https://odysia-cruise-uk.client.prod.eu-west.dreamlake.io/cruise-lines/msc-cruises/msc-seaside/cruises</v>
      </c>
      <c r="D125" s="51" t="s">
        <v>568</v>
      </c>
      <c r="E125" s="51" t="str">
        <f ca="1">IFERROR(__xludf.DUMMYFUNCTION("REGEXREPLACE(D125, ""https://odysia-cruise-uk.client.prod.eu-west.dreamlake.io"", """")"),"/cruise-lines/msc-cruises/msc-seaside/cruises")</f>
        <v>/cruise-lines/msc-cruises/msc-seaside/cruises</v>
      </c>
    </row>
    <row r="126" spans="1:5" ht="13">
      <c r="A126" s="100" t="s">
        <v>569</v>
      </c>
      <c r="B126" s="51" t="str">
        <f ca="1">IFERROR(__xludf.DUMMYFUNCTION("REGEXREPLACE(A126, ""&lt;loc&gt;"", """")"),"https://odysia-cruise-uk.client.prod.eu-west.dreamlake.io/cruise-lines/royal-caribbean/serenade-of-the-seas&lt;/loc&gt;")</f>
        <v>https://odysia-cruise-uk.client.prod.eu-west.dreamlake.io/cruise-lines/royal-caribbean/serenade-of-the-seas&lt;/loc&gt;</v>
      </c>
      <c r="C126" s="101" t="str">
        <f ca="1">IFERROR(__xludf.DUMMYFUNCTION("REGEXREPLACE(B126, ""&lt;/loc&gt;"", """")"),"https://odysia-cruise-uk.client.prod.eu-west.dreamlake.io/cruise-lines/royal-caribbean/serenade-of-the-seas")</f>
        <v>https://odysia-cruise-uk.client.prod.eu-west.dreamlake.io/cruise-lines/royal-caribbean/serenade-of-the-seas</v>
      </c>
      <c r="D126" s="51" t="s">
        <v>570</v>
      </c>
      <c r="E126" s="51" t="str">
        <f ca="1">IFERROR(__xludf.DUMMYFUNCTION("REGEXREPLACE(D126, ""https://odysia-cruise-uk.client.prod.eu-west.dreamlake.io"", """")"),"/cruise-lines/royal-caribbean/serenade-of-the-seas")</f>
        <v>/cruise-lines/royal-caribbean/serenade-of-the-seas</v>
      </c>
    </row>
    <row r="127" spans="1:5" ht="13">
      <c r="A127" s="100" t="s">
        <v>571</v>
      </c>
      <c r="B127" s="51" t="str">
        <f ca="1">IFERROR(__xludf.DUMMYFUNCTION("REGEXREPLACE(A127, ""&lt;loc&gt;"", """")"),"https://odysia-cruise-uk.client.prod.eu-west.dreamlake.io/cruise-lines/msc-cruises/msc-opera/cruises&lt;/loc&gt;")</f>
        <v>https://odysia-cruise-uk.client.prod.eu-west.dreamlake.io/cruise-lines/msc-cruises/msc-opera/cruises&lt;/loc&gt;</v>
      </c>
      <c r="C127" s="101" t="str">
        <f ca="1">IFERROR(__xludf.DUMMYFUNCTION("REGEXREPLACE(B127, ""&lt;/loc&gt;"", """")"),"https://odysia-cruise-uk.client.prod.eu-west.dreamlake.io/cruise-lines/msc-cruises/msc-opera/cruises")</f>
        <v>https://odysia-cruise-uk.client.prod.eu-west.dreamlake.io/cruise-lines/msc-cruises/msc-opera/cruises</v>
      </c>
      <c r="D127" s="51" t="s">
        <v>572</v>
      </c>
      <c r="E127" s="51" t="str">
        <f ca="1">IFERROR(__xludf.DUMMYFUNCTION("REGEXREPLACE(D127, ""https://odysia-cruise-uk.client.prod.eu-west.dreamlake.io"", """")"),"/cruise-lines/msc-cruises/msc-opera/cruises")</f>
        <v>/cruise-lines/msc-cruises/msc-opera/cruises</v>
      </c>
    </row>
    <row r="128" spans="1:5" ht="13">
      <c r="A128" s="100" t="s">
        <v>573</v>
      </c>
      <c r="B128" s="51" t="str">
        <f ca="1">IFERROR(__xludf.DUMMYFUNCTION("REGEXREPLACE(A128, ""&lt;loc&gt;"", """")"),"https://odysia-cruise-uk.client.prod.eu-west.dreamlake.io/cruise-lines/celebrity-cruises/celebrity-eclipse/cruises&lt;/loc&gt;")</f>
        <v>https://odysia-cruise-uk.client.prod.eu-west.dreamlake.io/cruise-lines/celebrity-cruises/celebrity-eclipse/cruises&lt;/loc&gt;</v>
      </c>
      <c r="C128" s="101" t="str">
        <f ca="1">IFERROR(__xludf.DUMMYFUNCTION("REGEXREPLACE(B128, ""&lt;/loc&gt;"", """")"),"https://odysia-cruise-uk.client.prod.eu-west.dreamlake.io/cruise-lines/celebrity-cruises/celebrity-eclipse/cruises")</f>
        <v>https://odysia-cruise-uk.client.prod.eu-west.dreamlake.io/cruise-lines/celebrity-cruises/celebrity-eclipse/cruises</v>
      </c>
      <c r="D128" s="51" t="s">
        <v>574</v>
      </c>
      <c r="E128" s="51" t="str">
        <f ca="1">IFERROR(__xludf.DUMMYFUNCTION("REGEXREPLACE(D128, ""https://odysia-cruise-uk.client.prod.eu-west.dreamlake.io"", """")"),"/cruise-lines/celebrity-cruises/celebrity-eclipse/cruises")</f>
        <v>/cruise-lines/celebrity-cruises/celebrity-eclipse/cruises</v>
      </c>
    </row>
    <row r="129" spans="1:5" ht="13">
      <c r="A129" s="100" t="s">
        <v>575</v>
      </c>
      <c r="B129" s="51" t="str">
        <f ca="1">IFERROR(__xludf.DUMMYFUNCTION("REGEXREPLACE(A129, ""&lt;loc&gt;"", """")"),"https://odysia-cruise-uk.client.prod.eu-west.dreamlake.io/cruise-lines/fred-olsen-cruises/borealis&lt;/loc&gt;")</f>
        <v>https://odysia-cruise-uk.client.prod.eu-west.dreamlake.io/cruise-lines/fred-olsen-cruises/borealis&lt;/loc&gt;</v>
      </c>
      <c r="C129" s="101" t="str">
        <f ca="1">IFERROR(__xludf.DUMMYFUNCTION("REGEXREPLACE(B129, ""&lt;/loc&gt;"", """")"),"https://odysia-cruise-uk.client.prod.eu-west.dreamlake.io/cruise-lines/fred-olsen-cruises/borealis")</f>
        <v>https://odysia-cruise-uk.client.prod.eu-west.dreamlake.io/cruise-lines/fred-olsen-cruises/borealis</v>
      </c>
      <c r="D129" s="51" t="s">
        <v>576</v>
      </c>
      <c r="E129" s="51" t="str">
        <f ca="1">IFERROR(__xludf.DUMMYFUNCTION("REGEXREPLACE(D129, ""https://odysia-cruise-uk.client.prod.eu-west.dreamlake.io"", """")"),"/cruise-lines/fred-olsen-cruises/borealis")</f>
        <v>/cruise-lines/fred-olsen-cruises/borealis</v>
      </c>
    </row>
    <row r="130" spans="1:5" ht="13">
      <c r="A130" s="100" t="s">
        <v>577</v>
      </c>
      <c r="B130" s="51" t="str">
        <f ca="1">IFERROR(__xludf.DUMMYFUNCTION("REGEXREPLACE(A130, ""&lt;loc&gt;"", """")"),"https://odysia-cruise-uk.client.prod.eu-west.dreamlake.io/cruise-lines/costa-cruises/costa-diadema/cruises&lt;/loc&gt;")</f>
        <v>https://odysia-cruise-uk.client.prod.eu-west.dreamlake.io/cruise-lines/costa-cruises/costa-diadema/cruises&lt;/loc&gt;</v>
      </c>
      <c r="C130" s="101" t="str">
        <f ca="1">IFERROR(__xludf.DUMMYFUNCTION("REGEXREPLACE(B130, ""&lt;/loc&gt;"", """")"),"https://odysia-cruise-uk.client.prod.eu-west.dreamlake.io/cruise-lines/costa-cruises/costa-diadema/cruises")</f>
        <v>https://odysia-cruise-uk.client.prod.eu-west.dreamlake.io/cruise-lines/costa-cruises/costa-diadema/cruises</v>
      </c>
      <c r="D130" s="51" t="s">
        <v>578</v>
      </c>
      <c r="E130" s="51" t="str">
        <f ca="1">IFERROR(__xludf.DUMMYFUNCTION("REGEXREPLACE(D130, ""https://odysia-cruise-uk.client.prod.eu-west.dreamlake.io"", """")"),"/cruise-lines/costa-cruises/costa-diadema/cruises")</f>
        <v>/cruise-lines/costa-cruises/costa-diadema/cruises</v>
      </c>
    </row>
    <row r="131" spans="1:5" ht="13">
      <c r="A131" s="100" t="s">
        <v>579</v>
      </c>
      <c r="B131" s="51" t="str">
        <f ca="1">IFERROR(__xludf.DUMMYFUNCTION("REGEXREPLACE(A131, ""&lt;loc&gt;"", """")"),"https://odysia-cruise-uk.client.prod.eu-west.dreamlake.io/cruise-lines/norwegian-cruise-line/norwegian-breakaway&lt;/loc&gt;")</f>
        <v>https://odysia-cruise-uk.client.prod.eu-west.dreamlake.io/cruise-lines/norwegian-cruise-line/norwegian-breakaway&lt;/loc&gt;</v>
      </c>
      <c r="C131" s="101" t="str">
        <f ca="1">IFERROR(__xludf.DUMMYFUNCTION("REGEXREPLACE(B131, ""&lt;/loc&gt;"", """")"),"https://odysia-cruise-uk.client.prod.eu-west.dreamlake.io/cruise-lines/norwegian-cruise-line/norwegian-breakaway")</f>
        <v>https://odysia-cruise-uk.client.prod.eu-west.dreamlake.io/cruise-lines/norwegian-cruise-line/norwegian-breakaway</v>
      </c>
      <c r="D131" s="51" t="s">
        <v>580</v>
      </c>
      <c r="E131" s="51" t="str">
        <f ca="1">IFERROR(__xludf.DUMMYFUNCTION("REGEXREPLACE(D131, ""https://odysia-cruise-uk.client.prod.eu-west.dreamlake.io"", """")"),"/cruise-lines/norwegian-cruise-line/norwegian-breakaway")</f>
        <v>/cruise-lines/norwegian-cruise-line/norwegian-breakaway</v>
      </c>
    </row>
    <row r="132" spans="1:5" ht="13">
      <c r="A132" s="100" t="s">
        <v>581</v>
      </c>
      <c r="B132" s="51" t="str">
        <f ca="1">IFERROR(__xludf.DUMMYFUNCTION("REGEXREPLACE(A132, ""&lt;loc&gt;"", """")"),"https://odysia-cruise-uk.client.prod.eu-west.dreamlake.io/cruise-lines/regent-seven-seas-cruises/cruises&lt;/loc&gt;")</f>
        <v>https://odysia-cruise-uk.client.prod.eu-west.dreamlake.io/cruise-lines/regent-seven-seas-cruises/cruises&lt;/loc&gt;</v>
      </c>
      <c r="C132" s="101" t="str">
        <f ca="1">IFERROR(__xludf.DUMMYFUNCTION("REGEXREPLACE(B132, ""&lt;/loc&gt;"", """")"),"https://odysia-cruise-uk.client.prod.eu-west.dreamlake.io/cruise-lines/regent-seven-seas-cruises/cruises")</f>
        <v>https://odysia-cruise-uk.client.prod.eu-west.dreamlake.io/cruise-lines/regent-seven-seas-cruises/cruises</v>
      </c>
      <c r="D132" s="51" t="s">
        <v>582</v>
      </c>
      <c r="E132" s="51" t="str">
        <f ca="1">IFERROR(__xludf.DUMMYFUNCTION("REGEXREPLACE(D132, ""https://odysia-cruise-uk.client.prod.eu-west.dreamlake.io"", """")"),"/cruise-lines/regent-seven-seas-cruises/cruises")</f>
        <v>/cruise-lines/regent-seven-seas-cruises/cruises</v>
      </c>
    </row>
    <row r="133" spans="1:5" ht="13">
      <c r="A133" s="100" t="s">
        <v>583</v>
      </c>
      <c r="B133" s="51" t="str">
        <f ca="1">IFERROR(__xludf.DUMMYFUNCTION("REGEXREPLACE(A133, ""&lt;loc&gt;"", """")"),"https://odysia-cruise-uk.client.prod.eu-west.dreamlake.io/cruise-lines/fred-olsen-cruises/bolette/cruises&lt;/loc&gt;")</f>
        <v>https://odysia-cruise-uk.client.prod.eu-west.dreamlake.io/cruise-lines/fred-olsen-cruises/bolette/cruises&lt;/loc&gt;</v>
      </c>
      <c r="C133" s="101" t="str">
        <f ca="1">IFERROR(__xludf.DUMMYFUNCTION("REGEXREPLACE(B133, ""&lt;/loc&gt;"", """")"),"https://odysia-cruise-uk.client.prod.eu-west.dreamlake.io/cruise-lines/fred-olsen-cruises/bolette/cruises")</f>
        <v>https://odysia-cruise-uk.client.prod.eu-west.dreamlake.io/cruise-lines/fred-olsen-cruises/bolette/cruises</v>
      </c>
      <c r="D133" s="51" t="s">
        <v>584</v>
      </c>
      <c r="E133" s="51" t="str">
        <f ca="1">IFERROR(__xludf.DUMMYFUNCTION("REGEXREPLACE(D133, ""https://odysia-cruise-uk.client.prod.eu-west.dreamlake.io"", """")"),"/cruise-lines/fred-olsen-cruises/bolette/cruises")</f>
        <v>/cruise-lines/fred-olsen-cruises/bolette/cruises</v>
      </c>
    </row>
    <row r="134" spans="1:5" ht="13">
      <c r="A134" s="100" t="s">
        <v>585</v>
      </c>
      <c r="B134" s="51" t="str">
        <f ca="1">IFERROR(__xludf.DUMMYFUNCTION("REGEXREPLACE(A134, ""&lt;loc&gt;"", """")"),"https://odysia-cruise-uk.client.prod.eu-west.dreamlake.io/cruise-lines/msc-cruises/msc-armonia/cruises&lt;/loc&gt;")</f>
        <v>https://odysia-cruise-uk.client.prod.eu-west.dreamlake.io/cruise-lines/msc-cruises/msc-armonia/cruises&lt;/loc&gt;</v>
      </c>
      <c r="C134" s="101" t="str">
        <f ca="1">IFERROR(__xludf.DUMMYFUNCTION("REGEXREPLACE(B134, ""&lt;/loc&gt;"", """")"),"https://odysia-cruise-uk.client.prod.eu-west.dreamlake.io/cruise-lines/msc-cruises/msc-armonia/cruises")</f>
        <v>https://odysia-cruise-uk.client.prod.eu-west.dreamlake.io/cruise-lines/msc-cruises/msc-armonia/cruises</v>
      </c>
      <c r="D134" s="51" t="s">
        <v>586</v>
      </c>
      <c r="E134" s="51" t="str">
        <f ca="1">IFERROR(__xludf.DUMMYFUNCTION("REGEXREPLACE(D134, ""https://odysia-cruise-uk.client.prod.eu-west.dreamlake.io"", """")"),"/cruise-lines/msc-cruises/msc-armonia/cruises")</f>
        <v>/cruise-lines/msc-cruises/msc-armonia/cruises</v>
      </c>
    </row>
    <row r="135" spans="1:5" ht="13">
      <c r="A135" s="100" t="s">
        <v>587</v>
      </c>
      <c r="B135" s="51" t="str">
        <f ca="1">IFERROR(__xludf.DUMMYFUNCTION("REGEXREPLACE(A135, ""&lt;loc&gt;"", """")"),"https://odysia-cruise-uk.client.prod.eu-west.dreamlake.io/cruise-lines/norwegian-cruise-line/norwegian-encore&lt;/loc&gt;")</f>
        <v>https://odysia-cruise-uk.client.prod.eu-west.dreamlake.io/cruise-lines/norwegian-cruise-line/norwegian-encore&lt;/loc&gt;</v>
      </c>
      <c r="C135" s="101" t="str">
        <f ca="1">IFERROR(__xludf.DUMMYFUNCTION("REGEXREPLACE(B135, ""&lt;/loc&gt;"", """")"),"https://odysia-cruise-uk.client.prod.eu-west.dreamlake.io/cruise-lines/norwegian-cruise-line/norwegian-encore")</f>
        <v>https://odysia-cruise-uk.client.prod.eu-west.dreamlake.io/cruise-lines/norwegian-cruise-line/norwegian-encore</v>
      </c>
      <c r="D135" s="51" t="s">
        <v>588</v>
      </c>
      <c r="E135" s="51" t="str">
        <f ca="1">IFERROR(__xludf.DUMMYFUNCTION("REGEXREPLACE(D135, ""https://odysia-cruise-uk.client.prod.eu-west.dreamlake.io"", """")"),"/cruise-lines/norwegian-cruise-line/norwegian-encore")</f>
        <v>/cruise-lines/norwegian-cruise-line/norwegian-encore</v>
      </c>
    </row>
    <row r="136" spans="1:5" ht="13">
      <c r="A136" s="100" t="s">
        <v>589</v>
      </c>
      <c r="B136" s="51" t="str">
        <f ca="1">IFERROR(__xludf.DUMMYFUNCTION("REGEXREPLACE(A136, ""&lt;loc&gt;"", """")"),"https://odysia-cruise-uk.client.prod.eu-west.dreamlake.io/cruise-lines/po-cruises/azura/cruises&lt;/loc&gt;")</f>
        <v>https://odysia-cruise-uk.client.prod.eu-west.dreamlake.io/cruise-lines/po-cruises/azura/cruises&lt;/loc&gt;</v>
      </c>
      <c r="C136" s="101" t="str">
        <f ca="1">IFERROR(__xludf.DUMMYFUNCTION("REGEXREPLACE(B136, ""&lt;/loc&gt;"", """")"),"https://odysia-cruise-uk.client.prod.eu-west.dreamlake.io/cruise-lines/po-cruises/azura/cruises")</f>
        <v>https://odysia-cruise-uk.client.prod.eu-west.dreamlake.io/cruise-lines/po-cruises/azura/cruises</v>
      </c>
      <c r="D136" s="51" t="s">
        <v>590</v>
      </c>
      <c r="E136" s="51" t="str">
        <f ca="1">IFERROR(__xludf.DUMMYFUNCTION("REGEXREPLACE(D136, ""https://odysia-cruise-uk.client.prod.eu-west.dreamlake.io"", """")"),"/cruise-lines/po-cruises/azura/cruises")</f>
        <v>/cruise-lines/po-cruises/azura/cruises</v>
      </c>
    </row>
    <row r="137" spans="1:5" ht="13">
      <c r="A137" s="100" t="s">
        <v>591</v>
      </c>
      <c r="B137" s="51" t="str">
        <f ca="1">IFERROR(__xludf.DUMMYFUNCTION("REGEXREPLACE(A137, ""&lt;loc&gt;"", """")"),"https://odysia-cruise-uk.client.prod.eu-west.dreamlake.io/cruise-lines/celebrity-cruises/celebrity-flora&lt;/loc&gt;")</f>
        <v>https://odysia-cruise-uk.client.prod.eu-west.dreamlake.io/cruise-lines/celebrity-cruises/celebrity-flora&lt;/loc&gt;</v>
      </c>
      <c r="C137" s="101" t="str">
        <f ca="1">IFERROR(__xludf.DUMMYFUNCTION("REGEXREPLACE(B137, ""&lt;/loc&gt;"", """")"),"https://odysia-cruise-uk.client.prod.eu-west.dreamlake.io/cruise-lines/celebrity-cruises/celebrity-flora")</f>
        <v>https://odysia-cruise-uk.client.prod.eu-west.dreamlake.io/cruise-lines/celebrity-cruises/celebrity-flora</v>
      </c>
      <c r="D137" s="51" t="s">
        <v>592</v>
      </c>
      <c r="E137" s="51" t="str">
        <f ca="1">IFERROR(__xludf.DUMMYFUNCTION("REGEXREPLACE(D137, ""https://odysia-cruise-uk.client.prod.eu-west.dreamlake.io"", """")"),"/cruise-lines/celebrity-cruises/celebrity-flora")</f>
        <v>/cruise-lines/celebrity-cruises/celebrity-flora</v>
      </c>
    </row>
    <row r="138" spans="1:5" ht="13">
      <c r="A138" s="100" t="s">
        <v>593</v>
      </c>
      <c r="B138" s="51" t="str">
        <f ca="1">IFERROR(__xludf.DUMMYFUNCTION("REGEXREPLACE(A138, ""&lt;loc&gt;"", """")"),"https://odysia-cruise-uk.client.prod.eu-west.dreamlake.io/cruise-lines/msc-cruises/msc-seashore&lt;/loc&gt;")</f>
        <v>https://odysia-cruise-uk.client.prod.eu-west.dreamlake.io/cruise-lines/msc-cruises/msc-seashore&lt;/loc&gt;</v>
      </c>
      <c r="C138" s="101" t="str">
        <f ca="1">IFERROR(__xludf.DUMMYFUNCTION("REGEXREPLACE(B138, ""&lt;/loc&gt;"", """")"),"https://odysia-cruise-uk.client.prod.eu-west.dreamlake.io/cruise-lines/msc-cruises/msc-seashore")</f>
        <v>https://odysia-cruise-uk.client.prod.eu-west.dreamlake.io/cruise-lines/msc-cruises/msc-seashore</v>
      </c>
      <c r="D138" s="51" t="s">
        <v>594</v>
      </c>
      <c r="E138" s="51" t="str">
        <f ca="1">IFERROR(__xludf.DUMMYFUNCTION("REGEXREPLACE(D138, ""https://odysia-cruise-uk.client.prod.eu-west.dreamlake.io"", """")"),"/cruise-lines/msc-cruises/msc-seashore")</f>
        <v>/cruise-lines/msc-cruises/msc-seashore</v>
      </c>
    </row>
    <row r="139" spans="1:5" ht="13">
      <c r="A139" s="100" t="s">
        <v>595</v>
      </c>
      <c r="B139" s="51" t="str">
        <f ca="1">IFERROR(__xludf.DUMMYFUNCTION("REGEXREPLACE(A139, ""&lt;loc&gt;"", """")"),"https://odysia-cruise-uk.client.prod.eu-west.dreamlake.io/cruise-lines/costa-cruises/costa-fascinosa/cruises&lt;/loc&gt;")</f>
        <v>https://odysia-cruise-uk.client.prod.eu-west.dreamlake.io/cruise-lines/costa-cruises/costa-fascinosa/cruises&lt;/loc&gt;</v>
      </c>
      <c r="C139" s="101" t="str">
        <f ca="1">IFERROR(__xludf.DUMMYFUNCTION("REGEXREPLACE(B139, ""&lt;/loc&gt;"", """")"),"https://odysia-cruise-uk.client.prod.eu-west.dreamlake.io/cruise-lines/costa-cruises/costa-fascinosa/cruises")</f>
        <v>https://odysia-cruise-uk.client.prod.eu-west.dreamlake.io/cruise-lines/costa-cruises/costa-fascinosa/cruises</v>
      </c>
      <c r="D139" s="51" t="s">
        <v>596</v>
      </c>
      <c r="E139" s="51" t="str">
        <f ca="1">IFERROR(__xludf.DUMMYFUNCTION("REGEXREPLACE(D139, ""https://odysia-cruise-uk.client.prod.eu-west.dreamlake.io"", """")"),"/cruise-lines/costa-cruises/costa-fascinosa/cruises")</f>
        <v>/cruise-lines/costa-cruises/costa-fascinosa/cruises</v>
      </c>
    </row>
    <row r="140" spans="1:5" ht="13">
      <c r="A140" s="100" t="s">
        <v>597</v>
      </c>
      <c r="B140" s="51" t="str">
        <f ca="1">IFERROR(__xludf.DUMMYFUNCTION("REGEXREPLACE(A140, ""&lt;loc&gt;"", """")"),"https://odysia-cruise-uk.client.prod.eu-west.dreamlake.io/cruise-lines/princess-cruises/sun-princess/cruises&lt;/loc&gt;")</f>
        <v>https://odysia-cruise-uk.client.prod.eu-west.dreamlake.io/cruise-lines/princess-cruises/sun-princess/cruises&lt;/loc&gt;</v>
      </c>
      <c r="C140" s="101" t="str">
        <f ca="1">IFERROR(__xludf.DUMMYFUNCTION("REGEXREPLACE(B140, ""&lt;/loc&gt;"", """")"),"https://odysia-cruise-uk.client.prod.eu-west.dreamlake.io/cruise-lines/princess-cruises/sun-princess/cruises")</f>
        <v>https://odysia-cruise-uk.client.prod.eu-west.dreamlake.io/cruise-lines/princess-cruises/sun-princess/cruises</v>
      </c>
      <c r="D140" s="51" t="s">
        <v>598</v>
      </c>
      <c r="E140" s="51" t="str">
        <f ca="1">IFERROR(__xludf.DUMMYFUNCTION("REGEXREPLACE(D140, ""https://odysia-cruise-uk.client.prod.eu-west.dreamlake.io"", """")"),"/cruise-lines/princess-cruises/sun-princess/cruises")</f>
        <v>/cruise-lines/princess-cruises/sun-princess/cruises</v>
      </c>
    </row>
    <row r="141" spans="1:5" ht="13">
      <c r="A141" s="100" t="s">
        <v>599</v>
      </c>
      <c r="B141" s="51" t="str">
        <f ca="1">IFERROR(__xludf.DUMMYFUNCTION("REGEXREPLACE(A141, ""&lt;loc&gt;"", """")"),"https://odysia-cruise-uk.client.prod.eu-west.dreamlake.io/cruise-lines/holland-america-line&lt;/loc&gt;")</f>
        <v>https://odysia-cruise-uk.client.prod.eu-west.dreamlake.io/cruise-lines/holland-america-line&lt;/loc&gt;</v>
      </c>
      <c r="C141" s="101" t="str">
        <f ca="1">IFERROR(__xludf.DUMMYFUNCTION("REGEXREPLACE(B141, ""&lt;/loc&gt;"", """")"),"https://odysia-cruise-uk.client.prod.eu-west.dreamlake.io/cruise-lines/holland-america-line")</f>
        <v>https://odysia-cruise-uk.client.prod.eu-west.dreamlake.io/cruise-lines/holland-america-line</v>
      </c>
      <c r="D141" s="51" t="s">
        <v>600</v>
      </c>
      <c r="E141" s="51" t="str">
        <f ca="1">IFERROR(__xludf.DUMMYFUNCTION("REGEXREPLACE(D141, ""https://odysia-cruise-uk.client.prod.eu-west.dreamlake.io"", """")"),"/cruise-lines/holland-america-line")</f>
        <v>/cruise-lines/holland-america-line</v>
      </c>
    </row>
    <row r="142" spans="1:5" ht="13">
      <c r="A142" s="100" t="s">
        <v>601</v>
      </c>
      <c r="B142" s="51" t="str">
        <f ca="1">IFERROR(__xludf.DUMMYFUNCTION("REGEXREPLACE(A142, ""&lt;loc&gt;"", """")"),"https://odysia-cruise-uk.client.prod.eu-west.dreamlake.io/cruise-lines/azamara&lt;/loc&gt;")</f>
        <v>https://odysia-cruise-uk.client.prod.eu-west.dreamlake.io/cruise-lines/azamara&lt;/loc&gt;</v>
      </c>
      <c r="C142" s="101" t="str">
        <f ca="1">IFERROR(__xludf.DUMMYFUNCTION("REGEXREPLACE(B142, ""&lt;/loc&gt;"", """")"),"https://odysia-cruise-uk.client.prod.eu-west.dreamlake.io/cruise-lines/azamara")</f>
        <v>https://odysia-cruise-uk.client.prod.eu-west.dreamlake.io/cruise-lines/azamara</v>
      </c>
    </row>
    <row r="143" spans="1:5" ht="13">
      <c r="A143" s="100" t="s">
        <v>602</v>
      </c>
      <c r="B143" s="51" t="str">
        <f ca="1">IFERROR(__xludf.DUMMYFUNCTION("REGEXREPLACE(A143, ""&lt;loc&gt;"", """")"),"https://odysia-cruise-uk.client.prod.eu-west.dreamlake.io/cruise-lines/princess-cruises/sun-princess&lt;/loc&gt;")</f>
        <v>https://odysia-cruise-uk.client.prod.eu-west.dreamlake.io/cruise-lines/princess-cruises/sun-princess&lt;/loc&gt;</v>
      </c>
      <c r="C143" s="101" t="str">
        <f ca="1">IFERROR(__xludf.DUMMYFUNCTION("REGEXREPLACE(B143, ""&lt;/loc&gt;"", """")"),"https://odysia-cruise-uk.client.prod.eu-west.dreamlake.io/cruise-lines/princess-cruises/sun-princess")</f>
        <v>https://odysia-cruise-uk.client.prod.eu-west.dreamlake.io/cruise-lines/princess-cruises/sun-princess</v>
      </c>
      <c r="D143" s="51" t="s">
        <v>603</v>
      </c>
      <c r="E143" s="51" t="str">
        <f ca="1">IFERROR(__xludf.DUMMYFUNCTION("REGEXREPLACE(D143, ""https://odysia-cruise-uk.client.prod.eu-west.dreamlake.io"", """")"),"/cruise-lines/princess-cruises/sun-princess")</f>
        <v>/cruise-lines/princess-cruises/sun-princess</v>
      </c>
    </row>
    <row r="144" spans="1:5" ht="13">
      <c r="A144" s="100" t="s">
        <v>604</v>
      </c>
      <c r="B144" s="51" t="str">
        <f ca="1">IFERROR(__xludf.DUMMYFUNCTION("REGEXREPLACE(A144, ""&lt;loc&gt;"", """")"),"https://odysia-cruise-uk.client.prod.eu-west.dreamlake.io/cruise-lines/azamara/azamara-quest/cruises&lt;/loc&gt;")</f>
        <v>https://odysia-cruise-uk.client.prod.eu-west.dreamlake.io/cruise-lines/azamara/azamara-quest/cruises&lt;/loc&gt;</v>
      </c>
      <c r="C144" s="101" t="str">
        <f ca="1">IFERROR(__xludf.DUMMYFUNCTION("REGEXREPLACE(B144, ""&lt;/loc&gt;"", """")"),"https://odysia-cruise-uk.client.prod.eu-west.dreamlake.io/cruise-lines/azamara/azamara-quest/cruises")</f>
        <v>https://odysia-cruise-uk.client.prod.eu-west.dreamlake.io/cruise-lines/azamara/azamara-quest/cruises</v>
      </c>
    </row>
    <row r="145" spans="1:5" ht="13">
      <c r="A145" s="100" t="s">
        <v>605</v>
      </c>
      <c r="B145" s="51" t="str">
        <f ca="1">IFERROR(__xludf.DUMMYFUNCTION("REGEXREPLACE(A145, ""&lt;loc&gt;"", """")"),"https://odysia-cruise-uk.client.prod.eu-west.dreamlake.io/cruise-lines/msc-cruises/msc-world-europa&lt;/loc&gt;")</f>
        <v>https://odysia-cruise-uk.client.prod.eu-west.dreamlake.io/cruise-lines/msc-cruises/msc-world-europa&lt;/loc&gt;</v>
      </c>
      <c r="C145" s="101" t="str">
        <f ca="1">IFERROR(__xludf.DUMMYFUNCTION("REGEXREPLACE(B145, ""&lt;/loc&gt;"", """")"),"https://odysia-cruise-uk.client.prod.eu-west.dreamlake.io/cruise-lines/msc-cruises/msc-world-europa")</f>
        <v>https://odysia-cruise-uk.client.prod.eu-west.dreamlake.io/cruise-lines/msc-cruises/msc-world-europa</v>
      </c>
      <c r="D145" s="51" t="s">
        <v>606</v>
      </c>
      <c r="E145" s="51" t="str">
        <f ca="1">IFERROR(__xludf.DUMMYFUNCTION("REGEXREPLACE(D145, ""https://odysia-cruise-uk.client.prod.eu-west.dreamlake.io"", """")"),"/cruise-lines/msc-cruises/msc-world-europa")</f>
        <v>/cruise-lines/msc-cruises/msc-world-europa</v>
      </c>
    </row>
    <row r="146" spans="1:5" ht="13">
      <c r="A146" s="100" t="s">
        <v>607</v>
      </c>
      <c r="B146" s="51" t="str">
        <f ca="1">IFERROR(__xludf.DUMMYFUNCTION("REGEXREPLACE(A146, ""&lt;loc&gt;"", """")"),"https://odysia-cruise-uk.client.prod.eu-west.dreamlake.io/cruise-lines/princess-cruises/regal-princess/cruises&lt;/loc&gt;")</f>
        <v>https://odysia-cruise-uk.client.prod.eu-west.dreamlake.io/cruise-lines/princess-cruises/regal-princess/cruises&lt;/loc&gt;</v>
      </c>
      <c r="C146" s="101" t="str">
        <f ca="1">IFERROR(__xludf.DUMMYFUNCTION("REGEXREPLACE(B146, ""&lt;/loc&gt;"", """")"),"https://odysia-cruise-uk.client.prod.eu-west.dreamlake.io/cruise-lines/princess-cruises/regal-princess/cruises")</f>
        <v>https://odysia-cruise-uk.client.prod.eu-west.dreamlake.io/cruise-lines/princess-cruises/regal-princess/cruises</v>
      </c>
      <c r="D146" s="51" t="s">
        <v>608</v>
      </c>
      <c r="E146" s="51" t="str">
        <f ca="1">IFERROR(__xludf.DUMMYFUNCTION("REGEXREPLACE(D146, ""https://odysia-cruise-uk.client.prod.eu-west.dreamlake.io"", """")"),"/cruise-lines/princess-cruises/regal-princess/cruises")</f>
        <v>/cruise-lines/princess-cruises/regal-princess/cruises</v>
      </c>
    </row>
    <row r="147" spans="1:5" ht="13">
      <c r="A147" s="100" t="s">
        <v>609</v>
      </c>
      <c r="B147" s="51" t="str">
        <f ca="1">IFERROR(__xludf.DUMMYFUNCTION("REGEXREPLACE(A147, ""&lt;loc&gt;"", """")"),"https://odysia-cruise-uk.client.prod.eu-west.dreamlake.io/cruise-lines/royal-caribbean/oasis-of-the-seas&lt;/loc&gt;")</f>
        <v>https://odysia-cruise-uk.client.prod.eu-west.dreamlake.io/cruise-lines/royal-caribbean/oasis-of-the-seas&lt;/loc&gt;</v>
      </c>
      <c r="C147" s="101" t="str">
        <f ca="1">IFERROR(__xludf.DUMMYFUNCTION("REGEXREPLACE(B147, ""&lt;/loc&gt;"", """")"),"https://odysia-cruise-uk.client.prod.eu-west.dreamlake.io/cruise-lines/royal-caribbean/oasis-of-the-seas")</f>
        <v>https://odysia-cruise-uk.client.prod.eu-west.dreamlake.io/cruise-lines/royal-caribbean/oasis-of-the-seas</v>
      </c>
      <c r="D147" s="51" t="s">
        <v>610</v>
      </c>
      <c r="E147" s="51" t="str">
        <f ca="1">IFERROR(__xludf.DUMMYFUNCTION("REGEXREPLACE(D147, ""https://odysia-cruise-uk.client.prod.eu-west.dreamlake.io"", """")"),"/cruise-lines/royal-caribbean/oasis-of-the-seas")</f>
        <v>/cruise-lines/royal-caribbean/oasis-of-the-seas</v>
      </c>
    </row>
    <row r="148" spans="1:5" ht="13">
      <c r="A148" s="100" t="s">
        <v>611</v>
      </c>
      <c r="B148" s="51" t="str">
        <f ca="1">IFERROR(__xludf.DUMMYFUNCTION("REGEXREPLACE(A148, ""&lt;loc&gt;"", """")"),"https://odysia-cruise-uk.client.prod.eu-west.dreamlake.io/cruise-lines/seabourn/seabourn-ovation/cruises&lt;/loc&gt;")</f>
        <v>https://odysia-cruise-uk.client.prod.eu-west.dreamlake.io/cruise-lines/seabourn/seabourn-ovation/cruises&lt;/loc&gt;</v>
      </c>
      <c r="C148" s="101" t="str">
        <f ca="1">IFERROR(__xludf.DUMMYFUNCTION("REGEXREPLACE(B148, ""&lt;/loc&gt;"", """")"),"https://odysia-cruise-uk.client.prod.eu-west.dreamlake.io/cruise-lines/seabourn/seabourn-ovation/cruises")</f>
        <v>https://odysia-cruise-uk.client.prod.eu-west.dreamlake.io/cruise-lines/seabourn/seabourn-ovation/cruises</v>
      </c>
      <c r="D148" s="51" t="s">
        <v>612</v>
      </c>
      <c r="E148" s="51" t="str">
        <f ca="1">IFERROR(__xludf.DUMMYFUNCTION("REGEXREPLACE(D148, ""https://odysia-cruise-uk.client.prod.eu-west.dreamlake.io"", """")"),"/cruise-lines/seabourn/seabourn-ovation/cruises")</f>
        <v>/cruise-lines/seabourn/seabourn-ovation/cruises</v>
      </c>
    </row>
    <row r="149" spans="1:5" ht="13">
      <c r="A149" s="100" t="s">
        <v>613</v>
      </c>
      <c r="B149" s="51" t="str">
        <f ca="1">IFERROR(__xludf.DUMMYFUNCTION("REGEXREPLACE(A149, ""&lt;loc&gt;"", """")"),"https://odysia-cruise-uk.client.prod.eu-west.dreamlake.io/cruise-lines/royal-caribbean/spectrum-of-the-seas/cruises&lt;/loc&gt;")</f>
        <v>https://odysia-cruise-uk.client.prod.eu-west.dreamlake.io/cruise-lines/royal-caribbean/spectrum-of-the-seas/cruises&lt;/loc&gt;</v>
      </c>
      <c r="C149" s="101" t="str">
        <f ca="1">IFERROR(__xludf.DUMMYFUNCTION("REGEXREPLACE(B149, ""&lt;/loc&gt;"", """")"),"https://odysia-cruise-uk.client.prod.eu-west.dreamlake.io/cruise-lines/royal-caribbean/spectrum-of-the-seas/cruises")</f>
        <v>https://odysia-cruise-uk.client.prod.eu-west.dreamlake.io/cruise-lines/royal-caribbean/spectrum-of-the-seas/cruises</v>
      </c>
      <c r="D149" s="51" t="s">
        <v>614</v>
      </c>
      <c r="E149" s="51" t="str">
        <f ca="1">IFERROR(__xludf.DUMMYFUNCTION("REGEXREPLACE(D149, ""https://odysia-cruise-uk.client.prod.eu-west.dreamlake.io"", """")"),"/cruise-lines/royal-caribbean/spectrum-of-the-seas/cruises")</f>
        <v>/cruise-lines/royal-caribbean/spectrum-of-the-seas/cruises</v>
      </c>
    </row>
    <row r="150" spans="1:5" ht="13">
      <c r="A150" s="100" t="s">
        <v>615</v>
      </c>
      <c r="B150" s="51" t="str">
        <f ca="1">IFERROR(__xludf.DUMMYFUNCTION("REGEXREPLACE(A150, ""&lt;loc&gt;"", """")"),"https://odysia-cruise-uk.client.prod.eu-west.dreamlake.io/cruise-lines/cunard/queen-victoria/cruises&lt;/loc&gt;")</f>
        <v>https://odysia-cruise-uk.client.prod.eu-west.dreamlake.io/cruise-lines/cunard/queen-victoria/cruises&lt;/loc&gt;</v>
      </c>
      <c r="C150" s="101" t="str">
        <f ca="1">IFERROR(__xludf.DUMMYFUNCTION("REGEXREPLACE(B150, ""&lt;/loc&gt;"", """")"),"https://odysia-cruise-uk.client.prod.eu-west.dreamlake.io/cruise-lines/cunard/queen-victoria/cruises")</f>
        <v>https://odysia-cruise-uk.client.prod.eu-west.dreamlake.io/cruise-lines/cunard/queen-victoria/cruises</v>
      </c>
      <c r="D150" s="51" t="s">
        <v>616</v>
      </c>
      <c r="E150" s="51" t="str">
        <f ca="1">IFERROR(__xludf.DUMMYFUNCTION("REGEXREPLACE(D150, ""https://odysia-cruise-uk.client.prod.eu-west.dreamlake.io"", """")"),"/cruise-lines/cunard/queen-victoria/cruises")</f>
        <v>/cruise-lines/cunard/queen-victoria/cruises</v>
      </c>
    </row>
    <row r="151" spans="1:5" ht="13">
      <c r="A151" s="100" t="s">
        <v>617</v>
      </c>
      <c r="B151" s="51" t="str">
        <f ca="1">IFERROR(__xludf.DUMMYFUNCTION("REGEXREPLACE(A151, ""&lt;loc&gt;"", """")"),"https://odysia-cruise-uk.client.prod.eu-west.dreamlake.io/cruise-lines/royal-caribbean/rhapsody-of-the-seas/cruises&lt;/loc&gt;")</f>
        <v>https://odysia-cruise-uk.client.prod.eu-west.dreamlake.io/cruise-lines/royal-caribbean/rhapsody-of-the-seas/cruises&lt;/loc&gt;</v>
      </c>
      <c r="C151" s="101" t="str">
        <f ca="1">IFERROR(__xludf.DUMMYFUNCTION("REGEXREPLACE(B151, ""&lt;/loc&gt;"", """")"),"https://odysia-cruise-uk.client.prod.eu-west.dreamlake.io/cruise-lines/royal-caribbean/rhapsody-of-the-seas/cruises")</f>
        <v>https://odysia-cruise-uk.client.prod.eu-west.dreamlake.io/cruise-lines/royal-caribbean/rhapsody-of-the-seas/cruises</v>
      </c>
      <c r="D151" s="51" t="s">
        <v>618</v>
      </c>
      <c r="E151" s="51" t="str">
        <f ca="1">IFERROR(__xludf.DUMMYFUNCTION("REGEXREPLACE(D151, ""https://odysia-cruise-uk.client.prod.eu-west.dreamlake.io"", """")"),"/cruise-lines/royal-caribbean/rhapsody-of-the-seas/cruises")</f>
        <v>/cruise-lines/royal-caribbean/rhapsody-of-the-seas/cruises</v>
      </c>
    </row>
    <row r="152" spans="1:5" ht="13">
      <c r="A152" s="100" t="s">
        <v>619</v>
      </c>
      <c r="B152" s="51" t="str">
        <f ca="1">IFERROR(__xludf.DUMMYFUNCTION("REGEXREPLACE(A152, ""&lt;loc&gt;"", """")"),"https://odysia-cruise-uk.client.prod.eu-west.dreamlake.io/cruise-lines/royal-caribbean/ovation-of-the-seas&lt;/loc&gt;")</f>
        <v>https://odysia-cruise-uk.client.prod.eu-west.dreamlake.io/cruise-lines/royal-caribbean/ovation-of-the-seas&lt;/loc&gt;</v>
      </c>
      <c r="C152" s="101" t="str">
        <f ca="1">IFERROR(__xludf.DUMMYFUNCTION("REGEXREPLACE(B152, ""&lt;/loc&gt;"", """")"),"https://odysia-cruise-uk.client.prod.eu-west.dreamlake.io/cruise-lines/royal-caribbean/ovation-of-the-seas")</f>
        <v>https://odysia-cruise-uk.client.prod.eu-west.dreamlake.io/cruise-lines/royal-caribbean/ovation-of-the-seas</v>
      </c>
      <c r="D152" s="51" t="s">
        <v>620</v>
      </c>
      <c r="E152" s="51" t="str">
        <f ca="1">IFERROR(__xludf.DUMMYFUNCTION("REGEXREPLACE(D152, ""https://odysia-cruise-uk.client.prod.eu-west.dreamlake.io"", """")"),"/cruise-lines/royal-caribbean/ovation-of-the-seas")</f>
        <v>/cruise-lines/royal-caribbean/ovation-of-the-seas</v>
      </c>
    </row>
    <row r="153" spans="1:5" ht="13">
      <c r="A153" s="100" t="s">
        <v>621</v>
      </c>
      <c r="B153" s="51" t="str">
        <f ca="1">IFERROR(__xludf.DUMMYFUNCTION("REGEXREPLACE(A153, ""&lt;loc&gt;"", """")"),"https://odysia-cruise-uk.client.prod.eu-west.dreamlake.io/cruise-lines/princess-cruises/caribbean-princess/cruises&lt;/loc&gt;")</f>
        <v>https://odysia-cruise-uk.client.prod.eu-west.dreamlake.io/cruise-lines/princess-cruises/caribbean-princess/cruises&lt;/loc&gt;</v>
      </c>
      <c r="C153" s="101" t="str">
        <f ca="1">IFERROR(__xludf.DUMMYFUNCTION("REGEXREPLACE(B153, ""&lt;/loc&gt;"", """")"),"https://odysia-cruise-uk.client.prod.eu-west.dreamlake.io/cruise-lines/princess-cruises/caribbean-princess/cruises")</f>
        <v>https://odysia-cruise-uk.client.prod.eu-west.dreamlake.io/cruise-lines/princess-cruises/caribbean-princess/cruises</v>
      </c>
      <c r="D153" s="51" t="s">
        <v>622</v>
      </c>
      <c r="E153" s="51" t="str">
        <f ca="1">IFERROR(__xludf.DUMMYFUNCTION("REGEXREPLACE(D153, ""https://odysia-cruise-uk.client.prod.eu-west.dreamlake.io"", """")"),"/cruise-lines/princess-cruises/caribbean-princess/cruises")</f>
        <v>/cruise-lines/princess-cruises/caribbean-princess/cruises</v>
      </c>
    </row>
    <row r="154" spans="1:5" ht="13">
      <c r="A154" s="100" t="s">
        <v>623</v>
      </c>
      <c r="B154" s="51" t="str">
        <f ca="1">IFERROR(__xludf.DUMMYFUNCTION("REGEXREPLACE(A154, ""&lt;loc&gt;"", """")"),"https://odysia-cruise-uk.client.prod.eu-west.dreamlake.io/cruise-lines/norwegian-cruise-line/norwegian-joy/cruises&lt;/loc&gt;")</f>
        <v>https://odysia-cruise-uk.client.prod.eu-west.dreamlake.io/cruise-lines/norwegian-cruise-line/norwegian-joy/cruises&lt;/loc&gt;</v>
      </c>
      <c r="C154" s="101" t="str">
        <f ca="1">IFERROR(__xludf.DUMMYFUNCTION("REGEXREPLACE(B154, ""&lt;/loc&gt;"", """")"),"https://odysia-cruise-uk.client.prod.eu-west.dreamlake.io/cruise-lines/norwegian-cruise-line/norwegian-joy/cruises")</f>
        <v>https://odysia-cruise-uk.client.prod.eu-west.dreamlake.io/cruise-lines/norwegian-cruise-line/norwegian-joy/cruises</v>
      </c>
      <c r="D154" s="51" t="s">
        <v>624</v>
      </c>
      <c r="E154" s="51" t="str">
        <f ca="1">IFERROR(__xludf.DUMMYFUNCTION("REGEXREPLACE(D154, ""https://odysia-cruise-uk.client.prod.eu-west.dreamlake.io"", """")"),"/cruise-lines/norwegian-cruise-line/norwegian-joy/cruises")</f>
        <v>/cruise-lines/norwegian-cruise-line/norwegian-joy/cruises</v>
      </c>
    </row>
    <row r="155" spans="1:5" ht="13">
      <c r="A155" s="100" t="s">
        <v>625</v>
      </c>
      <c r="B155" s="51" t="str">
        <f ca="1">IFERROR(__xludf.DUMMYFUNCTION("REGEXREPLACE(A155, ""&lt;loc&gt;"", """")"),"https://odysia-cruise-uk.client.prod.eu-west.dreamlake.io/cruise-lines/cunard/queen-elizabeth/cruises&lt;/loc&gt;")</f>
        <v>https://odysia-cruise-uk.client.prod.eu-west.dreamlake.io/cruise-lines/cunard/queen-elizabeth/cruises&lt;/loc&gt;</v>
      </c>
      <c r="C155" s="101" t="str">
        <f ca="1">IFERROR(__xludf.DUMMYFUNCTION("REGEXREPLACE(B155, ""&lt;/loc&gt;"", """")"),"https://odysia-cruise-uk.client.prod.eu-west.dreamlake.io/cruise-lines/cunard/queen-elizabeth/cruises")</f>
        <v>https://odysia-cruise-uk.client.prod.eu-west.dreamlake.io/cruise-lines/cunard/queen-elizabeth/cruises</v>
      </c>
      <c r="D155" s="51" t="s">
        <v>626</v>
      </c>
      <c r="E155" s="51" t="str">
        <f ca="1">IFERROR(__xludf.DUMMYFUNCTION("REGEXREPLACE(D155, ""https://odysia-cruise-uk.client.prod.eu-west.dreamlake.io"", """")"),"/cruise-lines/cunard/queen-elizabeth/cruises")</f>
        <v>/cruise-lines/cunard/queen-elizabeth/cruises</v>
      </c>
    </row>
    <row r="156" spans="1:5" ht="13">
      <c r="A156" s="100" t="s">
        <v>627</v>
      </c>
      <c r="B156" s="51" t="str">
        <f ca="1">IFERROR(__xludf.DUMMYFUNCTION("REGEXREPLACE(A156, ""&lt;loc&gt;"", """")"),"https://odysia-cruise-uk.client.prod.eu-west.dreamlake.io/cruise-lines/seabourn/seabourn-venture&lt;/loc&gt;")</f>
        <v>https://odysia-cruise-uk.client.prod.eu-west.dreamlake.io/cruise-lines/seabourn/seabourn-venture&lt;/loc&gt;</v>
      </c>
      <c r="C156" s="101" t="str">
        <f ca="1">IFERROR(__xludf.DUMMYFUNCTION("REGEXREPLACE(B156, ""&lt;/loc&gt;"", """")"),"https://odysia-cruise-uk.client.prod.eu-west.dreamlake.io/cruise-lines/seabourn/seabourn-venture")</f>
        <v>https://odysia-cruise-uk.client.prod.eu-west.dreamlake.io/cruise-lines/seabourn/seabourn-venture</v>
      </c>
      <c r="D156" s="51" t="s">
        <v>628</v>
      </c>
      <c r="E156" s="51" t="str">
        <f ca="1">IFERROR(__xludf.DUMMYFUNCTION("REGEXREPLACE(D156, ""https://odysia-cruise-uk.client.prod.eu-west.dreamlake.io"", """")"),"/cruise-lines/seabourn/seabourn-venture")</f>
        <v>/cruise-lines/seabourn/seabourn-venture</v>
      </c>
    </row>
    <row r="157" spans="1:5" ht="13">
      <c r="A157" s="100" t="s">
        <v>629</v>
      </c>
      <c r="B157" s="51" t="str">
        <f ca="1">IFERROR(__xludf.DUMMYFUNCTION("REGEXREPLACE(A157, ""&lt;loc&gt;"", """")"),"https://odysia-cruise-uk.client.prod.eu-west.dreamlake.io/cruise-lines/oceania-cruises/oceania-vista&lt;/loc&gt;")</f>
        <v>https://odysia-cruise-uk.client.prod.eu-west.dreamlake.io/cruise-lines/oceania-cruises/oceania-vista&lt;/loc&gt;</v>
      </c>
      <c r="C157" s="101" t="str">
        <f ca="1">IFERROR(__xludf.DUMMYFUNCTION("REGEXREPLACE(B157, ""&lt;/loc&gt;"", """")"),"https://odysia-cruise-uk.client.prod.eu-west.dreamlake.io/cruise-lines/oceania-cruises/oceania-vista")</f>
        <v>https://odysia-cruise-uk.client.prod.eu-west.dreamlake.io/cruise-lines/oceania-cruises/oceania-vista</v>
      </c>
      <c r="D157" s="51" t="s">
        <v>630</v>
      </c>
      <c r="E157" s="51" t="str">
        <f ca="1">IFERROR(__xludf.DUMMYFUNCTION("REGEXREPLACE(D157, ""https://odysia-cruise-uk.client.prod.eu-west.dreamlake.io"", """")"),"/cruise-lines/oceania-cruises/oceania-vista")</f>
        <v>/cruise-lines/oceania-cruises/oceania-vista</v>
      </c>
    </row>
    <row r="158" spans="1:5" ht="13">
      <c r="A158" s="100" t="s">
        <v>631</v>
      </c>
      <c r="B158" s="51" t="str">
        <f ca="1">IFERROR(__xludf.DUMMYFUNCTION("REGEXREPLACE(A158, ""&lt;loc&gt;"", """")"),"https://odysia-cruise-uk.client.prod.eu-west.dreamlake.io/cruise-lines/royal-caribbean/symphony-of-the-seas&lt;/loc&gt;")</f>
        <v>https://odysia-cruise-uk.client.prod.eu-west.dreamlake.io/cruise-lines/royal-caribbean/symphony-of-the-seas&lt;/loc&gt;</v>
      </c>
      <c r="C158" s="101" t="str">
        <f ca="1">IFERROR(__xludf.DUMMYFUNCTION("REGEXREPLACE(B158, ""&lt;/loc&gt;"", """")"),"https://odysia-cruise-uk.client.prod.eu-west.dreamlake.io/cruise-lines/royal-caribbean/symphony-of-the-seas")</f>
        <v>https://odysia-cruise-uk.client.prod.eu-west.dreamlake.io/cruise-lines/royal-caribbean/symphony-of-the-seas</v>
      </c>
      <c r="D158" s="51" t="s">
        <v>632</v>
      </c>
      <c r="E158" s="51" t="str">
        <f ca="1">IFERROR(__xludf.DUMMYFUNCTION("REGEXREPLACE(D158, ""https://odysia-cruise-uk.client.prod.eu-west.dreamlake.io"", """")"),"/cruise-lines/royal-caribbean/symphony-of-the-seas")</f>
        <v>/cruise-lines/royal-caribbean/symphony-of-the-seas</v>
      </c>
    </row>
    <row r="159" spans="1:5" ht="13">
      <c r="A159" s="100" t="s">
        <v>633</v>
      </c>
      <c r="B159" s="51" t="str">
        <f ca="1">IFERROR(__xludf.DUMMYFUNCTION("REGEXREPLACE(A159, ""&lt;loc&gt;"", """")"),"https://odysia-cruise-uk.client.prod.eu-west.dreamlake.io/cruise-lines/norwegian-cruise-line/norwegian-epic/cruises&lt;/loc&gt;")</f>
        <v>https://odysia-cruise-uk.client.prod.eu-west.dreamlake.io/cruise-lines/norwegian-cruise-line/norwegian-epic/cruises&lt;/loc&gt;</v>
      </c>
      <c r="C159" s="101" t="str">
        <f ca="1">IFERROR(__xludf.DUMMYFUNCTION("REGEXREPLACE(B159, ""&lt;/loc&gt;"", """")"),"https://odysia-cruise-uk.client.prod.eu-west.dreamlake.io/cruise-lines/norwegian-cruise-line/norwegian-epic/cruises")</f>
        <v>https://odysia-cruise-uk.client.prod.eu-west.dreamlake.io/cruise-lines/norwegian-cruise-line/norwegian-epic/cruises</v>
      </c>
      <c r="D159" s="51" t="s">
        <v>634</v>
      </c>
      <c r="E159" s="51" t="str">
        <f ca="1">IFERROR(__xludf.DUMMYFUNCTION("REGEXREPLACE(D159, ""https://odysia-cruise-uk.client.prod.eu-west.dreamlake.io"", """")"),"/cruise-lines/norwegian-cruise-line/norwegian-epic/cruises")</f>
        <v>/cruise-lines/norwegian-cruise-line/norwegian-epic/cruises</v>
      </c>
    </row>
    <row r="160" spans="1:5" ht="13">
      <c r="A160" s="100" t="s">
        <v>635</v>
      </c>
      <c r="B160" s="51" t="str">
        <f ca="1">IFERROR(__xludf.DUMMYFUNCTION("REGEXREPLACE(A160, ""&lt;loc&gt;"", """")"),"https://odysia-cruise-uk.client.prod.eu-west.dreamlake.io/cruise-lines/celebrity-cruises/celebrity-apex/cruises&lt;/loc&gt;")</f>
        <v>https://odysia-cruise-uk.client.prod.eu-west.dreamlake.io/cruise-lines/celebrity-cruises/celebrity-apex/cruises&lt;/loc&gt;</v>
      </c>
      <c r="C160" s="101" t="str">
        <f ca="1">IFERROR(__xludf.DUMMYFUNCTION("REGEXREPLACE(B160, ""&lt;/loc&gt;"", """")"),"https://odysia-cruise-uk.client.prod.eu-west.dreamlake.io/cruise-lines/celebrity-cruises/celebrity-apex/cruises")</f>
        <v>https://odysia-cruise-uk.client.prod.eu-west.dreamlake.io/cruise-lines/celebrity-cruises/celebrity-apex/cruises</v>
      </c>
      <c r="D160" s="51" t="s">
        <v>636</v>
      </c>
      <c r="E160" s="51" t="str">
        <f ca="1">IFERROR(__xludf.DUMMYFUNCTION("REGEXREPLACE(D160, ""https://odysia-cruise-uk.client.prod.eu-west.dreamlake.io"", """")"),"/cruise-lines/celebrity-cruises/celebrity-apex/cruises")</f>
        <v>/cruise-lines/celebrity-cruises/celebrity-apex/cruises</v>
      </c>
    </row>
    <row r="161" spans="1:5" ht="13">
      <c r="A161" s="100" t="s">
        <v>637</v>
      </c>
      <c r="B161" s="51" t="str">
        <f ca="1">IFERROR(__xludf.DUMMYFUNCTION("REGEXREPLACE(A161, ""&lt;loc&gt;"", """")"),"https://odysia-cruise-uk.client.prod.eu-west.dreamlake.io/destinations/canary-islands-cruises&lt;/loc&gt;")</f>
        <v>https://odysia-cruise-uk.client.prod.eu-west.dreamlake.io/destinations/canary-islands-cruises&lt;/loc&gt;</v>
      </c>
      <c r="C161" s="101" t="str">
        <f ca="1">IFERROR(__xludf.DUMMYFUNCTION("REGEXREPLACE(B161, ""&lt;/loc&gt;"", """")"),"https://odysia-cruise-uk.client.prod.eu-west.dreamlake.io/destinations/canary-islands-cruises")</f>
        <v>https://odysia-cruise-uk.client.prod.eu-west.dreamlake.io/destinations/canary-islands-cruises</v>
      </c>
    </row>
    <row r="162" spans="1:5" ht="13">
      <c r="A162" s="100" t="s">
        <v>638</v>
      </c>
      <c r="B162" s="51" t="str">
        <f ca="1">IFERROR(__xludf.DUMMYFUNCTION("REGEXREPLACE(A162, ""&lt;loc&gt;"", """")"),"https://odysia-cruise-uk.client.prod.eu-west.dreamlake.io/cruise-lines/norwegian-cruise-line/norwegian-bliss/cruises&lt;/loc&gt;")</f>
        <v>https://odysia-cruise-uk.client.prod.eu-west.dreamlake.io/cruise-lines/norwegian-cruise-line/norwegian-bliss/cruises&lt;/loc&gt;</v>
      </c>
      <c r="C162" s="101" t="str">
        <f ca="1">IFERROR(__xludf.DUMMYFUNCTION("REGEXREPLACE(B162, ""&lt;/loc&gt;"", """")"),"https://odysia-cruise-uk.client.prod.eu-west.dreamlake.io/cruise-lines/norwegian-cruise-line/norwegian-bliss/cruises")</f>
        <v>https://odysia-cruise-uk.client.prod.eu-west.dreamlake.io/cruise-lines/norwegian-cruise-line/norwegian-bliss/cruises</v>
      </c>
      <c r="D162" s="51" t="s">
        <v>639</v>
      </c>
      <c r="E162" s="51" t="str">
        <f ca="1">IFERROR(__xludf.DUMMYFUNCTION("REGEXREPLACE(D162, ""https://odysia-cruise-uk.client.prod.eu-west.dreamlake.io"", """")"),"/cruise-lines/norwegian-cruise-line/norwegian-bliss/cruises")</f>
        <v>/cruise-lines/norwegian-cruise-line/norwegian-bliss/cruises</v>
      </c>
    </row>
    <row r="163" spans="1:5" ht="13">
      <c r="A163" s="100" t="s">
        <v>640</v>
      </c>
      <c r="B163" s="51" t="str">
        <f ca="1">IFERROR(__xludf.DUMMYFUNCTION("REGEXREPLACE(A163, ""&lt;loc&gt;"", """")"),"https://odysia-cruise-uk.client.prod.eu-west.dreamlake.io/cruise-lines/princess-cruises/grand-princess/cruises&lt;/loc&gt;")</f>
        <v>https://odysia-cruise-uk.client.prod.eu-west.dreamlake.io/cruise-lines/princess-cruises/grand-princess/cruises&lt;/loc&gt;</v>
      </c>
      <c r="C163" s="101" t="str">
        <f ca="1">IFERROR(__xludf.DUMMYFUNCTION("REGEXREPLACE(B163, ""&lt;/loc&gt;"", """")"),"https://odysia-cruise-uk.client.prod.eu-west.dreamlake.io/cruise-lines/princess-cruises/grand-princess/cruises")</f>
        <v>https://odysia-cruise-uk.client.prod.eu-west.dreamlake.io/cruise-lines/princess-cruises/grand-princess/cruises</v>
      </c>
      <c r="D163" s="51" t="s">
        <v>641</v>
      </c>
      <c r="E163" s="51" t="str">
        <f ca="1">IFERROR(__xludf.DUMMYFUNCTION("REGEXREPLACE(D163, ""https://odysia-cruise-uk.client.prod.eu-west.dreamlake.io"", """")"),"/cruise-lines/princess-cruises/grand-princess/cruises")</f>
        <v>/cruise-lines/princess-cruises/grand-princess/cruises</v>
      </c>
    </row>
    <row r="164" spans="1:5" ht="13">
      <c r="A164" s="100" t="s">
        <v>642</v>
      </c>
      <c r="B164" s="51" t="str">
        <f ca="1">IFERROR(__xludf.DUMMYFUNCTION("REGEXREPLACE(A164, ""&lt;loc&gt;"", """")"),"https://odysia-cruise-uk.client.prod.eu-west.dreamlake.io/cruise-lines/explora-journeys/explora-i/cruises&lt;/loc&gt;")</f>
        <v>https://odysia-cruise-uk.client.prod.eu-west.dreamlake.io/cruise-lines/explora-journeys/explora-i/cruises&lt;/loc&gt;</v>
      </c>
      <c r="C164" s="101" t="str">
        <f ca="1">IFERROR(__xludf.DUMMYFUNCTION("REGEXREPLACE(B164, ""&lt;/loc&gt;"", """")"),"https://odysia-cruise-uk.client.prod.eu-west.dreamlake.io/cruise-lines/explora-journeys/explora-i/cruises")</f>
        <v>https://odysia-cruise-uk.client.prod.eu-west.dreamlake.io/cruise-lines/explora-journeys/explora-i/cruises</v>
      </c>
      <c r="D164" s="51" t="s">
        <v>643</v>
      </c>
      <c r="E164" s="51" t="str">
        <f ca="1">IFERROR(__xludf.DUMMYFUNCTION("REGEXREPLACE(D164, ""https://odysia-cruise-uk.client.prod.eu-west.dreamlake.io"", """")"),"/cruise-lines/explora-journeys/explora-i/cruises")</f>
        <v>/cruise-lines/explora-journeys/explora-i/cruises</v>
      </c>
    </row>
    <row r="165" spans="1:5" ht="13">
      <c r="A165" s="100" t="s">
        <v>644</v>
      </c>
      <c r="B165" s="51" t="str">
        <f ca="1">IFERROR(__xludf.DUMMYFUNCTION("REGEXREPLACE(A165, ""&lt;loc&gt;"", """")"),"https://odysia-cruise-uk.client.prod.eu-west.dreamlake.io/cruise-lines/royal-caribbean/voyager-of-the-seas&lt;/loc&gt;")</f>
        <v>https://odysia-cruise-uk.client.prod.eu-west.dreamlake.io/cruise-lines/royal-caribbean/voyager-of-the-seas&lt;/loc&gt;</v>
      </c>
      <c r="C165" s="101" t="str">
        <f ca="1">IFERROR(__xludf.DUMMYFUNCTION("REGEXREPLACE(B165, ""&lt;/loc&gt;"", """")"),"https://odysia-cruise-uk.client.prod.eu-west.dreamlake.io/cruise-lines/royal-caribbean/voyager-of-the-seas")</f>
        <v>https://odysia-cruise-uk.client.prod.eu-west.dreamlake.io/cruise-lines/royal-caribbean/voyager-of-the-seas</v>
      </c>
      <c r="D165" s="51" t="s">
        <v>645</v>
      </c>
      <c r="E165" s="51" t="str">
        <f ca="1">IFERROR(__xludf.DUMMYFUNCTION("REGEXREPLACE(D165, ""https://odysia-cruise-uk.client.prod.eu-west.dreamlake.io"", """")"),"/cruise-lines/royal-caribbean/voyager-of-the-seas")</f>
        <v>/cruise-lines/royal-caribbean/voyager-of-the-seas</v>
      </c>
    </row>
    <row r="166" spans="1:5" ht="13">
      <c r="A166" s="100" t="s">
        <v>646</v>
      </c>
      <c r="B166" s="51" t="str">
        <f ca="1">IFERROR(__xludf.DUMMYFUNCTION("REGEXREPLACE(A166, ""&lt;loc&gt;"", """")"),"https://odysia-cruise-uk.client.prod.eu-west.dreamlake.io/cruise-deals/cruises-from-portsmouth&lt;/loc&gt;")</f>
        <v>https://odysia-cruise-uk.client.prod.eu-west.dreamlake.io/cruise-deals/cruises-from-portsmouth&lt;/loc&gt;</v>
      </c>
      <c r="C166" s="101" t="str">
        <f ca="1">IFERROR(__xludf.DUMMYFUNCTION("REGEXREPLACE(B166, ""&lt;/loc&gt;"", """")"),"https://odysia-cruise-uk.client.prod.eu-west.dreamlake.io/cruise-deals/cruises-from-portsmouth")</f>
        <v>https://odysia-cruise-uk.client.prod.eu-west.dreamlake.io/cruise-deals/cruises-from-portsmouth</v>
      </c>
      <c r="D166" s="51" t="s">
        <v>647</v>
      </c>
    </row>
    <row r="167" spans="1:5" ht="13">
      <c r="A167" s="100" t="s">
        <v>648</v>
      </c>
      <c r="B167" s="51" t="str">
        <f ca="1">IFERROR(__xludf.DUMMYFUNCTION("REGEXREPLACE(A167, ""&lt;loc&gt;"", """")"),"https://odysia-cruise-uk.client.prod.eu-west.dreamlake.io/cruise-lines/costa-cruises/cruises&lt;/loc&gt;")</f>
        <v>https://odysia-cruise-uk.client.prod.eu-west.dreamlake.io/cruise-lines/costa-cruises/cruises&lt;/loc&gt;</v>
      </c>
      <c r="C167" s="101" t="str">
        <f ca="1">IFERROR(__xludf.DUMMYFUNCTION("REGEXREPLACE(B167, ""&lt;/loc&gt;"", """")"),"https://odysia-cruise-uk.client.prod.eu-west.dreamlake.io/cruise-lines/costa-cruises/cruises")</f>
        <v>https://odysia-cruise-uk.client.prod.eu-west.dreamlake.io/cruise-lines/costa-cruises/cruises</v>
      </c>
      <c r="D167" s="51" t="s">
        <v>649</v>
      </c>
      <c r="E167" s="51" t="str">
        <f ca="1">IFERROR(__xludf.DUMMYFUNCTION("REGEXREPLACE(D167, ""https://odysia-cruise-uk.client.prod.eu-west.dreamlake.io"", """")"),"/cruise-lines/costa-cruises/cruises")</f>
        <v>/cruise-lines/costa-cruises/cruises</v>
      </c>
    </row>
    <row r="168" spans="1:5" ht="13">
      <c r="A168" s="100" t="s">
        <v>650</v>
      </c>
      <c r="B168" s="51" t="str">
        <f ca="1">IFERROR(__xludf.DUMMYFUNCTION("REGEXREPLACE(A168, ""&lt;loc&gt;"", """")"),"https://odysia-cruise-uk.client.prod.eu-west.dreamlake.io/cruise-lines/celebrity-cruises/celebrity-eclipse&lt;/loc&gt;")</f>
        <v>https://odysia-cruise-uk.client.prod.eu-west.dreamlake.io/cruise-lines/celebrity-cruises/celebrity-eclipse&lt;/loc&gt;</v>
      </c>
      <c r="C168" s="101" t="str">
        <f ca="1">IFERROR(__xludf.DUMMYFUNCTION("REGEXREPLACE(B168, ""&lt;/loc&gt;"", """")"),"https://odysia-cruise-uk.client.prod.eu-west.dreamlake.io/cruise-lines/celebrity-cruises/celebrity-eclipse")</f>
        <v>https://odysia-cruise-uk.client.prod.eu-west.dreamlake.io/cruise-lines/celebrity-cruises/celebrity-eclipse</v>
      </c>
      <c r="D168" s="51" t="s">
        <v>651</v>
      </c>
      <c r="E168" s="51" t="str">
        <f ca="1">IFERROR(__xludf.DUMMYFUNCTION("REGEXREPLACE(D168, ""https://odysia-cruise-uk.client.prod.eu-west.dreamlake.io"", """")"),"/cruise-lines/celebrity-cruises/celebrity-eclipse")</f>
        <v>/cruise-lines/celebrity-cruises/celebrity-eclipse</v>
      </c>
    </row>
    <row r="169" spans="1:5" ht="13">
      <c r="A169" s="100" t="s">
        <v>652</v>
      </c>
      <c r="B169" s="51" t="str">
        <f ca="1">IFERROR(__xludf.DUMMYFUNCTION("REGEXREPLACE(A169, ""&lt;loc&gt;"", """")"),"https://odysia-cruise-uk.client.prod.eu-west.dreamlake.io/cruise-lines/celebrity-cruises/celebrity-beyond&lt;/loc&gt;")</f>
        <v>https://odysia-cruise-uk.client.prod.eu-west.dreamlake.io/cruise-lines/celebrity-cruises/celebrity-beyond&lt;/loc&gt;</v>
      </c>
      <c r="C169" s="101" t="str">
        <f ca="1">IFERROR(__xludf.DUMMYFUNCTION("REGEXREPLACE(B169, ""&lt;/loc&gt;"", """")"),"https://odysia-cruise-uk.client.prod.eu-west.dreamlake.io/cruise-lines/celebrity-cruises/celebrity-beyond")</f>
        <v>https://odysia-cruise-uk.client.prod.eu-west.dreamlake.io/cruise-lines/celebrity-cruises/celebrity-beyond</v>
      </c>
      <c r="D169" s="51" t="s">
        <v>653</v>
      </c>
      <c r="E169" s="51" t="str">
        <f ca="1">IFERROR(__xludf.DUMMYFUNCTION("REGEXREPLACE(D169, ""https://odysia-cruise-uk.client.prod.eu-west.dreamlake.io"", """")"),"/cruise-lines/celebrity-cruises/celebrity-beyond")</f>
        <v>/cruise-lines/celebrity-cruises/celebrity-beyond</v>
      </c>
    </row>
    <row r="170" spans="1:5" ht="13">
      <c r="A170" s="100" t="s">
        <v>654</v>
      </c>
      <c r="B170" s="51" t="str">
        <f ca="1">IFERROR(__xludf.DUMMYFUNCTION("REGEXREPLACE(A170, ""&lt;loc&gt;"", """")"),"https://odysia-cruise-uk.client.prod.eu-west.dreamlake.io/cruise-lines/royal-caribbean/explorer-of-the-seas&lt;/loc&gt;")</f>
        <v>https://odysia-cruise-uk.client.prod.eu-west.dreamlake.io/cruise-lines/royal-caribbean/explorer-of-the-seas&lt;/loc&gt;</v>
      </c>
      <c r="C170" s="101" t="str">
        <f ca="1">IFERROR(__xludf.DUMMYFUNCTION("REGEXREPLACE(B170, ""&lt;/loc&gt;"", """")"),"https://odysia-cruise-uk.client.prod.eu-west.dreamlake.io/cruise-lines/royal-caribbean/explorer-of-the-seas")</f>
        <v>https://odysia-cruise-uk.client.prod.eu-west.dreamlake.io/cruise-lines/royal-caribbean/explorer-of-the-seas</v>
      </c>
      <c r="D170" s="51" t="s">
        <v>655</v>
      </c>
      <c r="E170" s="51" t="str">
        <f ca="1">IFERROR(__xludf.DUMMYFUNCTION("REGEXREPLACE(D170, ""https://odysia-cruise-uk.client.prod.eu-west.dreamlake.io"", """")"),"/cruise-lines/royal-caribbean/explorer-of-the-seas")</f>
        <v>/cruise-lines/royal-caribbean/explorer-of-the-seas</v>
      </c>
    </row>
    <row r="171" spans="1:5" ht="13">
      <c r="A171" s="100" t="s">
        <v>656</v>
      </c>
      <c r="B171" s="51" t="str">
        <f ca="1">IFERROR(__xludf.DUMMYFUNCTION("REGEXREPLACE(A171, ""&lt;loc&gt;"", """")"),"https://odysia-cruise-uk.client.prod.eu-west.dreamlake.io/cruise-lines/celebrity-cruises/celebrity-constellation/cruises&lt;/loc&gt;")</f>
        <v>https://odysia-cruise-uk.client.prod.eu-west.dreamlake.io/cruise-lines/celebrity-cruises/celebrity-constellation/cruises&lt;/loc&gt;</v>
      </c>
      <c r="C171" s="101" t="str">
        <f ca="1">IFERROR(__xludf.DUMMYFUNCTION("REGEXREPLACE(B171, ""&lt;/loc&gt;"", """")"),"https://odysia-cruise-uk.client.prod.eu-west.dreamlake.io/cruise-lines/celebrity-cruises/celebrity-constellation/cruises")</f>
        <v>https://odysia-cruise-uk.client.prod.eu-west.dreamlake.io/cruise-lines/celebrity-cruises/celebrity-constellation/cruises</v>
      </c>
      <c r="D171" s="51" t="s">
        <v>657</v>
      </c>
      <c r="E171" s="51" t="str">
        <f ca="1">IFERROR(__xludf.DUMMYFUNCTION("REGEXREPLACE(D171, ""https://odysia-cruise-uk.client.prod.eu-west.dreamlake.io"", """")"),"/cruise-lines/celebrity-cruises/celebrity-constellation/cruises")</f>
        <v>/cruise-lines/celebrity-cruises/celebrity-constellation/cruises</v>
      </c>
    </row>
    <row r="172" spans="1:5" ht="13">
      <c r="A172" s="100" t="s">
        <v>658</v>
      </c>
      <c r="B172" s="51" t="str">
        <f ca="1">IFERROR(__xludf.DUMMYFUNCTION("REGEXREPLACE(A172, ""&lt;loc&gt;"", """")"),"https://odysia-cruise-uk.client.prod.eu-west.dreamlake.io/cruise-lines/po-cruises/arvia/cruises&lt;/loc&gt;")</f>
        <v>https://odysia-cruise-uk.client.prod.eu-west.dreamlake.io/cruise-lines/po-cruises/arvia/cruises&lt;/loc&gt;</v>
      </c>
      <c r="C172" s="101" t="str">
        <f ca="1">IFERROR(__xludf.DUMMYFUNCTION("REGEXREPLACE(B172, ""&lt;/loc&gt;"", """")"),"https://odysia-cruise-uk.client.prod.eu-west.dreamlake.io/cruise-lines/po-cruises/arvia/cruises")</f>
        <v>https://odysia-cruise-uk.client.prod.eu-west.dreamlake.io/cruise-lines/po-cruises/arvia/cruises</v>
      </c>
      <c r="D172" s="51" t="s">
        <v>659</v>
      </c>
      <c r="E172" s="51" t="str">
        <f ca="1">IFERROR(__xludf.DUMMYFUNCTION("REGEXREPLACE(D172, ""https://odysia-cruise-uk.client.prod.eu-west.dreamlake.io"", """")"),"/cruise-lines/po-cruises/arvia/cruises")</f>
        <v>/cruise-lines/po-cruises/arvia/cruises</v>
      </c>
    </row>
    <row r="173" spans="1:5" ht="13">
      <c r="A173" s="100" t="s">
        <v>660</v>
      </c>
      <c r="B173" s="51" t="str">
        <f ca="1">IFERROR(__xludf.DUMMYFUNCTION("REGEXREPLACE(A173, ""&lt;loc&gt;"", """")"),"https://odysia-cruise-uk.client.prod.eu-west.dreamlake.io/cruise-lines/ambassador-cruise-line/ambition&lt;/loc&gt;")</f>
        <v>https://odysia-cruise-uk.client.prod.eu-west.dreamlake.io/cruise-lines/ambassador-cruise-line/ambition&lt;/loc&gt;</v>
      </c>
      <c r="C173" s="101" t="str">
        <f ca="1">IFERROR(__xludf.DUMMYFUNCTION("REGEXREPLACE(B173, ""&lt;/loc&gt;"", """")"),"https://odysia-cruise-uk.client.prod.eu-west.dreamlake.io/cruise-lines/ambassador-cruise-line/ambition")</f>
        <v>https://odysia-cruise-uk.client.prod.eu-west.dreamlake.io/cruise-lines/ambassador-cruise-line/ambition</v>
      </c>
      <c r="D173" s="51" t="s">
        <v>661</v>
      </c>
      <c r="E173" s="51" t="str">
        <f ca="1">IFERROR(__xludf.DUMMYFUNCTION("REGEXREPLACE(D173, ""https://odysia-cruise-uk.client.prod.eu-west.dreamlake.io"", """")"),"/cruise-lines/ambassador-cruise-line/ambition")</f>
        <v>/cruise-lines/ambassador-cruise-line/ambition</v>
      </c>
    </row>
    <row r="174" spans="1:5" ht="13">
      <c r="A174" s="100" t="s">
        <v>662</v>
      </c>
      <c r="B174" s="51" t="str">
        <f ca="1">IFERROR(__xludf.DUMMYFUNCTION("REGEXREPLACE(A174, ""&lt;loc&gt;"", """")"),"https://odysia-cruise-uk.client.prod.eu-west.dreamlake.io/cruise-lines/msc-cruises/msc-divina/cruises&lt;/loc&gt;")</f>
        <v>https://odysia-cruise-uk.client.prod.eu-west.dreamlake.io/cruise-lines/msc-cruises/msc-divina/cruises&lt;/loc&gt;</v>
      </c>
      <c r="C174" s="101" t="str">
        <f ca="1">IFERROR(__xludf.DUMMYFUNCTION("REGEXREPLACE(B174, ""&lt;/loc&gt;"", """")"),"https://odysia-cruise-uk.client.prod.eu-west.dreamlake.io/cruise-lines/msc-cruises/msc-divina/cruises")</f>
        <v>https://odysia-cruise-uk.client.prod.eu-west.dreamlake.io/cruise-lines/msc-cruises/msc-divina/cruises</v>
      </c>
      <c r="D174" s="51" t="s">
        <v>663</v>
      </c>
      <c r="E174" s="51" t="str">
        <f ca="1">IFERROR(__xludf.DUMMYFUNCTION("REGEXREPLACE(D174, ""https://odysia-cruise-uk.client.prod.eu-west.dreamlake.io"", """")"),"/cruise-lines/msc-cruises/msc-divina/cruises")</f>
        <v>/cruise-lines/msc-cruises/msc-divina/cruises</v>
      </c>
    </row>
    <row r="175" spans="1:5" ht="13">
      <c r="A175" s="100" t="s">
        <v>664</v>
      </c>
      <c r="B175" s="51" t="str">
        <f ca="1">IFERROR(__xludf.DUMMYFUNCTION("REGEXREPLACE(A175, ""&lt;loc&gt;"", """")"),"https://odysia-cruise-uk.client.prod.eu-west.dreamlake.io/cruise-lines/seabourn/seabourn-encore&lt;/loc&gt;")</f>
        <v>https://odysia-cruise-uk.client.prod.eu-west.dreamlake.io/cruise-lines/seabourn/seabourn-encore&lt;/loc&gt;</v>
      </c>
      <c r="C175" s="101" t="str">
        <f ca="1">IFERROR(__xludf.DUMMYFUNCTION("REGEXREPLACE(B175, ""&lt;/loc&gt;"", """")"),"https://odysia-cruise-uk.client.prod.eu-west.dreamlake.io/cruise-lines/seabourn/seabourn-encore")</f>
        <v>https://odysia-cruise-uk.client.prod.eu-west.dreamlake.io/cruise-lines/seabourn/seabourn-encore</v>
      </c>
      <c r="D175" s="51" t="s">
        <v>665</v>
      </c>
      <c r="E175" s="51" t="str">
        <f ca="1">IFERROR(__xludf.DUMMYFUNCTION("REGEXREPLACE(D175, ""https://odysia-cruise-uk.client.prod.eu-west.dreamlake.io"", """")"),"/cruise-lines/seabourn/seabourn-encore")</f>
        <v>/cruise-lines/seabourn/seabourn-encore</v>
      </c>
    </row>
    <row r="176" spans="1:5" ht="13">
      <c r="A176" s="100" t="s">
        <v>666</v>
      </c>
      <c r="B176" s="51" t="str">
        <f ca="1">IFERROR(__xludf.DUMMYFUNCTION("REGEXREPLACE(A176, ""&lt;loc&gt;"", """")"),"https://odysia-cruise-uk.client.prod.eu-west.dreamlake.io/cruise-lines/norwegian-cruise-line/norwegian-sun/cruises&lt;/loc&gt;")</f>
        <v>https://odysia-cruise-uk.client.prod.eu-west.dreamlake.io/cruise-lines/norwegian-cruise-line/norwegian-sun/cruises&lt;/loc&gt;</v>
      </c>
      <c r="C176" s="101" t="str">
        <f ca="1">IFERROR(__xludf.DUMMYFUNCTION("REGEXREPLACE(B176, ""&lt;/loc&gt;"", """")"),"https://odysia-cruise-uk.client.prod.eu-west.dreamlake.io/cruise-lines/norwegian-cruise-line/norwegian-sun/cruises")</f>
        <v>https://odysia-cruise-uk.client.prod.eu-west.dreamlake.io/cruise-lines/norwegian-cruise-line/norwegian-sun/cruises</v>
      </c>
      <c r="D176" s="51" t="s">
        <v>667</v>
      </c>
      <c r="E176" s="51" t="str">
        <f ca="1">IFERROR(__xludf.DUMMYFUNCTION("REGEXREPLACE(D176, ""https://odysia-cruise-uk.client.prod.eu-west.dreamlake.io"", """")"),"/cruise-lines/norwegian-cruise-line/norwegian-sun/cruises")</f>
        <v>/cruise-lines/norwegian-cruise-line/norwegian-sun/cruises</v>
      </c>
    </row>
    <row r="177" spans="1:5" ht="13">
      <c r="A177" s="100" t="s">
        <v>668</v>
      </c>
      <c r="B177" s="51" t="str">
        <f ca="1">IFERROR(__xludf.DUMMYFUNCTION("REGEXREPLACE(A177, ""&lt;loc&gt;"", """")"),"https://odysia-cruise-uk.client.prod.eu-west.dreamlake.io/cruise-lines/princess-cruises/diamond-princess/cruises&lt;/loc&gt;")</f>
        <v>https://odysia-cruise-uk.client.prod.eu-west.dreamlake.io/cruise-lines/princess-cruises/diamond-princess/cruises&lt;/loc&gt;</v>
      </c>
      <c r="C177" s="101" t="str">
        <f ca="1">IFERROR(__xludf.DUMMYFUNCTION("REGEXREPLACE(B177, ""&lt;/loc&gt;"", """")"),"https://odysia-cruise-uk.client.prod.eu-west.dreamlake.io/cruise-lines/princess-cruises/diamond-princess/cruises")</f>
        <v>https://odysia-cruise-uk.client.prod.eu-west.dreamlake.io/cruise-lines/princess-cruises/diamond-princess/cruises</v>
      </c>
      <c r="D177" s="51" t="s">
        <v>669</v>
      </c>
      <c r="E177" s="51" t="str">
        <f ca="1">IFERROR(__xludf.DUMMYFUNCTION("REGEXREPLACE(D177, ""https://odysia-cruise-uk.client.prod.eu-west.dreamlake.io"", """")"),"/cruise-lines/princess-cruises/diamond-princess/cruises")</f>
        <v>/cruise-lines/princess-cruises/diamond-princess/cruises</v>
      </c>
    </row>
    <row r="178" spans="1:5" ht="13">
      <c r="A178" s="100" t="s">
        <v>670</v>
      </c>
      <c r="B178" s="51" t="str">
        <f ca="1">IFERROR(__xludf.DUMMYFUNCTION("REGEXREPLACE(A178, ""&lt;loc&gt;"", """")"),"https://odysia-cruise-uk.client.prod.eu-west.dreamlake.io/cruise-lines/princess-cruises/crown-princess&lt;/loc&gt;")</f>
        <v>https://odysia-cruise-uk.client.prod.eu-west.dreamlake.io/cruise-lines/princess-cruises/crown-princess&lt;/loc&gt;</v>
      </c>
      <c r="C178" s="101" t="str">
        <f ca="1">IFERROR(__xludf.DUMMYFUNCTION("REGEXREPLACE(B178, ""&lt;/loc&gt;"", """")"),"https://odysia-cruise-uk.client.prod.eu-west.dreamlake.io/cruise-lines/princess-cruises/crown-princess")</f>
        <v>https://odysia-cruise-uk.client.prod.eu-west.dreamlake.io/cruise-lines/princess-cruises/crown-princess</v>
      </c>
      <c r="D178" s="51" t="s">
        <v>671</v>
      </c>
      <c r="E178" s="51" t="str">
        <f ca="1">IFERROR(__xludf.DUMMYFUNCTION("REGEXREPLACE(D178, ""https://odysia-cruise-uk.client.prod.eu-west.dreamlake.io"", """")"),"/cruise-lines/princess-cruises/crown-princess")</f>
        <v>/cruise-lines/princess-cruises/crown-princess</v>
      </c>
    </row>
    <row r="179" spans="1:5" ht="13">
      <c r="A179" s="100" t="s">
        <v>672</v>
      </c>
      <c r="B179" s="51" t="str">
        <f ca="1">IFERROR(__xludf.DUMMYFUNCTION("REGEXREPLACE(A179, ""&lt;loc&gt;"", """")"),"https://odysia-cruise-uk.client.prod.eu-west.dreamlake.io/cruise-lines/oceania-cruises/oceania-insignia/cruises&lt;/loc&gt;")</f>
        <v>https://odysia-cruise-uk.client.prod.eu-west.dreamlake.io/cruise-lines/oceania-cruises/oceania-insignia/cruises&lt;/loc&gt;</v>
      </c>
      <c r="C179" s="101" t="str">
        <f ca="1">IFERROR(__xludf.DUMMYFUNCTION("REGEXREPLACE(B179, ""&lt;/loc&gt;"", """")"),"https://odysia-cruise-uk.client.prod.eu-west.dreamlake.io/cruise-lines/oceania-cruises/oceania-insignia/cruises")</f>
        <v>https://odysia-cruise-uk.client.prod.eu-west.dreamlake.io/cruise-lines/oceania-cruises/oceania-insignia/cruises</v>
      </c>
      <c r="D179" s="51" t="s">
        <v>673</v>
      </c>
      <c r="E179" s="51" t="str">
        <f ca="1">IFERROR(__xludf.DUMMYFUNCTION("REGEXREPLACE(D179, ""https://odysia-cruise-uk.client.prod.eu-west.dreamlake.io"", """")"),"/cruise-lines/oceania-cruises/oceania-insignia/cruises")</f>
        <v>/cruise-lines/oceania-cruises/oceania-insignia/cruises</v>
      </c>
    </row>
    <row r="180" spans="1:5" ht="13">
      <c r="A180" s="100" t="s">
        <v>674</v>
      </c>
      <c r="B180" s="51" t="str">
        <f ca="1">IFERROR(__xludf.DUMMYFUNCTION("REGEXREPLACE(A180, ""&lt;loc&gt;"", """")"),"https://odysia-cruise-uk.client.prod.eu-west.dreamlake.io/cruise-lines/msc-cruises/msc-magnifica&lt;/loc&gt;")</f>
        <v>https://odysia-cruise-uk.client.prod.eu-west.dreamlake.io/cruise-lines/msc-cruises/msc-magnifica&lt;/loc&gt;</v>
      </c>
      <c r="C180" s="101" t="str">
        <f ca="1">IFERROR(__xludf.DUMMYFUNCTION("REGEXREPLACE(B180, ""&lt;/loc&gt;"", """")"),"https://odysia-cruise-uk.client.prod.eu-west.dreamlake.io/cruise-lines/msc-cruises/msc-magnifica")</f>
        <v>https://odysia-cruise-uk.client.prod.eu-west.dreamlake.io/cruise-lines/msc-cruises/msc-magnifica</v>
      </c>
      <c r="D180" s="51" t="s">
        <v>675</v>
      </c>
      <c r="E180" s="51" t="str">
        <f ca="1">IFERROR(__xludf.DUMMYFUNCTION("REGEXREPLACE(D180, ""https://odysia-cruise-uk.client.prod.eu-west.dreamlake.io"", """")"),"/cruise-lines/msc-cruises/msc-magnifica")</f>
        <v>/cruise-lines/msc-cruises/msc-magnifica</v>
      </c>
    </row>
    <row r="181" spans="1:5" ht="13">
      <c r="A181" s="100" t="s">
        <v>676</v>
      </c>
      <c r="B181" s="51" t="str">
        <f ca="1">IFERROR(__xludf.DUMMYFUNCTION("REGEXREPLACE(A181, ""&lt;loc&gt;"", """")"),"https://odysia-cruise-uk.client.prod.eu-west.dreamlake.io/cruise-lines/seabourn/seabourn-sojourn&lt;/loc&gt;")</f>
        <v>https://odysia-cruise-uk.client.prod.eu-west.dreamlake.io/cruise-lines/seabourn/seabourn-sojourn&lt;/loc&gt;</v>
      </c>
      <c r="C181" s="101" t="str">
        <f ca="1">IFERROR(__xludf.DUMMYFUNCTION("REGEXREPLACE(B181, ""&lt;/loc&gt;"", """")"),"https://odysia-cruise-uk.client.prod.eu-west.dreamlake.io/cruise-lines/seabourn/seabourn-sojourn")</f>
        <v>https://odysia-cruise-uk.client.prod.eu-west.dreamlake.io/cruise-lines/seabourn/seabourn-sojourn</v>
      </c>
      <c r="D181" s="51" t="s">
        <v>677</v>
      </c>
      <c r="E181" s="51" t="str">
        <f ca="1">IFERROR(__xludf.DUMMYFUNCTION("REGEXREPLACE(D181, ""https://odysia-cruise-uk.client.prod.eu-west.dreamlake.io"", """")"),"/cruise-lines/seabourn/seabourn-sojourn")</f>
        <v>/cruise-lines/seabourn/seabourn-sojourn</v>
      </c>
    </row>
    <row r="182" spans="1:5" ht="13">
      <c r="A182" s="100" t="s">
        <v>678</v>
      </c>
      <c r="B182" s="51" t="str">
        <f ca="1">IFERROR(__xludf.DUMMYFUNCTION("REGEXREPLACE(A182, ""&lt;loc&gt;"", """")"),"https://odysia-cruise-uk.client.prod.eu-west.dreamlake.io/cruise-lines/msc-cruises/msc-splendida&lt;/loc&gt;")</f>
        <v>https://odysia-cruise-uk.client.prod.eu-west.dreamlake.io/cruise-lines/msc-cruises/msc-splendida&lt;/loc&gt;</v>
      </c>
      <c r="C182" s="101" t="str">
        <f ca="1">IFERROR(__xludf.DUMMYFUNCTION("REGEXREPLACE(B182, ""&lt;/loc&gt;"", """")"),"https://odysia-cruise-uk.client.prod.eu-west.dreamlake.io/cruise-lines/msc-cruises/msc-splendida")</f>
        <v>https://odysia-cruise-uk.client.prod.eu-west.dreamlake.io/cruise-lines/msc-cruises/msc-splendida</v>
      </c>
      <c r="D182" s="51" t="s">
        <v>679</v>
      </c>
      <c r="E182" s="51" t="str">
        <f ca="1">IFERROR(__xludf.DUMMYFUNCTION("REGEXREPLACE(D182, ""https://odysia-cruise-uk.client.prod.eu-west.dreamlake.io"", """")"),"/cruise-lines/msc-cruises/msc-splendida")</f>
        <v>/cruise-lines/msc-cruises/msc-splendida</v>
      </c>
    </row>
    <row r="183" spans="1:5" ht="13">
      <c r="A183" s="100" t="s">
        <v>680</v>
      </c>
      <c r="B183" s="51" t="str">
        <f ca="1">IFERROR(__xludf.DUMMYFUNCTION("REGEXREPLACE(A183, ""&lt;loc&gt;"", """")"),"https://odysia-cruise-uk.client.prod.eu-west.dreamlake.io/cruise-lines/msc-cruises/msc-poesia&lt;/loc&gt;")</f>
        <v>https://odysia-cruise-uk.client.prod.eu-west.dreamlake.io/cruise-lines/msc-cruises/msc-poesia&lt;/loc&gt;</v>
      </c>
      <c r="C183" s="101" t="str">
        <f ca="1">IFERROR(__xludf.DUMMYFUNCTION("REGEXREPLACE(B183, ""&lt;/loc&gt;"", """")"),"https://odysia-cruise-uk.client.prod.eu-west.dreamlake.io/cruise-lines/msc-cruises/msc-poesia")</f>
        <v>https://odysia-cruise-uk.client.prod.eu-west.dreamlake.io/cruise-lines/msc-cruises/msc-poesia</v>
      </c>
      <c r="D183" s="51" t="s">
        <v>681</v>
      </c>
      <c r="E183" s="51" t="str">
        <f ca="1">IFERROR(__xludf.DUMMYFUNCTION("REGEXREPLACE(D183, ""https://odysia-cruise-uk.client.prod.eu-west.dreamlake.io"", """")"),"/cruise-lines/msc-cruises/msc-poesia")</f>
        <v>/cruise-lines/msc-cruises/msc-poesia</v>
      </c>
    </row>
    <row r="184" spans="1:5" ht="13">
      <c r="A184" s="100" t="s">
        <v>682</v>
      </c>
      <c r="B184" s="51" t="str">
        <f ca="1">IFERROR(__xludf.DUMMYFUNCTION("REGEXREPLACE(A184, ""&lt;loc&gt;"", """")"),"https://odysia-cruise-uk.client.prod.eu-west.dreamlake.io/cruise-lines/msc-cruises/msc-sinfonia/cruises&lt;/loc&gt;")</f>
        <v>https://odysia-cruise-uk.client.prod.eu-west.dreamlake.io/cruise-lines/msc-cruises/msc-sinfonia/cruises&lt;/loc&gt;</v>
      </c>
      <c r="C184" s="101" t="str">
        <f ca="1">IFERROR(__xludf.DUMMYFUNCTION("REGEXREPLACE(B184, ""&lt;/loc&gt;"", """")"),"https://odysia-cruise-uk.client.prod.eu-west.dreamlake.io/cruise-lines/msc-cruises/msc-sinfonia/cruises")</f>
        <v>https://odysia-cruise-uk.client.prod.eu-west.dreamlake.io/cruise-lines/msc-cruises/msc-sinfonia/cruises</v>
      </c>
      <c r="D184" s="51" t="s">
        <v>683</v>
      </c>
      <c r="E184" s="51" t="str">
        <f ca="1">IFERROR(__xludf.DUMMYFUNCTION("REGEXREPLACE(D184, ""https://odysia-cruise-uk.client.prod.eu-west.dreamlake.io"", """")"),"/cruise-lines/msc-cruises/msc-sinfonia/cruises")</f>
        <v>/cruise-lines/msc-cruises/msc-sinfonia/cruises</v>
      </c>
    </row>
    <row r="185" spans="1:5" ht="13">
      <c r="A185" s="100" t="s">
        <v>684</v>
      </c>
      <c r="B185" s="51" t="str">
        <f ca="1">IFERROR(__xludf.DUMMYFUNCTION("REGEXREPLACE(A185, ""&lt;loc&gt;"", """")"),"https://odysia-cruise-uk.client.prod.eu-west.dreamlake.io/cruise-lines/norwegian-cruise-line/norwegian-getaway/cruises&lt;/loc&gt;")</f>
        <v>https://odysia-cruise-uk.client.prod.eu-west.dreamlake.io/cruise-lines/norwegian-cruise-line/norwegian-getaway/cruises&lt;/loc&gt;</v>
      </c>
      <c r="C185" s="101" t="str">
        <f ca="1">IFERROR(__xludf.DUMMYFUNCTION("REGEXREPLACE(B185, ""&lt;/loc&gt;"", """")"),"https://odysia-cruise-uk.client.prod.eu-west.dreamlake.io/cruise-lines/norwegian-cruise-line/norwegian-getaway/cruises")</f>
        <v>https://odysia-cruise-uk.client.prod.eu-west.dreamlake.io/cruise-lines/norwegian-cruise-line/norwegian-getaway/cruises</v>
      </c>
      <c r="D185" s="51" t="s">
        <v>685</v>
      </c>
      <c r="E185" s="51" t="str">
        <f ca="1">IFERROR(__xludf.DUMMYFUNCTION("REGEXREPLACE(D185, ""https://odysia-cruise-uk.client.prod.eu-west.dreamlake.io"", """")"),"/cruise-lines/norwegian-cruise-line/norwegian-getaway/cruises")</f>
        <v>/cruise-lines/norwegian-cruise-line/norwegian-getaway/cruises</v>
      </c>
    </row>
    <row r="186" spans="1:5" ht="13">
      <c r="A186" s="100" t="s">
        <v>686</v>
      </c>
      <c r="B186" s="51" t="str">
        <f ca="1">IFERROR(__xludf.DUMMYFUNCTION("REGEXREPLACE(A186, ""&lt;loc&gt;"", """")"),"https://odysia-cruise-uk.client.prod.eu-west.dreamlake.io/cruise-lines/royal-caribbean/oasis-of-the-seas/cruises&lt;/loc&gt;")</f>
        <v>https://odysia-cruise-uk.client.prod.eu-west.dreamlake.io/cruise-lines/royal-caribbean/oasis-of-the-seas/cruises&lt;/loc&gt;</v>
      </c>
      <c r="C186" s="101" t="str">
        <f ca="1">IFERROR(__xludf.DUMMYFUNCTION("REGEXREPLACE(B186, ""&lt;/loc&gt;"", """")"),"https://odysia-cruise-uk.client.prod.eu-west.dreamlake.io/cruise-lines/royal-caribbean/oasis-of-the-seas/cruises")</f>
        <v>https://odysia-cruise-uk.client.prod.eu-west.dreamlake.io/cruise-lines/royal-caribbean/oasis-of-the-seas/cruises</v>
      </c>
      <c r="D186" s="51" t="s">
        <v>687</v>
      </c>
      <c r="E186" s="51" t="str">
        <f ca="1">IFERROR(__xludf.DUMMYFUNCTION("REGEXREPLACE(D186, ""https://odysia-cruise-uk.client.prod.eu-west.dreamlake.io"", """")"),"/cruise-lines/royal-caribbean/oasis-of-the-seas/cruises")</f>
        <v>/cruise-lines/royal-caribbean/oasis-of-the-seas/cruises</v>
      </c>
    </row>
    <row r="187" spans="1:5" ht="13">
      <c r="A187" s="100" t="s">
        <v>688</v>
      </c>
      <c r="B187" s="51" t="str">
        <f ca="1">IFERROR(__xludf.DUMMYFUNCTION("REGEXREPLACE(A187, ""&lt;loc&gt;"", """")"),"https://odysia-cruise-uk.client.prod.eu-west.dreamlake.io/cruise-lines/po-cruises/arcadia&lt;/loc&gt;")</f>
        <v>https://odysia-cruise-uk.client.prod.eu-west.dreamlake.io/cruise-lines/po-cruises/arcadia&lt;/loc&gt;</v>
      </c>
      <c r="C187" s="101" t="str">
        <f ca="1">IFERROR(__xludf.DUMMYFUNCTION("REGEXREPLACE(B187, ""&lt;/loc&gt;"", """")"),"https://odysia-cruise-uk.client.prod.eu-west.dreamlake.io/cruise-lines/po-cruises/arcadia")</f>
        <v>https://odysia-cruise-uk.client.prod.eu-west.dreamlake.io/cruise-lines/po-cruises/arcadia</v>
      </c>
      <c r="D187" s="51" t="s">
        <v>689</v>
      </c>
      <c r="E187" s="51" t="str">
        <f ca="1">IFERROR(__xludf.DUMMYFUNCTION("REGEXREPLACE(D187, ""https://odysia-cruise-uk.client.prod.eu-west.dreamlake.io"", """")"),"/cruise-lines/po-cruises/arcadia")</f>
        <v>/cruise-lines/po-cruises/arcadia</v>
      </c>
    </row>
    <row r="188" spans="1:5" ht="13">
      <c r="A188" s="100" t="s">
        <v>690</v>
      </c>
      <c r="B188" s="51" t="str">
        <f ca="1">IFERROR(__xludf.DUMMYFUNCTION("REGEXREPLACE(A188, ""&lt;loc&gt;"", """")"),"https://odysia-cruise-uk.client.prod.eu-west.dreamlake.io/cruise-lines/royal-caribbean/ovation-of-the-seas/cruises&lt;/loc&gt;")</f>
        <v>https://odysia-cruise-uk.client.prod.eu-west.dreamlake.io/cruise-lines/royal-caribbean/ovation-of-the-seas/cruises&lt;/loc&gt;</v>
      </c>
      <c r="C188" s="101" t="str">
        <f ca="1">IFERROR(__xludf.DUMMYFUNCTION("REGEXREPLACE(B188, ""&lt;/loc&gt;"", """")"),"https://odysia-cruise-uk.client.prod.eu-west.dreamlake.io/cruise-lines/royal-caribbean/ovation-of-the-seas/cruises")</f>
        <v>https://odysia-cruise-uk.client.prod.eu-west.dreamlake.io/cruise-lines/royal-caribbean/ovation-of-the-seas/cruises</v>
      </c>
      <c r="D188" s="51" t="s">
        <v>691</v>
      </c>
      <c r="E188" s="51" t="str">
        <f ca="1">IFERROR(__xludf.DUMMYFUNCTION("REGEXREPLACE(D188, ""https://odysia-cruise-uk.client.prod.eu-west.dreamlake.io"", """")"),"/cruise-lines/royal-caribbean/ovation-of-the-seas/cruises")</f>
        <v>/cruise-lines/royal-caribbean/ovation-of-the-seas/cruises</v>
      </c>
    </row>
    <row r="189" spans="1:5" ht="13">
      <c r="A189" s="100" t="s">
        <v>692</v>
      </c>
      <c r="B189" s="51" t="str">
        <f ca="1">IFERROR(__xludf.DUMMYFUNCTION("REGEXREPLACE(A189, ""&lt;loc&gt;"", """")"),"https://odysia-cruise-uk.client.prod.eu-west.dreamlake.io/cruise-lines/celebrity-cruises/celebrity-constellation&lt;/loc&gt;")</f>
        <v>https://odysia-cruise-uk.client.prod.eu-west.dreamlake.io/cruise-lines/celebrity-cruises/celebrity-constellation&lt;/loc&gt;</v>
      </c>
      <c r="C189" s="101" t="str">
        <f ca="1">IFERROR(__xludf.DUMMYFUNCTION("REGEXREPLACE(B189, ""&lt;/loc&gt;"", """")"),"https://odysia-cruise-uk.client.prod.eu-west.dreamlake.io/cruise-lines/celebrity-cruises/celebrity-constellation")</f>
        <v>https://odysia-cruise-uk.client.prod.eu-west.dreamlake.io/cruise-lines/celebrity-cruises/celebrity-constellation</v>
      </c>
      <c r="D189" s="51" t="s">
        <v>693</v>
      </c>
      <c r="E189" s="51" t="str">
        <f ca="1">IFERROR(__xludf.DUMMYFUNCTION("REGEXREPLACE(D189, ""https://odysia-cruise-uk.client.prod.eu-west.dreamlake.io"", """")"),"/cruise-lines/celebrity-cruises/celebrity-constellation")</f>
        <v>/cruise-lines/celebrity-cruises/celebrity-constellation</v>
      </c>
    </row>
    <row r="190" spans="1:5" ht="13">
      <c r="A190" s="100" t="s">
        <v>694</v>
      </c>
      <c r="B190" s="51" t="str">
        <f ca="1">IFERROR(__xludf.DUMMYFUNCTION("REGEXREPLACE(A190, ""&lt;loc&gt;"", """")"),"https://odysia-cruise-uk.client.prod.eu-west.dreamlake.io/cruise-lines/holland-america-line/nieuw-statendam&lt;/loc&gt;")</f>
        <v>https://odysia-cruise-uk.client.prod.eu-west.dreamlake.io/cruise-lines/holland-america-line/nieuw-statendam&lt;/loc&gt;</v>
      </c>
      <c r="C190" s="101" t="str">
        <f ca="1">IFERROR(__xludf.DUMMYFUNCTION("REGEXREPLACE(B190, ""&lt;/loc&gt;"", """")"),"https://odysia-cruise-uk.client.prod.eu-west.dreamlake.io/cruise-lines/holland-america-line/nieuw-statendam")</f>
        <v>https://odysia-cruise-uk.client.prod.eu-west.dreamlake.io/cruise-lines/holland-america-line/nieuw-statendam</v>
      </c>
      <c r="D190" s="51" t="s">
        <v>695</v>
      </c>
      <c r="E190" s="51" t="str">
        <f ca="1">IFERROR(__xludf.DUMMYFUNCTION("REGEXREPLACE(D190, ""https://odysia-cruise-uk.client.prod.eu-west.dreamlake.io"", """")"),"/cruise-lines/holland-america-line/nieuw-statendam")</f>
        <v>/cruise-lines/holland-america-line/nieuw-statendam</v>
      </c>
    </row>
    <row r="191" spans="1:5" ht="13">
      <c r="A191" s="100" t="s">
        <v>696</v>
      </c>
      <c r="B191" s="51" t="str">
        <f ca="1">IFERROR(__xludf.DUMMYFUNCTION("REGEXREPLACE(A191, ""&lt;loc&gt;"", """")"),"https://odysia-cruise-uk.client.prod.eu-west.dreamlake.io/cruise-lines/msc-cruises/msc-lirica&lt;/loc&gt;")</f>
        <v>https://odysia-cruise-uk.client.prod.eu-west.dreamlake.io/cruise-lines/msc-cruises/msc-lirica&lt;/loc&gt;</v>
      </c>
      <c r="C191" s="101" t="str">
        <f ca="1">IFERROR(__xludf.DUMMYFUNCTION("REGEXREPLACE(B191, ""&lt;/loc&gt;"", """")"),"https://odysia-cruise-uk.client.prod.eu-west.dreamlake.io/cruise-lines/msc-cruises/msc-lirica")</f>
        <v>https://odysia-cruise-uk.client.prod.eu-west.dreamlake.io/cruise-lines/msc-cruises/msc-lirica</v>
      </c>
      <c r="D191" s="51" t="s">
        <v>697</v>
      </c>
      <c r="E191" s="51" t="str">
        <f ca="1">IFERROR(__xludf.DUMMYFUNCTION("REGEXREPLACE(D191, ""https://odysia-cruise-uk.client.prod.eu-west.dreamlake.io"", """")"),"/cruise-lines/msc-cruises/msc-lirica")</f>
        <v>/cruise-lines/msc-cruises/msc-lirica</v>
      </c>
    </row>
    <row r="192" spans="1:5" ht="13">
      <c r="A192" s="100" t="s">
        <v>698</v>
      </c>
      <c r="B192" s="51" t="str">
        <f ca="1">IFERROR(__xludf.DUMMYFUNCTION("REGEXREPLACE(A192, ""&lt;loc&gt;"", """")"),"https://odysia-cruise-uk.client.prod.eu-west.dreamlake.io/cruise-lines/norwegian-cruise-line/norwegian-luna/cruises&lt;/loc&gt;")</f>
        <v>https://odysia-cruise-uk.client.prod.eu-west.dreamlake.io/cruise-lines/norwegian-cruise-line/norwegian-luna/cruises&lt;/loc&gt;</v>
      </c>
      <c r="C192" s="101" t="str">
        <f ca="1">IFERROR(__xludf.DUMMYFUNCTION("REGEXREPLACE(B192, ""&lt;/loc&gt;"", """")"),"https://odysia-cruise-uk.client.prod.eu-west.dreamlake.io/cruise-lines/norwegian-cruise-line/norwegian-luna/cruises")</f>
        <v>https://odysia-cruise-uk.client.prod.eu-west.dreamlake.io/cruise-lines/norwegian-cruise-line/norwegian-luna/cruises</v>
      </c>
      <c r="D192" s="51" t="s">
        <v>699</v>
      </c>
      <c r="E192" s="51" t="str">
        <f ca="1">IFERROR(__xludf.DUMMYFUNCTION("REGEXREPLACE(D192, ""https://odysia-cruise-uk.client.prod.eu-west.dreamlake.io"", """")"),"/cruise-lines/norwegian-cruise-line/norwegian-luna/cruises")</f>
        <v>/cruise-lines/norwegian-cruise-line/norwegian-luna/cruises</v>
      </c>
    </row>
    <row r="193" spans="1:5" ht="13">
      <c r="A193" s="100" t="s">
        <v>700</v>
      </c>
      <c r="B193" s="51" t="str">
        <f ca="1">IFERROR(__xludf.DUMMYFUNCTION("REGEXREPLACE(A193, ""&lt;loc&gt;"", """")"),"https://odysia-cruise-uk.client.prod.eu-west.dreamlake.io/cruise-lines/regent-seven-seas-cruises/seven-seas-explorer/cruises&lt;/loc&gt;")</f>
        <v>https://odysia-cruise-uk.client.prod.eu-west.dreamlake.io/cruise-lines/regent-seven-seas-cruises/seven-seas-explorer/cruises&lt;/loc&gt;</v>
      </c>
      <c r="C193" s="101" t="str">
        <f ca="1">IFERROR(__xludf.DUMMYFUNCTION("REGEXREPLACE(B193, ""&lt;/loc&gt;"", """")"),"https://odysia-cruise-uk.client.prod.eu-west.dreamlake.io/cruise-lines/regent-seven-seas-cruises/seven-seas-explorer/cruises")</f>
        <v>https://odysia-cruise-uk.client.prod.eu-west.dreamlake.io/cruise-lines/regent-seven-seas-cruises/seven-seas-explorer/cruises</v>
      </c>
      <c r="D193" s="51" t="s">
        <v>701</v>
      </c>
      <c r="E193" s="51" t="str">
        <f ca="1">IFERROR(__xludf.DUMMYFUNCTION("REGEXREPLACE(D193, ""https://odysia-cruise-uk.client.prod.eu-west.dreamlake.io"", """")"),"/cruise-lines/regent-seven-seas-cruises/seven-seas-explorer/cruises")</f>
        <v>/cruise-lines/regent-seven-seas-cruises/seven-seas-explorer/cruises</v>
      </c>
    </row>
    <row r="194" spans="1:5" ht="13">
      <c r="A194" s="100" t="s">
        <v>702</v>
      </c>
      <c r="B194" s="51" t="str">
        <f ca="1">IFERROR(__xludf.DUMMYFUNCTION("REGEXREPLACE(A194, ""&lt;loc&gt;"", """")"),"https://odysia-cruise-uk.client.prod.eu-west.dreamlake.io/cruise-lines/msc-cruises/msc-fantasia&lt;/loc&gt;")</f>
        <v>https://odysia-cruise-uk.client.prod.eu-west.dreamlake.io/cruise-lines/msc-cruises/msc-fantasia&lt;/loc&gt;</v>
      </c>
      <c r="C194" s="101" t="str">
        <f ca="1">IFERROR(__xludf.DUMMYFUNCTION("REGEXREPLACE(B194, ""&lt;/loc&gt;"", """")"),"https://odysia-cruise-uk.client.prod.eu-west.dreamlake.io/cruise-lines/msc-cruises/msc-fantasia")</f>
        <v>https://odysia-cruise-uk.client.prod.eu-west.dreamlake.io/cruise-lines/msc-cruises/msc-fantasia</v>
      </c>
      <c r="D194" s="51" t="s">
        <v>703</v>
      </c>
      <c r="E194" s="51" t="str">
        <f ca="1">IFERROR(__xludf.DUMMYFUNCTION("REGEXREPLACE(D194, ""https://odysia-cruise-uk.client.prod.eu-west.dreamlake.io"", """")"),"/cruise-lines/msc-cruises/msc-fantasia")</f>
        <v>/cruise-lines/msc-cruises/msc-fantasia</v>
      </c>
    </row>
    <row r="195" spans="1:5" ht="13">
      <c r="A195" s="100" t="s">
        <v>704</v>
      </c>
      <c r="B195" s="51" t="str">
        <f ca="1">IFERROR(__xludf.DUMMYFUNCTION("REGEXREPLACE(A195, ""&lt;loc&gt;"", """")"),"https://odysia-cruise-uk.client.prod.eu-west.dreamlake.io/cruise-lines/msc-cruises/msc-preziosa/cruises&lt;/loc&gt;")</f>
        <v>https://odysia-cruise-uk.client.prod.eu-west.dreamlake.io/cruise-lines/msc-cruises/msc-preziosa/cruises&lt;/loc&gt;</v>
      </c>
      <c r="C195" s="101" t="str">
        <f ca="1">IFERROR(__xludf.DUMMYFUNCTION("REGEXREPLACE(B195, ""&lt;/loc&gt;"", """")"),"https://odysia-cruise-uk.client.prod.eu-west.dreamlake.io/cruise-lines/msc-cruises/msc-preziosa/cruises")</f>
        <v>https://odysia-cruise-uk.client.prod.eu-west.dreamlake.io/cruise-lines/msc-cruises/msc-preziosa/cruises</v>
      </c>
      <c r="D195" s="51" t="s">
        <v>705</v>
      </c>
      <c r="E195" s="51" t="str">
        <f ca="1">IFERROR(__xludf.DUMMYFUNCTION("REGEXREPLACE(D195, ""https://odysia-cruise-uk.client.prod.eu-west.dreamlake.io"", """")"),"/cruise-lines/msc-cruises/msc-preziosa/cruises")</f>
        <v>/cruise-lines/msc-cruises/msc-preziosa/cruises</v>
      </c>
    </row>
    <row r="196" spans="1:5" ht="13">
      <c r="A196" s="100" t="s">
        <v>706</v>
      </c>
      <c r="B196" s="51" t="str">
        <f ca="1">IFERROR(__xludf.DUMMYFUNCTION("REGEXREPLACE(A196, ""&lt;loc&gt;"", """")"),"https://odysia-cruise-uk.client.prod.eu-west.dreamlake.io/cruise-lines/azamara/cruises&lt;/loc&gt;")</f>
        <v>https://odysia-cruise-uk.client.prod.eu-west.dreamlake.io/cruise-lines/azamara/cruises&lt;/loc&gt;</v>
      </c>
      <c r="C196" s="101" t="str">
        <f ca="1">IFERROR(__xludf.DUMMYFUNCTION("REGEXREPLACE(B196, ""&lt;/loc&gt;"", """")"),"https://odysia-cruise-uk.client.prod.eu-west.dreamlake.io/cruise-lines/azamara/cruises")</f>
        <v>https://odysia-cruise-uk.client.prod.eu-west.dreamlake.io/cruise-lines/azamara/cruises</v>
      </c>
    </row>
    <row r="197" spans="1:5" ht="13">
      <c r="A197" s="100" t="s">
        <v>707</v>
      </c>
      <c r="B197" s="51" t="str">
        <f ca="1">IFERROR(__xludf.DUMMYFUNCTION("REGEXREPLACE(A197, ""&lt;loc&gt;"", """")"),"https://odysia-cruise-uk.client.prod.eu-west.dreamlake.io/cruise-lines/royal-caribbean/explorer-of-the-seas/cruises&lt;/loc&gt;")</f>
        <v>https://odysia-cruise-uk.client.prod.eu-west.dreamlake.io/cruise-lines/royal-caribbean/explorer-of-the-seas/cruises&lt;/loc&gt;</v>
      </c>
      <c r="C197" s="101" t="str">
        <f ca="1">IFERROR(__xludf.DUMMYFUNCTION("REGEXREPLACE(B197, ""&lt;/loc&gt;"", """")"),"https://odysia-cruise-uk.client.prod.eu-west.dreamlake.io/cruise-lines/royal-caribbean/explorer-of-the-seas/cruises")</f>
        <v>https://odysia-cruise-uk.client.prod.eu-west.dreamlake.io/cruise-lines/royal-caribbean/explorer-of-the-seas/cruises</v>
      </c>
      <c r="D197" s="51" t="s">
        <v>708</v>
      </c>
      <c r="E197" s="51" t="str">
        <f ca="1">IFERROR(__xludf.DUMMYFUNCTION("REGEXREPLACE(D197, ""https://odysia-cruise-uk.client.prod.eu-west.dreamlake.io"", """")"),"/cruise-lines/royal-caribbean/explorer-of-the-seas/cruises")</f>
        <v>/cruise-lines/royal-caribbean/explorer-of-the-seas/cruises</v>
      </c>
    </row>
    <row r="198" spans="1:5" ht="13">
      <c r="A198" s="100" t="s">
        <v>709</v>
      </c>
      <c r="B198" s="51" t="str">
        <f ca="1">IFERROR(__xludf.DUMMYFUNCTION("REGEXREPLACE(A198, ""&lt;loc&gt;"", """")"),"https://odysia-cruise-uk.client.prod.eu-west.dreamlake.io/cruise-lines/celebrity-cruises/celebrity-xcel&lt;/loc&gt;")</f>
        <v>https://odysia-cruise-uk.client.prod.eu-west.dreamlake.io/cruise-lines/celebrity-cruises/celebrity-xcel&lt;/loc&gt;</v>
      </c>
      <c r="C198" s="101" t="str">
        <f ca="1">IFERROR(__xludf.DUMMYFUNCTION("REGEXREPLACE(B198, ""&lt;/loc&gt;"", """")"),"https://odysia-cruise-uk.client.prod.eu-west.dreamlake.io/cruise-lines/celebrity-cruises/celebrity-xcel")</f>
        <v>https://odysia-cruise-uk.client.prod.eu-west.dreamlake.io/cruise-lines/celebrity-cruises/celebrity-xcel</v>
      </c>
      <c r="D198" s="51" t="s">
        <v>710</v>
      </c>
      <c r="E198" s="51" t="str">
        <f ca="1">IFERROR(__xludf.DUMMYFUNCTION("REGEXREPLACE(D198, ""https://odysia-cruise-uk.client.prod.eu-west.dreamlake.io"", """")"),"/cruise-lines/celebrity-cruises/celebrity-xcel")</f>
        <v>/cruise-lines/celebrity-cruises/celebrity-xcel</v>
      </c>
    </row>
    <row r="199" spans="1:5" ht="13">
      <c r="A199" s="100" t="s">
        <v>711</v>
      </c>
      <c r="B199" s="51" t="str">
        <f ca="1">IFERROR(__xludf.DUMMYFUNCTION("REGEXREPLACE(A199, ""&lt;loc&gt;"", """")"),"https://odysia-cruise-uk.client.prod.eu-west.dreamlake.io/cruise-calendar/canary-islands-cruise-dates&lt;/loc&gt;")</f>
        <v>https://odysia-cruise-uk.client.prod.eu-west.dreamlake.io/cruise-calendar/canary-islands-cruise-dates&lt;/loc&gt;</v>
      </c>
      <c r="C199" s="101" t="str">
        <f ca="1">IFERROR(__xludf.DUMMYFUNCTION("REGEXREPLACE(B199, ""&lt;/loc&gt;"", """")"),"https://odysia-cruise-uk.client.prod.eu-west.dreamlake.io/cruise-calendar/canary-islands-cruise-dates")</f>
        <v>https://odysia-cruise-uk.client.prod.eu-west.dreamlake.io/cruise-calendar/canary-islands-cruise-dates</v>
      </c>
    </row>
    <row r="200" spans="1:5" ht="13">
      <c r="A200" s="100" t="s">
        <v>712</v>
      </c>
      <c r="B200" s="51" t="str">
        <f ca="1">IFERROR(__xludf.DUMMYFUNCTION("REGEXREPLACE(A200, ""&lt;loc&gt;"", """")"),"https://odysia-cruise-uk.client.prod.eu-west.dreamlake.io/cruise-lines/oceania-cruises/oceania-insignia&lt;/loc&gt;")</f>
        <v>https://odysia-cruise-uk.client.prod.eu-west.dreamlake.io/cruise-lines/oceania-cruises/oceania-insignia&lt;/loc&gt;</v>
      </c>
      <c r="C200" s="101" t="str">
        <f ca="1">IFERROR(__xludf.DUMMYFUNCTION("REGEXREPLACE(B200, ""&lt;/loc&gt;"", """")"),"https://odysia-cruise-uk.client.prod.eu-west.dreamlake.io/cruise-lines/oceania-cruises/oceania-insignia")</f>
        <v>https://odysia-cruise-uk.client.prod.eu-west.dreamlake.io/cruise-lines/oceania-cruises/oceania-insignia</v>
      </c>
      <c r="D200" s="51" t="s">
        <v>713</v>
      </c>
      <c r="E200" s="51" t="str">
        <f ca="1">IFERROR(__xludf.DUMMYFUNCTION("REGEXREPLACE(D200, ""https://odysia-cruise-uk.client.prod.eu-west.dreamlake.io"", """")"),"/cruise-lines/oceania-cruises/oceania-insignia")</f>
        <v>/cruise-lines/oceania-cruises/oceania-insignia</v>
      </c>
    </row>
    <row r="201" spans="1:5" ht="13">
      <c r="A201" s="100" t="s">
        <v>714</v>
      </c>
      <c r="B201" s="51" t="str">
        <f ca="1">IFERROR(__xludf.DUMMYFUNCTION("REGEXREPLACE(A201, ""&lt;loc&gt;"", """")"),"https://odysia-cruise-uk.client.prod.eu-west.dreamlake.io/cruise-deals/cruises-from-newcastle&lt;/loc&gt;")</f>
        <v>https://odysia-cruise-uk.client.prod.eu-west.dreamlake.io/cruise-deals/cruises-from-newcastle&lt;/loc&gt;</v>
      </c>
      <c r="C201" s="101" t="str">
        <f ca="1">IFERROR(__xludf.DUMMYFUNCTION("REGEXREPLACE(B201, ""&lt;/loc&gt;"", """")"),"https://odysia-cruise-uk.client.prod.eu-west.dreamlake.io/cruise-deals/cruises-from-newcastle")</f>
        <v>https://odysia-cruise-uk.client.prod.eu-west.dreamlake.io/cruise-deals/cruises-from-newcastle</v>
      </c>
      <c r="D201" s="51" t="s">
        <v>715</v>
      </c>
    </row>
    <row r="202" spans="1:5" ht="13">
      <c r="A202" s="100" t="s">
        <v>716</v>
      </c>
      <c r="B202" s="51" t="str">
        <f ca="1">IFERROR(__xludf.DUMMYFUNCTION("REGEXREPLACE(A202, ""&lt;loc&gt;"", """")"),"https://odysia-cruise-uk.client.prod.eu-west.dreamlake.io/cruise-lines/princess-cruises/sapphire-princess&lt;/loc&gt;")</f>
        <v>https://odysia-cruise-uk.client.prod.eu-west.dreamlake.io/cruise-lines/princess-cruises/sapphire-princess&lt;/loc&gt;</v>
      </c>
      <c r="C202" s="101" t="str">
        <f ca="1">IFERROR(__xludf.DUMMYFUNCTION("REGEXREPLACE(B202, ""&lt;/loc&gt;"", """")"),"https://odysia-cruise-uk.client.prod.eu-west.dreamlake.io/cruise-lines/princess-cruises/sapphire-princess")</f>
        <v>https://odysia-cruise-uk.client.prod.eu-west.dreamlake.io/cruise-lines/princess-cruises/sapphire-princess</v>
      </c>
      <c r="D202" s="51" t="s">
        <v>717</v>
      </c>
      <c r="E202" s="51" t="str">
        <f ca="1">IFERROR(__xludf.DUMMYFUNCTION("REGEXREPLACE(D202, ""https://odysia-cruise-uk.client.prod.eu-west.dreamlake.io"", """")"),"/cruise-lines/princess-cruises/sapphire-princess")</f>
        <v>/cruise-lines/princess-cruises/sapphire-princess</v>
      </c>
    </row>
    <row r="203" spans="1:5" ht="13">
      <c r="A203" s="100" t="s">
        <v>718</v>
      </c>
      <c r="B203" s="51" t="str">
        <f ca="1">IFERROR(__xludf.DUMMYFUNCTION("REGEXREPLACE(A203, ""&lt;loc&gt;"", """")"),"https://odysia-cruise-uk.client.prod.eu-west.dreamlake.io/destinations/northern-europe-cruises&lt;/loc&gt;")</f>
        <v>https://odysia-cruise-uk.client.prod.eu-west.dreamlake.io/destinations/northern-europe-cruises&lt;/loc&gt;</v>
      </c>
      <c r="C203" s="101" t="str">
        <f ca="1">IFERROR(__xludf.DUMMYFUNCTION("REGEXREPLACE(B203, ""&lt;/loc&gt;"", """")"),"https://odysia-cruise-uk.client.prod.eu-west.dreamlake.io/destinations/northern-europe-cruises")</f>
        <v>https://odysia-cruise-uk.client.prod.eu-west.dreamlake.io/destinations/northern-europe-cruises</v>
      </c>
    </row>
    <row r="204" spans="1:5" ht="13">
      <c r="A204" s="100" t="s">
        <v>719</v>
      </c>
      <c r="B204" s="51" t="str">
        <f ca="1">IFERROR(__xludf.DUMMYFUNCTION("REGEXREPLACE(A204, ""&lt;loc&gt;"", """")"),"https://odysia-cruise-uk.client.prod.eu-west.dreamlake.io/cruise-lines/celebrity-cruises/celebrity-millennium/cruises&lt;/loc&gt;")</f>
        <v>https://odysia-cruise-uk.client.prod.eu-west.dreamlake.io/cruise-lines/celebrity-cruises/celebrity-millennium/cruises&lt;/loc&gt;</v>
      </c>
      <c r="C204" s="101" t="str">
        <f ca="1">IFERROR(__xludf.DUMMYFUNCTION("REGEXREPLACE(B204, ""&lt;/loc&gt;"", """")"),"https://odysia-cruise-uk.client.prod.eu-west.dreamlake.io/cruise-lines/celebrity-cruises/celebrity-millennium/cruises")</f>
        <v>https://odysia-cruise-uk.client.prod.eu-west.dreamlake.io/cruise-lines/celebrity-cruises/celebrity-millennium/cruises</v>
      </c>
      <c r="D204" s="51" t="s">
        <v>720</v>
      </c>
      <c r="E204" s="51" t="str">
        <f ca="1">IFERROR(__xludf.DUMMYFUNCTION("REGEXREPLACE(D204, ""https://odysia-cruise-uk.client.prod.eu-west.dreamlake.io"", """")"),"/cruise-lines/celebrity-cruises/celebrity-millennium/cruises")</f>
        <v>/cruise-lines/celebrity-cruises/celebrity-millennium/cruises</v>
      </c>
    </row>
    <row r="205" spans="1:5" ht="13">
      <c r="A205" s="100" t="s">
        <v>721</v>
      </c>
      <c r="B205" s="51" t="str">
        <f ca="1">IFERROR(__xludf.DUMMYFUNCTION("REGEXREPLACE(A205, ""&lt;loc&gt;"", """")"),"https://odysia-cruise-uk.client.prod.eu-west.dreamlake.io/destinations/polar-regions-cruises&lt;/loc&gt;")</f>
        <v>https://odysia-cruise-uk.client.prod.eu-west.dreamlake.io/destinations/polar-regions-cruises&lt;/loc&gt;</v>
      </c>
      <c r="C205" s="101" t="str">
        <f ca="1">IFERROR(__xludf.DUMMYFUNCTION("REGEXREPLACE(B205, ""&lt;/loc&gt;"", """")"),"https://odysia-cruise-uk.client.prod.eu-west.dreamlake.io/destinations/polar-regions-cruises")</f>
        <v>https://odysia-cruise-uk.client.prod.eu-west.dreamlake.io/destinations/polar-regions-cruises</v>
      </c>
    </row>
    <row r="206" spans="1:5" ht="13">
      <c r="A206" s="100" t="s">
        <v>722</v>
      </c>
      <c r="B206" s="51" t="str">
        <f ca="1">IFERROR(__xludf.DUMMYFUNCTION("REGEXREPLACE(A206, ""&lt;loc&gt;"", """")"),"https://odysia-cruise-uk.client.prod.eu-west.dreamlake.io/cruise-calendar&lt;/loc&gt;")</f>
        <v>https://odysia-cruise-uk.client.prod.eu-west.dreamlake.io/cruise-calendar&lt;/loc&gt;</v>
      </c>
      <c r="C206" s="101" t="str">
        <f ca="1">IFERROR(__xludf.DUMMYFUNCTION("REGEXREPLACE(B206, ""&lt;/loc&gt;"", """")"),"https://odysia-cruise-uk.client.prod.eu-west.dreamlake.io/cruise-calendar")</f>
        <v>https://odysia-cruise-uk.client.prod.eu-west.dreamlake.io/cruise-calendar</v>
      </c>
    </row>
    <row r="207" spans="1:5" ht="13">
      <c r="A207" s="100" t="s">
        <v>723</v>
      </c>
      <c r="B207" s="51" t="str">
        <f ca="1">IFERROR(__xludf.DUMMYFUNCTION("REGEXREPLACE(A207, ""&lt;loc&gt;"", """")"),"https://odysia-cruise-uk.client.prod.eu-west.dreamlake.io/cruise-lines/celebrity-cruises/celebrity-ascent&lt;/loc&gt;")</f>
        <v>https://odysia-cruise-uk.client.prod.eu-west.dreamlake.io/cruise-lines/celebrity-cruises/celebrity-ascent&lt;/loc&gt;</v>
      </c>
      <c r="C207" s="101" t="str">
        <f ca="1">IFERROR(__xludf.DUMMYFUNCTION("REGEXREPLACE(B207, ""&lt;/loc&gt;"", """")"),"https://odysia-cruise-uk.client.prod.eu-west.dreamlake.io/cruise-lines/celebrity-cruises/celebrity-ascent")</f>
        <v>https://odysia-cruise-uk.client.prod.eu-west.dreamlake.io/cruise-lines/celebrity-cruises/celebrity-ascent</v>
      </c>
      <c r="D207" s="51" t="s">
        <v>724</v>
      </c>
      <c r="E207" s="51" t="str">
        <f ca="1">IFERROR(__xludf.DUMMYFUNCTION("REGEXREPLACE(D207, ""https://odysia-cruise-uk.client.prod.eu-west.dreamlake.io"", """")"),"/cruise-lines/celebrity-cruises/celebrity-ascent")</f>
        <v>/cruise-lines/celebrity-cruises/celebrity-ascent</v>
      </c>
    </row>
    <row r="208" spans="1:5" ht="13">
      <c r="A208" s="100" t="s">
        <v>725</v>
      </c>
      <c r="B208" s="51" t="str">
        <f ca="1">IFERROR(__xludf.DUMMYFUNCTION("REGEXREPLACE(A208, ""&lt;loc&gt;"", """")"),"https://odysia-cruise-uk.client.prod.eu-west.dreamlake.io/cruise-lines/princess-cruises/island-princess/cruises&lt;/loc&gt;")</f>
        <v>https://odysia-cruise-uk.client.prod.eu-west.dreamlake.io/cruise-lines/princess-cruises/island-princess/cruises&lt;/loc&gt;</v>
      </c>
      <c r="C208" s="101" t="str">
        <f ca="1">IFERROR(__xludf.DUMMYFUNCTION("REGEXREPLACE(B208, ""&lt;/loc&gt;"", """")"),"https://odysia-cruise-uk.client.prod.eu-west.dreamlake.io/cruise-lines/princess-cruises/island-princess/cruises")</f>
        <v>https://odysia-cruise-uk.client.prod.eu-west.dreamlake.io/cruise-lines/princess-cruises/island-princess/cruises</v>
      </c>
      <c r="D208" s="51" t="s">
        <v>726</v>
      </c>
      <c r="E208" s="51" t="str">
        <f ca="1">IFERROR(__xludf.DUMMYFUNCTION("REGEXREPLACE(D208, ""https://odysia-cruise-uk.client.prod.eu-west.dreamlake.io"", """")"),"/cruise-lines/princess-cruises/island-princess/cruises")</f>
        <v>/cruise-lines/princess-cruises/island-princess/cruises</v>
      </c>
    </row>
    <row r="209" spans="1:5" ht="13">
      <c r="A209" s="100" t="s">
        <v>727</v>
      </c>
      <c r="B209" s="51" t="str">
        <f ca="1">IFERROR(__xludf.DUMMYFUNCTION("REGEXREPLACE(A209, ""&lt;loc&gt;"", """")"),"https://odysia-cruise-uk.client.prod.eu-west.dreamlake.io/cruise-lines/celebrity-cruises/celebrity-xcel/cruises&lt;/loc&gt;")</f>
        <v>https://odysia-cruise-uk.client.prod.eu-west.dreamlake.io/cruise-lines/celebrity-cruises/celebrity-xcel/cruises&lt;/loc&gt;</v>
      </c>
      <c r="C209" s="101" t="str">
        <f ca="1">IFERROR(__xludf.DUMMYFUNCTION("REGEXREPLACE(B209, ""&lt;/loc&gt;"", """")"),"https://odysia-cruise-uk.client.prod.eu-west.dreamlake.io/cruise-lines/celebrity-cruises/celebrity-xcel/cruises")</f>
        <v>https://odysia-cruise-uk.client.prod.eu-west.dreamlake.io/cruise-lines/celebrity-cruises/celebrity-xcel/cruises</v>
      </c>
      <c r="D209" s="51" t="s">
        <v>728</v>
      </c>
      <c r="E209" s="51" t="str">
        <f ca="1">IFERROR(__xludf.DUMMYFUNCTION("REGEXREPLACE(D209, ""https://odysia-cruise-uk.client.prod.eu-west.dreamlake.io"", """")"),"/cruise-lines/celebrity-cruises/celebrity-xcel/cruises")</f>
        <v>/cruise-lines/celebrity-cruises/celebrity-xcel/cruises</v>
      </c>
    </row>
    <row r="210" spans="1:5" ht="13">
      <c r="A210" s="100" t="s">
        <v>729</v>
      </c>
      <c r="B210" s="51" t="str">
        <f ca="1">IFERROR(__xludf.DUMMYFUNCTION("REGEXREPLACE(A210, ""&lt;loc&gt;"", """")"),"https://odysia-cruise-uk.client.prod.eu-west.dreamlake.io/cruise-lines/royal-caribbean/legend-of-the-seas/cruises&lt;/loc&gt;")</f>
        <v>https://odysia-cruise-uk.client.prod.eu-west.dreamlake.io/cruise-lines/royal-caribbean/legend-of-the-seas/cruises&lt;/loc&gt;</v>
      </c>
      <c r="C210" s="101" t="str">
        <f ca="1">IFERROR(__xludf.DUMMYFUNCTION("REGEXREPLACE(B210, ""&lt;/loc&gt;"", """")"),"https://odysia-cruise-uk.client.prod.eu-west.dreamlake.io/cruise-lines/royal-caribbean/legend-of-the-seas/cruises")</f>
        <v>https://odysia-cruise-uk.client.prod.eu-west.dreamlake.io/cruise-lines/royal-caribbean/legend-of-the-seas/cruises</v>
      </c>
      <c r="D210" s="51" t="s">
        <v>730</v>
      </c>
      <c r="E210" s="51" t="str">
        <f ca="1">IFERROR(__xludf.DUMMYFUNCTION("REGEXREPLACE(D210, ""https://odysia-cruise-uk.client.prod.eu-west.dreamlake.io"", """")"),"/cruise-lines/royal-caribbean/legend-of-the-seas/cruises")</f>
        <v>/cruise-lines/royal-caribbean/legend-of-the-seas/cruises</v>
      </c>
    </row>
    <row r="211" spans="1:5" ht="13">
      <c r="A211" s="100" t="s">
        <v>731</v>
      </c>
      <c r="B211" s="51" t="str">
        <f ca="1">IFERROR(__xludf.DUMMYFUNCTION("REGEXREPLACE(A211, ""&lt;loc&gt;"", """")"),"https://odysia-cruise-uk.client.prod.eu-west.dreamlake.io/cruise-lines/royal-caribbean/adventure-of-the-seas/cruises&lt;/loc&gt;")</f>
        <v>https://odysia-cruise-uk.client.prod.eu-west.dreamlake.io/cruise-lines/royal-caribbean/adventure-of-the-seas/cruises&lt;/loc&gt;</v>
      </c>
      <c r="C211" s="101" t="str">
        <f ca="1">IFERROR(__xludf.DUMMYFUNCTION("REGEXREPLACE(B211, ""&lt;/loc&gt;"", """")"),"https://odysia-cruise-uk.client.prod.eu-west.dreamlake.io/cruise-lines/royal-caribbean/adventure-of-the-seas/cruises")</f>
        <v>https://odysia-cruise-uk.client.prod.eu-west.dreamlake.io/cruise-lines/royal-caribbean/adventure-of-the-seas/cruises</v>
      </c>
      <c r="D211" s="51" t="s">
        <v>732</v>
      </c>
      <c r="E211" s="51" t="str">
        <f ca="1">IFERROR(__xludf.DUMMYFUNCTION("REGEXREPLACE(D211, ""https://odysia-cruise-uk.client.prod.eu-west.dreamlake.io"", """")"),"/cruise-lines/royal-caribbean/adventure-of-the-seas/cruises")</f>
        <v>/cruise-lines/royal-caribbean/adventure-of-the-seas/cruises</v>
      </c>
    </row>
    <row r="212" spans="1:5" ht="13">
      <c r="A212" s="100" t="s">
        <v>733</v>
      </c>
      <c r="B212" s="51" t="str">
        <f ca="1">IFERROR(__xludf.DUMMYFUNCTION("REGEXREPLACE(A212, ""&lt;loc&gt;"", """")"),"https://odysia-cruise-uk.client.prod.eu-west.dreamlake.io/cruise-lines/azamara/azamara-quest&lt;/loc&gt;")</f>
        <v>https://odysia-cruise-uk.client.prod.eu-west.dreamlake.io/cruise-lines/azamara/azamara-quest&lt;/loc&gt;</v>
      </c>
      <c r="C212" s="101" t="str">
        <f ca="1">IFERROR(__xludf.DUMMYFUNCTION("REGEXREPLACE(B212, ""&lt;/loc&gt;"", """")"),"https://odysia-cruise-uk.client.prod.eu-west.dreamlake.io/cruise-lines/azamara/azamara-quest")</f>
        <v>https://odysia-cruise-uk.client.prod.eu-west.dreamlake.io/cruise-lines/azamara/azamara-quest</v>
      </c>
    </row>
    <row r="213" spans="1:5" ht="13">
      <c r="A213" s="100" t="s">
        <v>734</v>
      </c>
      <c r="B213" s="51" t="str">
        <f ca="1">IFERROR(__xludf.DUMMYFUNCTION("REGEXREPLACE(A213, ""&lt;loc&gt;"", """")"),"https://odysia-cruise-uk.client.prod.eu-west.dreamlake.io/cruise-lines/holland-america-line/nieuw-statendam/cruises&lt;/loc&gt;")</f>
        <v>https://odysia-cruise-uk.client.prod.eu-west.dreamlake.io/cruise-lines/holland-america-line/nieuw-statendam/cruises&lt;/loc&gt;</v>
      </c>
      <c r="C213" s="101" t="str">
        <f ca="1">IFERROR(__xludf.DUMMYFUNCTION("REGEXREPLACE(B213, ""&lt;/loc&gt;"", """")"),"https://odysia-cruise-uk.client.prod.eu-west.dreamlake.io/cruise-lines/holland-america-line/nieuw-statendam/cruises")</f>
        <v>https://odysia-cruise-uk.client.prod.eu-west.dreamlake.io/cruise-lines/holland-america-line/nieuw-statendam/cruises</v>
      </c>
      <c r="D213" s="51" t="s">
        <v>735</v>
      </c>
      <c r="E213" s="51" t="str">
        <f ca="1">IFERROR(__xludf.DUMMYFUNCTION("REGEXREPLACE(D213, ""https://odysia-cruise-uk.client.prod.eu-west.dreamlake.io"", """")"),"/cruise-lines/holland-america-line/nieuw-statendam/cruises")</f>
        <v>/cruise-lines/holland-america-line/nieuw-statendam/cruises</v>
      </c>
    </row>
    <row r="214" spans="1:5" ht="13">
      <c r="A214" s="100" t="s">
        <v>736</v>
      </c>
      <c r="B214" s="51" t="str">
        <f ca="1">IFERROR(__xludf.DUMMYFUNCTION("REGEXREPLACE(A214, ""&lt;loc&gt;"", """")"),"https://odysia-cruise-uk.client.prod.eu-west.dreamlake.io/cruise-lines/oceania-cruises&lt;/loc&gt;")</f>
        <v>https://odysia-cruise-uk.client.prod.eu-west.dreamlake.io/cruise-lines/oceania-cruises&lt;/loc&gt;</v>
      </c>
      <c r="C214" s="101" t="str">
        <f ca="1">IFERROR(__xludf.DUMMYFUNCTION("REGEXREPLACE(B214, ""&lt;/loc&gt;"", """")"),"https://odysia-cruise-uk.client.prod.eu-west.dreamlake.io/cruise-lines/oceania-cruises")</f>
        <v>https://odysia-cruise-uk.client.prod.eu-west.dreamlake.io/cruise-lines/oceania-cruises</v>
      </c>
      <c r="D214" s="51" t="s">
        <v>737</v>
      </c>
      <c r="E214" s="51" t="str">
        <f ca="1">IFERROR(__xludf.DUMMYFUNCTION("REGEXREPLACE(D214, ""https://odysia-cruise-uk.client.prod.eu-west.dreamlake.io"", """")"),"/cruise-lines/oceania-cruises")</f>
        <v>/cruise-lines/oceania-cruises</v>
      </c>
    </row>
    <row r="215" spans="1:5" ht="13">
      <c r="A215" s="100" t="s">
        <v>738</v>
      </c>
      <c r="B215" s="51" t="str">
        <f ca="1">IFERROR(__xludf.DUMMYFUNCTION("REGEXREPLACE(A215, ""&lt;loc&gt;"", """")"),"https://odysia-cruise-uk.client.prod.eu-west.dreamlake.io/cruise-lines/celebrity-cruises&lt;/loc&gt;")</f>
        <v>https://odysia-cruise-uk.client.prod.eu-west.dreamlake.io/cruise-lines/celebrity-cruises&lt;/loc&gt;</v>
      </c>
      <c r="C215" s="101" t="str">
        <f ca="1">IFERROR(__xludf.DUMMYFUNCTION("REGEXREPLACE(B215, ""&lt;/loc&gt;"", """")"),"https://odysia-cruise-uk.client.prod.eu-west.dreamlake.io/cruise-lines/celebrity-cruises")</f>
        <v>https://odysia-cruise-uk.client.prod.eu-west.dreamlake.io/cruise-lines/celebrity-cruises</v>
      </c>
      <c r="D215" s="51" t="s">
        <v>739</v>
      </c>
      <c r="E215" s="51" t="str">
        <f ca="1">IFERROR(__xludf.DUMMYFUNCTION("REGEXREPLACE(D215, ""https://odysia-cruise-uk.client.prod.eu-west.dreamlake.io"", """")"),"/cruise-lines/celebrity-cruises")</f>
        <v>/cruise-lines/celebrity-cruises</v>
      </c>
    </row>
    <row r="216" spans="1:5" ht="13">
      <c r="A216" s="100" t="s">
        <v>740</v>
      </c>
      <c r="B216" s="51" t="str">
        <f ca="1">IFERROR(__xludf.DUMMYFUNCTION("REGEXREPLACE(A216, ""&lt;loc&gt;"", """")"),"https://odysia-cruise-uk.client.prod.eu-west.dreamlake.io/cruise-lines/costa-cruises/costa-pacifica&lt;/loc&gt;")</f>
        <v>https://odysia-cruise-uk.client.prod.eu-west.dreamlake.io/cruise-lines/costa-cruises/costa-pacifica&lt;/loc&gt;</v>
      </c>
      <c r="C216" s="101" t="str">
        <f ca="1">IFERROR(__xludf.DUMMYFUNCTION("REGEXREPLACE(B216, ""&lt;/loc&gt;"", """")"),"https://odysia-cruise-uk.client.prod.eu-west.dreamlake.io/cruise-lines/costa-cruises/costa-pacifica")</f>
        <v>https://odysia-cruise-uk.client.prod.eu-west.dreamlake.io/cruise-lines/costa-cruises/costa-pacifica</v>
      </c>
      <c r="D216" s="51" t="s">
        <v>741</v>
      </c>
      <c r="E216" s="51" t="str">
        <f ca="1">IFERROR(__xludf.DUMMYFUNCTION("REGEXREPLACE(D216, ""https://odysia-cruise-uk.client.prod.eu-west.dreamlake.io"", """")"),"/cruise-lines/costa-cruises/costa-pacifica")</f>
        <v>/cruise-lines/costa-cruises/costa-pacifica</v>
      </c>
    </row>
    <row r="217" spans="1:5" ht="13">
      <c r="A217" s="100" t="s">
        <v>742</v>
      </c>
      <c r="B217" s="51" t="str">
        <f ca="1">IFERROR(__xludf.DUMMYFUNCTION("REGEXREPLACE(A217, ""&lt;loc&gt;"", """")"),"https://odysia-cruise-uk.client.prod.eu-west.dreamlake.io/cruise-lines/royal-caribbean/allure-of-the-seas&lt;/loc&gt;")</f>
        <v>https://odysia-cruise-uk.client.prod.eu-west.dreamlake.io/cruise-lines/royal-caribbean/allure-of-the-seas&lt;/loc&gt;</v>
      </c>
      <c r="C217" s="101" t="str">
        <f ca="1">IFERROR(__xludf.DUMMYFUNCTION("REGEXREPLACE(B217, ""&lt;/loc&gt;"", """")"),"https://odysia-cruise-uk.client.prod.eu-west.dreamlake.io/cruise-lines/royal-caribbean/allure-of-the-seas")</f>
        <v>https://odysia-cruise-uk.client.prod.eu-west.dreamlake.io/cruise-lines/royal-caribbean/allure-of-the-seas</v>
      </c>
      <c r="D217" s="51" t="s">
        <v>743</v>
      </c>
      <c r="E217" s="51" t="str">
        <f ca="1">IFERROR(__xludf.DUMMYFUNCTION("REGEXREPLACE(D217, ""https://odysia-cruise-uk.client.prod.eu-west.dreamlake.io"", """")"),"/cruise-lines/royal-caribbean/allure-of-the-seas")</f>
        <v>/cruise-lines/royal-caribbean/allure-of-the-seas</v>
      </c>
    </row>
    <row r="218" spans="1:5" ht="13">
      <c r="A218" s="100" t="s">
        <v>744</v>
      </c>
      <c r="B218" s="51" t="str">
        <f ca="1">IFERROR(__xludf.DUMMYFUNCTION("REGEXREPLACE(A218, ""&lt;loc&gt;"", """")"),"https://odysia-cruise-uk.client.prod.eu-west.dreamlake.io/destinations/transatlantic-cruises&lt;/loc&gt;")</f>
        <v>https://odysia-cruise-uk.client.prod.eu-west.dreamlake.io/destinations/transatlantic-cruises&lt;/loc&gt;</v>
      </c>
      <c r="C218" s="101" t="str">
        <f ca="1">IFERROR(__xludf.DUMMYFUNCTION("REGEXREPLACE(B218, ""&lt;/loc&gt;"", """")"),"https://odysia-cruise-uk.client.prod.eu-west.dreamlake.io/destinations/transatlantic-cruises")</f>
        <v>https://odysia-cruise-uk.client.prod.eu-west.dreamlake.io/destinations/transatlantic-cruises</v>
      </c>
    </row>
    <row r="219" spans="1:5" ht="13">
      <c r="A219" s="100" t="s">
        <v>745</v>
      </c>
      <c r="B219" s="51" t="str">
        <f ca="1">IFERROR(__xludf.DUMMYFUNCTION("REGEXREPLACE(A219, ""&lt;loc&gt;"", """")"),"https://odysia-cruise-uk.client.prod.eu-west.dreamlake.io/cruise-lines/msc-cruises/msc-poesia/cruises&lt;/loc&gt;")</f>
        <v>https://odysia-cruise-uk.client.prod.eu-west.dreamlake.io/cruise-lines/msc-cruises/msc-poesia/cruises&lt;/loc&gt;</v>
      </c>
      <c r="C219" s="101" t="str">
        <f ca="1">IFERROR(__xludf.DUMMYFUNCTION("REGEXREPLACE(B219, ""&lt;/loc&gt;"", """")"),"https://odysia-cruise-uk.client.prod.eu-west.dreamlake.io/cruise-lines/msc-cruises/msc-poesia/cruises")</f>
        <v>https://odysia-cruise-uk.client.prod.eu-west.dreamlake.io/cruise-lines/msc-cruises/msc-poesia/cruises</v>
      </c>
      <c r="D219" s="51" t="s">
        <v>746</v>
      </c>
      <c r="E219" s="51" t="str">
        <f ca="1">IFERROR(__xludf.DUMMYFUNCTION("REGEXREPLACE(D219, ""https://odysia-cruise-uk.client.prod.eu-west.dreamlake.io"", """")"),"/cruise-lines/msc-cruises/msc-poesia/cruises")</f>
        <v>/cruise-lines/msc-cruises/msc-poesia/cruises</v>
      </c>
    </row>
    <row r="220" spans="1:5" ht="13">
      <c r="A220" s="100" t="s">
        <v>747</v>
      </c>
      <c r="B220" s="51" t="str">
        <f ca="1">IFERROR(__xludf.DUMMYFUNCTION("REGEXREPLACE(A220, ""&lt;loc&gt;"", """")"),"https://odysia-cruise-uk.client.prod.eu-west.dreamlake.io/cruise-lines/msc-cruises/msc-bellissima/cruises&lt;/loc&gt;")</f>
        <v>https://odysia-cruise-uk.client.prod.eu-west.dreamlake.io/cruise-lines/msc-cruises/msc-bellissima/cruises&lt;/loc&gt;</v>
      </c>
      <c r="C220" s="101" t="str">
        <f ca="1">IFERROR(__xludf.DUMMYFUNCTION("REGEXREPLACE(B220, ""&lt;/loc&gt;"", """")"),"https://odysia-cruise-uk.client.prod.eu-west.dreamlake.io/cruise-lines/msc-cruises/msc-bellissima/cruises")</f>
        <v>https://odysia-cruise-uk.client.prod.eu-west.dreamlake.io/cruise-lines/msc-cruises/msc-bellissima/cruises</v>
      </c>
      <c r="D220" s="51" t="s">
        <v>748</v>
      </c>
      <c r="E220" s="51" t="str">
        <f ca="1">IFERROR(__xludf.DUMMYFUNCTION("REGEXREPLACE(D220, ""https://odysia-cruise-uk.client.prod.eu-west.dreamlake.io"", """")"),"/cruise-lines/msc-cruises/msc-bellissima/cruises")</f>
        <v>/cruise-lines/msc-cruises/msc-bellissima/cruises</v>
      </c>
    </row>
    <row r="221" spans="1:5" ht="13">
      <c r="A221" s="100" t="s">
        <v>749</v>
      </c>
      <c r="B221" s="51" t="str">
        <f ca="1">IFERROR(__xludf.DUMMYFUNCTION("REGEXREPLACE(A221, ""&lt;loc&gt;"", """")"),"https://odysia-cruise-uk.client.prod.eu-west.dreamlake.io/cruise-lines/holland-america-line/noordam/cruises&lt;/loc&gt;")</f>
        <v>https://odysia-cruise-uk.client.prod.eu-west.dreamlake.io/cruise-lines/holland-america-line/noordam/cruises&lt;/loc&gt;</v>
      </c>
      <c r="C221" s="101" t="str">
        <f ca="1">IFERROR(__xludf.DUMMYFUNCTION("REGEXREPLACE(B221, ""&lt;/loc&gt;"", """")"),"https://odysia-cruise-uk.client.prod.eu-west.dreamlake.io/cruise-lines/holland-america-line/noordam/cruises")</f>
        <v>https://odysia-cruise-uk.client.prod.eu-west.dreamlake.io/cruise-lines/holland-america-line/noordam/cruises</v>
      </c>
      <c r="D221" s="51" t="s">
        <v>750</v>
      </c>
      <c r="E221" s="51" t="str">
        <f ca="1">IFERROR(__xludf.DUMMYFUNCTION("REGEXREPLACE(D221, ""https://odysia-cruise-uk.client.prod.eu-west.dreamlake.io"", """")"),"/cruise-lines/holland-america-line/noordam/cruises")</f>
        <v>/cruise-lines/holland-america-line/noordam/cruises</v>
      </c>
    </row>
    <row r="222" spans="1:5" ht="13">
      <c r="A222" s="100" t="s">
        <v>751</v>
      </c>
      <c r="B222" s="51" t="str">
        <f ca="1">IFERROR(__xludf.DUMMYFUNCTION("REGEXREPLACE(A222,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222" s="101" t="str">
        <f ca="1">IFERROR(__xludf.DUMMYFUNCTION("REGEXREPLACE(B222,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223" spans="1:5" ht="13">
      <c r="A223" s="100" t="s">
        <v>752</v>
      </c>
      <c r="B223" s="51" t="str">
        <f ca="1">IFERROR(__xludf.DUMMYFUNCTION("REGEXREPLACE(A223, ""&lt;loc&gt;"", """")"),"https://odysia-cruise-uk.client.prod.eu-west.dreamlake.io/cruise-lines/regent-seven-seas-cruises/seven-seas-grandeur&lt;/loc&gt;")</f>
        <v>https://odysia-cruise-uk.client.prod.eu-west.dreamlake.io/cruise-lines/regent-seven-seas-cruises/seven-seas-grandeur&lt;/loc&gt;</v>
      </c>
      <c r="C223" s="101" t="str">
        <f ca="1">IFERROR(__xludf.DUMMYFUNCTION("REGEXREPLACE(B223, ""&lt;/loc&gt;"", """")"),"https://odysia-cruise-uk.client.prod.eu-west.dreamlake.io/cruise-lines/regent-seven-seas-cruises/seven-seas-grandeur")</f>
        <v>https://odysia-cruise-uk.client.prod.eu-west.dreamlake.io/cruise-lines/regent-seven-seas-cruises/seven-seas-grandeur</v>
      </c>
      <c r="D223" s="51" t="s">
        <v>753</v>
      </c>
      <c r="E223" s="51" t="str">
        <f ca="1">IFERROR(__xludf.DUMMYFUNCTION("REGEXREPLACE(D223, ""https://odysia-cruise-uk.client.prod.eu-west.dreamlake.io"", """")"),"/cruise-lines/regent-seven-seas-cruises/seven-seas-grandeur")</f>
        <v>/cruise-lines/regent-seven-seas-cruises/seven-seas-grandeur</v>
      </c>
    </row>
    <row r="224" spans="1:5" ht="13">
      <c r="A224" s="100" t="s">
        <v>754</v>
      </c>
      <c r="B224" s="51" t="str">
        <f ca="1">IFERROR(__xludf.DUMMYFUNCTION("REGEXREPLACE(A224, ""&lt;loc&gt;"", """")"),"https://odysia-cruise-uk.client.prod.eu-west.dreamlake.io/cruise-lines/cunard&lt;/loc&gt;")</f>
        <v>https://odysia-cruise-uk.client.prod.eu-west.dreamlake.io/cruise-lines/cunard&lt;/loc&gt;</v>
      </c>
      <c r="C224" s="101" t="str">
        <f ca="1">IFERROR(__xludf.DUMMYFUNCTION("REGEXREPLACE(B224, ""&lt;/loc&gt;"", """")"),"https://odysia-cruise-uk.client.prod.eu-west.dreamlake.io/cruise-lines/cunard")</f>
        <v>https://odysia-cruise-uk.client.prod.eu-west.dreamlake.io/cruise-lines/cunard</v>
      </c>
      <c r="D224" s="51" t="s">
        <v>755</v>
      </c>
      <c r="E224" s="51" t="str">
        <f ca="1">IFERROR(__xludf.DUMMYFUNCTION("REGEXREPLACE(D224, ""https://odysia-cruise-uk.client.prod.eu-west.dreamlake.io"", """")"),"/cruise-lines/cunard")</f>
        <v>/cruise-lines/cunard</v>
      </c>
    </row>
    <row r="225" spans="1:5" ht="13">
      <c r="A225" s="100" t="s">
        <v>756</v>
      </c>
      <c r="B225" s="51" t="str">
        <f ca="1">IFERROR(__xludf.DUMMYFUNCTION("REGEXREPLACE(A225, ""&lt;loc&gt;"", """")"),"https://odysia-cruise-uk.client.prod.eu-west.dreamlake.io/cruise-lines/costa-cruises/costa-toscana&lt;/loc&gt;")</f>
        <v>https://odysia-cruise-uk.client.prod.eu-west.dreamlake.io/cruise-lines/costa-cruises/costa-toscana&lt;/loc&gt;</v>
      </c>
      <c r="C225" s="101" t="str">
        <f ca="1">IFERROR(__xludf.DUMMYFUNCTION("REGEXREPLACE(B225, ""&lt;/loc&gt;"", """")"),"https://odysia-cruise-uk.client.prod.eu-west.dreamlake.io/cruise-lines/costa-cruises/costa-toscana")</f>
        <v>https://odysia-cruise-uk.client.prod.eu-west.dreamlake.io/cruise-lines/costa-cruises/costa-toscana</v>
      </c>
      <c r="D225" s="51" t="s">
        <v>757</v>
      </c>
      <c r="E225" s="51" t="str">
        <f ca="1">IFERROR(__xludf.DUMMYFUNCTION("REGEXREPLACE(D225, ""https://odysia-cruise-uk.client.prod.eu-west.dreamlake.io"", """")"),"/cruise-lines/costa-cruises/costa-toscana")</f>
        <v>/cruise-lines/costa-cruises/costa-toscana</v>
      </c>
    </row>
    <row r="226" spans="1:5" ht="13">
      <c r="A226" s="100" t="s">
        <v>758</v>
      </c>
      <c r="B226" s="51" t="str">
        <f ca="1">IFERROR(__xludf.DUMMYFUNCTION("REGEXREPLACE(A226, ""&lt;loc&gt;"", """")"),"https://odysia-cruise-uk.client.prod.eu-west.dreamlake.io/cruise-lines/princess-cruises/coral-princess&lt;/loc&gt;")</f>
        <v>https://odysia-cruise-uk.client.prod.eu-west.dreamlake.io/cruise-lines/princess-cruises/coral-princess&lt;/loc&gt;</v>
      </c>
      <c r="C226" s="101" t="str">
        <f ca="1">IFERROR(__xludf.DUMMYFUNCTION("REGEXREPLACE(B226, ""&lt;/loc&gt;"", """")"),"https://odysia-cruise-uk.client.prod.eu-west.dreamlake.io/cruise-lines/princess-cruises/coral-princess")</f>
        <v>https://odysia-cruise-uk.client.prod.eu-west.dreamlake.io/cruise-lines/princess-cruises/coral-princess</v>
      </c>
      <c r="D226" s="51" t="s">
        <v>759</v>
      </c>
      <c r="E226" s="51" t="str">
        <f ca="1">IFERROR(__xludf.DUMMYFUNCTION("REGEXREPLACE(D226, ""https://odysia-cruise-uk.client.prod.eu-west.dreamlake.io"", """")"),"/cruise-lines/princess-cruises/coral-princess")</f>
        <v>/cruise-lines/princess-cruises/coral-princess</v>
      </c>
    </row>
    <row r="227" spans="1:5" ht="13">
      <c r="A227" s="100" t="s">
        <v>760</v>
      </c>
      <c r="B227" s="51" t="str">
        <f ca="1">IFERROR(__xludf.DUMMYFUNCTION("REGEXREPLACE(A227, ""&lt;loc&gt;"", """")"),"https://odysia-cruise-uk.client.prod.eu-west.dreamlake.io/cruise-lines/cunard/queen-elizabeth&lt;/loc&gt;")</f>
        <v>https://odysia-cruise-uk.client.prod.eu-west.dreamlake.io/cruise-lines/cunard/queen-elizabeth&lt;/loc&gt;</v>
      </c>
      <c r="C227" s="101" t="str">
        <f ca="1">IFERROR(__xludf.DUMMYFUNCTION("REGEXREPLACE(B227, ""&lt;/loc&gt;"", """")"),"https://odysia-cruise-uk.client.prod.eu-west.dreamlake.io/cruise-lines/cunard/queen-elizabeth")</f>
        <v>https://odysia-cruise-uk.client.prod.eu-west.dreamlake.io/cruise-lines/cunard/queen-elizabeth</v>
      </c>
      <c r="D227" s="51" t="s">
        <v>761</v>
      </c>
      <c r="E227" s="51" t="str">
        <f ca="1">IFERROR(__xludf.DUMMYFUNCTION("REGEXREPLACE(D227, ""https://odysia-cruise-uk.client.prod.eu-west.dreamlake.io"", """")"),"/cruise-lines/cunard/queen-elizabeth")</f>
        <v>/cruise-lines/cunard/queen-elizabeth</v>
      </c>
    </row>
    <row r="228" spans="1:5" ht="13">
      <c r="A228" s="100" t="s">
        <v>762</v>
      </c>
      <c r="B228" s="51" t="str">
        <f ca="1">IFERROR(__xludf.DUMMYFUNCTION("REGEXREPLACE(A228, ""&lt;loc&gt;"", """")"),"https://odysia-cruise-uk.client.prod.eu-west.dreamlake.io/cruise-lines/msc-cruises/msc-meraviglia/cruises&lt;/loc&gt;")</f>
        <v>https://odysia-cruise-uk.client.prod.eu-west.dreamlake.io/cruise-lines/msc-cruises/msc-meraviglia/cruises&lt;/loc&gt;</v>
      </c>
      <c r="C228" s="101" t="str">
        <f ca="1">IFERROR(__xludf.DUMMYFUNCTION("REGEXREPLACE(B228, ""&lt;/loc&gt;"", """")"),"https://odysia-cruise-uk.client.prod.eu-west.dreamlake.io/cruise-lines/msc-cruises/msc-meraviglia/cruises")</f>
        <v>https://odysia-cruise-uk.client.prod.eu-west.dreamlake.io/cruise-lines/msc-cruises/msc-meraviglia/cruises</v>
      </c>
      <c r="D228" s="51" t="s">
        <v>763</v>
      </c>
      <c r="E228" s="51" t="str">
        <f ca="1">IFERROR(__xludf.DUMMYFUNCTION("REGEXREPLACE(D228, ""https://odysia-cruise-uk.client.prod.eu-west.dreamlake.io"", """")"),"/cruise-lines/msc-cruises/msc-meraviglia/cruises")</f>
        <v>/cruise-lines/msc-cruises/msc-meraviglia/cruises</v>
      </c>
    </row>
    <row r="229" spans="1:5" ht="13">
      <c r="A229" s="100" t="s">
        <v>764</v>
      </c>
      <c r="B229" s="51" t="str">
        <f ca="1">IFERROR(__xludf.DUMMYFUNCTION("REGEXREPLACE(A229, ""&lt;loc&gt;"", """")"),"https://odysia-cruise-uk.client.prod.eu-west.dreamlake.io/cruise-lines/norwegian-cruise-line/norwegian-escape/cruises&lt;/loc&gt;")</f>
        <v>https://odysia-cruise-uk.client.prod.eu-west.dreamlake.io/cruise-lines/norwegian-cruise-line/norwegian-escape/cruises&lt;/loc&gt;</v>
      </c>
      <c r="C229" s="101" t="str">
        <f ca="1">IFERROR(__xludf.DUMMYFUNCTION("REGEXREPLACE(B229, ""&lt;/loc&gt;"", """")"),"https://odysia-cruise-uk.client.prod.eu-west.dreamlake.io/cruise-lines/norwegian-cruise-line/norwegian-escape/cruises")</f>
        <v>https://odysia-cruise-uk.client.prod.eu-west.dreamlake.io/cruise-lines/norwegian-cruise-line/norwegian-escape/cruises</v>
      </c>
      <c r="D229" s="51" t="s">
        <v>765</v>
      </c>
      <c r="E229" s="51" t="str">
        <f ca="1">IFERROR(__xludf.DUMMYFUNCTION("REGEXREPLACE(D229, ""https://odysia-cruise-uk.client.prod.eu-west.dreamlake.io"", """")"),"/cruise-lines/norwegian-cruise-line/norwegian-escape/cruises")</f>
        <v>/cruise-lines/norwegian-cruise-line/norwegian-escape/cruises</v>
      </c>
    </row>
    <row r="230" spans="1:5" ht="13">
      <c r="A230" s="100" t="s">
        <v>766</v>
      </c>
      <c r="B230" s="51" t="str">
        <f ca="1">IFERROR(__xludf.DUMMYFUNCTION("REGEXREPLACE(A230, ""&lt;loc&gt;"", """")"),"https://odysia-cruise-uk.client.prod.eu-west.dreamlake.io/cruise-lines/msc-cruises/msc-fantasia/cruises&lt;/loc&gt;")</f>
        <v>https://odysia-cruise-uk.client.prod.eu-west.dreamlake.io/cruise-lines/msc-cruises/msc-fantasia/cruises&lt;/loc&gt;</v>
      </c>
      <c r="C230" s="101" t="str">
        <f ca="1">IFERROR(__xludf.DUMMYFUNCTION("REGEXREPLACE(B230, ""&lt;/loc&gt;"", """")"),"https://odysia-cruise-uk.client.prod.eu-west.dreamlake.io/cruise-lines/msc-cruises/msc-fantasia/cruises")</f>
        <v>https://odysia-cruise-uk.client.prod.eu-west.dreamlake.io/cruise-lines/msc-cruises/msc-fantasia/cruises</v>
      </c>
      <c r="D230" s="51" t="s">
        <v>767</v>
      </c>
      <c r="E230" s="51" t="str">
        <f ca="1">IFERROR(__xludf.DUMMYFUNCTION("REGEXREPLACE(D230, ""https://odysia-cruise-uk.client.prod.eu-west.dreamlake.io"", """")"),"/cruise-lines/msc-cruises/msc-fantasia/cruises")</f>
        <v>/cruise-lines/msc-cruises/msc-fantasia/cruises</v>
      </c>
    </row>
    <row r="231" spans="1:5" ht="13">
      <c r="A231" s="100" t="s">
        <v>768</v>
      </c>
      <c r="B231" s="51" t="str">
        <f ca="1">IFERROR(__xludf.DUMMYFUNCTION("REGEXREPLACE(A231, ""&lt;loc&gt;"", """")"),"https://odysia-cruise-uk.client.prod.eu-west.dreamlake.io/cruise-lines/oceania-cruises/oceania-sirena/cruises&lt;/loc&gt;")</f>
        <v>https://odysia-cruise-uk.client.prod.eu-west.dreamlake.io/cruise-lines/oceania-cruises/oceania-sirena/cruises&lt;/loc&gt;</v>
      </c>
      <c r="C231" s="101" t="str">
        <f ca="1">IFERROR(__xludf.DUMMYFUNCTION("REGEXREPLACE(B231, ""&lt;/loc&gt;"", """")"),"https://odysia-cruise-uk.client.prod.eu-west.dreamlake.io/cruise-lines/oceania-cruises/oceania-sirena/cruises")</f>
        <v>https://odysia-cruise-uk.client.prod.eu-west.dreamlake.io/cruise-lines/oceania-cruises/oceania-sirena/cruises</v>
      </c>
      <c r="D231" s="51" t="s">
        <v>769</v>
      </c>
      <c r="E231" s="51" t="str">
        <f ca="1">IFERROR(__xludf.DUMMYFUNCTION("REGEXREPLACE(D231, ""https://odysia-cruise-uk.client.prod.eu-west.dreamlake.io"", """")"),"/cruise-lines/oceania-cruises/oceania-sirena/cruises")</f>
        <v>/cruise-lines/oceania-cruises/oceania-sirena/cruises</v>
      </c>
    </row>
    <row r="232" spans="1:5" ht="13">
      <c r="A232" s="100" t="s">
        <v>770</v>
      </c>
      <c r="B232" s="51" t="str">
        <f ca="1">IFERROR(__xludf.DUMMYFUNCTION("REGEXREPLACE(A232, ""&lt;loc&gt;"", """")"),"https://odysia-cruise-uk.client.prod.eu-west.dreamlake.io/cruise-lines/regent-seven-seas-cruises/seven-seas-mariner/cruises&lt;/loc&gt;")</f>
        <v>https://odysia-cruise-uk.client.prod.eu-west.dreamlake.io/cruise-lines/regent-seven-seas-cruises/seven-seas-mariner/cruises&lt;/loc&gt;</v>
      </c>
      <c r="C232" s="101" t="str">
        <f ca="1">IFERROR(__xludf.DUMMYFUNCTION("REGEXREPLACE(B232, ""&lt;/loc&gt;"", """")"),"https://odysia-cruise-uk.client.prod.eu-west.dreamlake.io/cruise-lines/regent-seven-seas-cruises/seven-seas-mariner/cruises")</f>
        <v>https://odysia-cruise-uk.client.prod.eu-west.dreamlake.io/cruise-lines/regent-seven-seas-cruises/seven-seas-mariner/cruises</v>
      </c>
      <c r="D232" s="51" t="s">
        <v>771</v>
      </c>
      <c r="E232" s="51" t="str">
        <f ca="1">IFERROR(__xludf.DUMMYFUNCTION("REGEXREPLACE(D232, ""https://odysia-cruise-uk.client.prod.eu-west.dreamlake.io"", """")"),"/cruise-lines/regent-seven-seas-cruises/seven-seas-mariner/cruises")</f>
        <v>/cruise-lines/regent-seven-seas-cruises/seven-seas-mariner/cruises</v>
      </c>
    </row>
    <row r="233" spans="1:5" ht="13">
      <c r="A233" s="100" t="s">
        <v>772</v>
      </c>
      <c r="B233" s="51" t="str">
        <f ca="1">IFERROR(__xludf.DUMMYFUNCTION("REGEXREPLACE(A233, ""&lt;loc&gt;"", """")"),"https://odysia-cruise-uk.client.prod.eu-west.dreamlake.io/cruise-lines/po-cruises/iona&lt;/loc&gt;")</f>
        <v>https://odysia-cruise-uk.client.prod.eu-west.dreamlake.io/cruise-lines/po-cruises/iona&lt;/loc&gt;</v>
      </c>
      <c r="C233" s="101" t="str">
        <f ca="1">IFERROR(__xludf.DUMMYFUNCTION("REGEXREPLACE(B233, ""&lt;/loc&gt;"", """")"),"https://odysia-cruise-uk.client.prod.eu-west.dreamlake.io/cruise-lines/po-cruises/iona")</f>
        <v>https://odysia-cruise-uk.client.prod.eu-west.dreamlake.io/cruise-lines/po-cruises/iona</v>
      </c>
      <c r="D233" s="51" t="s">
        <v>773</v>
      </c>
      <c r="E233" s="51" t="str">
        <f ca="1">IFERROR(__xludf.DUMMYFUNCTION("REGEXREPLACE(D233, ""https://odysia-cruise-uk.client.prod.eu-west.dreamlake.io"", """")"),"/cruise-lines/po-cruises/iona")</f>
        <v>/cruise-lines/po-cruises/iona</v>
      </c>
    </row>
    <row r="234" spans="1:5" ht="13">
      <c r="A234" s="100" t="s">
        <v>774</v>
      </c>
      <c r="B234" s="51" t="str">
        <f ca="1">IFERROR(__xludf.DUMMYFUNCTION("REGEXREPLACE(A234, ""&lt;loc&gt;"", """")"),"https://odysia-cruise-uk.client.prod.eu-west.dreamlake.io/cruise-lines/msc-cruises/msc-virtuosa&lt;/loc&gt;")</f>
        <v>https://odysia-cruise-uk.client.prod.eu-west.dreamlake.io/cruise-lines/msc-cruises/msc-virtuosa&lt;/loc&gt;</v>
      </c>
      <c r="C234" s="101" t="str">
        <f ca="1">IFERROR(__xludf.DUMMYFUNCTION("REGEXREPLACE(B234, ""&lt;/loc&gt;"", """")"),"https://odysia-cruise-uk.client.prod.eu-west.dreamlake.io/cruise-lines/msc-cruises/msc-virtuosa")</f>
        <v>https://odysia-cruise-uk.client.prod.eu-west.dreamlake.io/cruise-lines/msc-cruises/msc-virtuosa</v>
      </c>
      <c r="D234" s="51" t="s">
        <v>775</v>
      </c>
      <c r="E234" s="51" t="str">
        <f ca="1">IFERROR(__xludf.DUMMYFUNCTION("REGEXREPLACE(D234, ""https://odysia-cruise-uk.client.prod.eu-west.dreamlake.io"", """")"),"/cruise-lines/msc-cruises/msc-virtuosa")</f>
        <v>/cruise-lines/msc-cruises/msc-virtuosa</v>
      </c>
    </row>
    <row r="235" spans="1:5" ht="13">
      <c r="A235" s="100" t="s">
        <v>776</v>
      </c>
      <c r="B235" s="51" t="str">
        <f ca="1">IFERROR(__xludf.DUMMYFUNCTION("REGEXREPLACE(A235, ""&lt;loc&gt;"", """")"),"https://odysia-cruise-uk.client.prod.eu-west.dreamlake.io/cruise-lines/msc-cruises/msc-bellissima&lt;/loc&gt;")</f>
        <v>https://odysia-cruise-uk.client.prod.eu-west.dreamlake.io/cruise-lines/msc-cruises/msc-bellissima&lt;/loc&gt;</v>
      </c>
      <c r="C235" s="101" t="str">
        <f ca="1">IFERROR(__xludf.DUMMYFUNCTION("REGEXREPLACE(B235, ""&lt;/loc&gt;"", """")"),"https://odysia-cruise-uk.client.prod.eu-west.dreamlake.io/cruise-lines/msc-cruises/msc-bellissima")</f>
        <v>https://odysia-cruise-uk.client.prod.eu-west.dreamlake.io/cruise-lines/msc-cruises/msc-bellissima</v>
      </c>
      <c r="D235" s="51" t="s">
        <v>777</v>
      </c>
      <c r="E235" s="51" t="str">
        <f ca="1">IFERROR(__xludf.DUMMYFUNCTION("REGEXREPLACE(D235, ""https://odysia-cruise-uk.client.prod.eu-west.dreamlake.io"", """")"),"/cruise-lines/msc-cruises/msc-bellissima")</f>
        <v>/cruise-lines/msc-cruises/msc-bellissima</v>
      </c>
    </row>
    <row r="236" spans="1:5" ht="13">
      <c r="A236" s="100" t="s">
        <v>778</v>
      </c>
      <c r="B236" s="51" t="str">
        <f ca="1">IFERROR(__xludf.DUMMYFUNCTION("REGEXREPLACE(A236, ""&lt;loc&gt;"", """")"),"https://odysia-cruise-uk.client.prod.eu-west.dreamlake.io/cruise-lines/royal-caribbean/spectrum-of-the-seas&lt;/loc&gt;")</f>
        <v>https://odysia-cruise-uk.client.prod.eu-west.dreamlake.io/cruise-lines/royal-caribbean/spectrum-of-the-seas&lt;/loc&gt;</v>
      </c>
      <c r="C236" s="101" t="str">
        <f ca="1">IFERROR(__xludf.DUMMYFUNCTION("REGEXREPLACE(B236, ""&lt;/loc&gt;"", """")"),"https://odysia-cruise-uk.client.prod.eu-west.dreamlake.io/cruise-lines/royal-caribbean/spectrum-of-the-seas")</f>
        <v>https://odysia-cruise-uk.client.prod.eu-west.dreamlake.io/cruise-lines/royal-caribbean/spectrum-of-the-seas</v>
      </c>
      <c r="D236" s="51" t="s">
        <v>779</v>
      </c>
      <c r="E236" s="51" t="str">
        <f ca="1">IFERROR(__xludf.DUMMYFUNCTION("REGEXREPLACE(D236, ""https://odysia-cruise-uk.client.prod.eu-west.dreamlake.io"", """")"),"/cruise-lines/royal-caribbean/spectrum-of-the-seas")</f>
        <v>/cruise-lines/royal-caribbean/spectrum-of-the-seas</v>
      </c>
    </row>
    <row r="237" spans="1:5" ht="13">
      <c r="A237" s="100" t="s">
        <v>780</v>
      </c>
      <c r="B237" s="51" t="str">
        <f ca="1">IFERROR(__xludf.DUMMYFUNCTION("REGEXREPLACE(A237, ""&lt;loc&gt;"", """")"),"https://odysia-cruise-uk.client.prod.eu-west.dreamlake.io/cruise-lines/princess-cruises/coral-princess/cruises&lt;/loc&gt;")</f>
        <v>https://odysia-cruise-uk.client.prod.eu-west.dreamlake.io/cruise-lines/princess-cruises/coral-princess/cruises&lt;/loc&gt;</v>
      </c>
      <c r="C237" s="101" t="str">
        <f ca="1">IFERROR(__xludf.DUMMYFUNCTION("REGEXREPLACE(B237, ""&lt;/loc&gt;"", """")"),"https://odysia-cruise-uk.client.prod.eu-west.dreamlake.io/cruise-lines/princess-cruises/coral-princess/cruises")</f>
        <v>https://odysia-cruise-uk.client.prod.eu-west.dreamlake.io/cruise-lines/princess-cruises/coral-princess/cruises</v>
      </c>
      <c r="D237" s="51" t="s">
        <v>781</v>
      </c>
      <c r="E237" s="51" t="str">
        <f ca="1">IFERROR(__xludf.DUMMYFUNCTION("REGEXREPLACE(D237, ""https://odysia-cruise-uk.client.prod.eu-west.dreamlake.io"", """")"),"/cruise-lines/princess-cruises/coral-princess/cruises")</f>
        <v>/cruise-lines/princess-cruises/coral-princess/cruises</v>
      </c>
    </row>
    <row r="238" spans="1:5" ht="13">
      <c r="A238" s="100" t="s">
        <v>782</v>
      </c>
      <c r="B238" s="51" t="str">
        <f ca="1">IFERROR(__xludf.DUMMYFUNCTION("REGEXREPLACE(A238, ""&lt;loc&gt;"", """")"),"https://odysia-cruise-uk.client.prod.eu-west.dreamlake.io/cruise-lines/explora-journeys/explora-i&lt;/loc&gt;")</f>
        <v>https://odysia-cruise-uk.client.prod.eu-west.dreamlake.io/cruise-lines/explora-journeys/explora-i&lt;/loc&gt;</v>
      </c>
      <c r="C238" s="101" t="str">
        <f ca="1">IFERROR(__xludf.DUMMYFUNCTION("REGEXREPLACE(B238, ""&lt;/loc&gt;"", """")"),"https://odysia-cruise-uk.client.prod.eu-west.dreamlake.io/cruise-lines/explora-journeys/explora-i")</f>
        <v>https://odysia-cruise-uk.client.prod.eu-west.dreamlake.io/cruise-lines/explora-journeys/explora-i</v>
      </c>
      <c r="D238" s="51" t="s">
        <v>783</v>
      </c>
      <c r="E238" s="51" t="str">
        <f ca="1">IFERROR(__xludf.DUMMYFUNCTION("REGEXREPLACE(D238, ""https://odysia-cruise-uk.client.prod.eu-west.dreamlake.io"", """")"),"/cruise-lines/explora-journeys/explora-i")</f>
        <v>/cruise-lines/explora-journeys/explora-i</v>
      </c>
    </row>
    <row r="239" spans="1:5" ht="13">
      <c r="A239" s="100" t="s">
        <v>784</v>
      </c>
      <c r="B239" s="51" t="str">
        <f ca="1">IFERROR(__xludf.DUMMYFUNCTION("REGEXREPLACE(A239, ""&lt;loc&gt;"", """")"),"https://odysia-cruise-uk.client.prod.eu-west.dreamlake.io/cruise-lines/regent-seven-seas-cruises/seven-seas-explorer&lt;/loc&gt;")</f>
        <v>https://odysia-cruise-uk.client.prod.eu-west.dreamlake.io/cruise-lines/regent-seven-seas-cruises/seven-seas-explorer&lt;/loc&gt;</v>
      </c>
      <c r="C239" s="101" t="str">
        <f ca="1">IFERROR(__xludf.DUMMYFUNCTION("REGEXREPLACE(B239, ""&lt;/loc&gt;"", """")"),"https://odysia-cruise-uk.client.prod.eu-west.dreamlake.io/cruise-lines/regent-seven-seas-cruises/seven-seas-explorer")</f>
        <v>https://odysia-cruise-uk.client.prod.eu-west.dreamlake.io/cruise-lines/regent-seven-seas-cruises/seven-seas-explorer</v>
      </c>
      <c r="D239" s="51" t="s">
        <v>785</v>
      </c>
      <c r="E239" s="51" t="str">
        <f ca="1">IFERROR(__xludf.DUMMYFUNCTION("REGEXREPLACE(D239, ""https://odysia-cruise-uk.client.prod.eu-west.dreamlake.io"", """")"),"/cruise-lines/regent-seven-seas-cruises/seven-seas-explorer")</f>
        <v>/cruise-lines/regent-seven-seas-cruises/seven-seas-explorer</v>
      </c>
    </row>
    <row r="240" spans="1:5" ht="13">
      <c r="A240" s="100" t="s">
        <v>786</v>
      </c>
      <c r="B240" s="51" t="str">
        <f ca="1">IFERROR(__xludf.DUMMYFUNCTION("REGEXREPLACE(A240, ""&lt;loc&gt;"", """")"),"https://odysia-cruise-uk.client.prod.eu-west.dreamlake.io/cruise-lines/royal-caribbean/navigator-of-the-seas/cruises&lt;/loc&gt;")</f>
        <v>https://odysia-cruise-uk.client.prod.eu-west.dreamlake.io/cruise-lines/royal-caribbean/navigator-of-the-seas/cruises&lt;/loc&gt;</v>
      </c>
      <c r="C240" s="101" t="str">
        <f ca="1">IFERROR(__xludf.DUMMYFUNCTION("REGEXREPLACE(B240, ""&lt;/loc&gt;"", """")"),"https://odysia-cruise-uk.client.prod.eu-west.dreamlake.io/cruise-lines/royal-caribbean/navigator-of-the-seas/cruises")</f>
        <v>https://odysia-cruise-uk.client.prod.eu-west.dreamlake.io/cruise-lines/royal-caribbean/navigator-of-the-seas/cruises</v>
      </c>
      <c r="D240" s="51" t="s">
        <v>787</v>
      </c>
      <c r="E240" s="51" t="str">
        <f ca="1">IFERROR(__xludf.DUMMYFUNCTION("REGEXREPLACE(D240, ""https://odysia-cruise-uk.client.prod.eu-west.dreamlake.io"", """")"),"/cruise-lines/royal-caribbean/navigator-of-the-seas/cruises")</f>
        <v>/cruise-lines/royal-caribbean/navigator-of-the-seas/cruises</v>
      </c>
    </row>
    <row r="241" spans="1:5" ht="13">
      <c r="A241" s="100" t="s">
        <v>788</v>
      </c>
      <c r="B241" s="51" t="str">
        <f ca="1">IFERROR(__xludf.DUMMYFUNCTION("REGEXREPLACE(A241, ""&lt;loc&gt;"", """")"),"https://odysia-cruise-uk.client.prod.eu-west.dreamlake.io/cruise-lines/virgin-voyages/valiant-lady&lt;/loc&gt;")</f>
        <v>https://odysia-cruise-uk.client.prod.eu-west.dreamlake.io/cruise-lines/virgin-voyages/valiant-lady&lt;/loc&gt;</v>
      </c>
      <c r="C241" s="101" t="str">
        <f ca="1">IFERROR(__xludf.DUMMYFUNCTION("REGEXREPLACE(B241, ""&lt;/loc&gt;"", """")"),"https://odysia-cruise-uk.client.prod.eu-west.dreamlake.io/cruise-lines/virgin-voyages/valiant-lady")</f>
        <v>https://odysia-cruise-uk.client.prod.eu-west.dreamlake.io/cruise-lines/virgin-voyages/valiant-lady</v>
      </c>
      <c r="D241" s="51" t="s">
        <v>789</v>
      </c>
      <c r="E241" s="51" t="str">
        <f ca="1">IFERROR(__xludf.DUMMYFUNCTION("REGEXREPLACE(D241, ""https://odysia-cruise-uk.client.prod.eu-west.dreamlake.io"", """")"),"/cruise-lines/virgin-voyages/valiant-lady")</f>
        <v>/cruise-lines/virgin-voyages/valiant-lady</v>
      </c>
    </row>
    <row r="242" spans="1:5" ht="13">
      <c r="A242" s="100" t="s">
        <v>790</v>
      </c>
      <c r="B242" s="51" t="str">
        <f ca="1">IFERROR(__xludf.DUMMYFUNCTION("REGEXREPLACE(A242, ""&lt;loc&gt;"", """")"),"https://odysia-cruise-uk.client.prod.eu-west.dreamlake.io/cruise-lines/norwegian-cruise-line/norwegian-aqua/cruises&lt;/loc&gt;")</f>
        <v>https://odysia-cruise-uk.client.prod.eu-west.dreamlake.io/cruise-lines/norwegian-cruise-line/norwegian-aqua/cruises&lt;/loc&gt;</v>
      </c>
      <c r="C242" s="101" t="str">
        <f ca="1">IFERROR(__xludf.DUMMYFUNCTION("REGEXREPLACE(B242, ""&lt;/loc&gt;"", """")"),"https://odysia-cruise-uk.client.prod.eu-west.dreamlake.io/cruise-lines/norwegian-cruise-line/norwegian-aqua/cruises")</f>
        <v>https://odysia-cruise-uk.client.prod.eu-west.dreamlake.io/cruise-lines/norwegian-cruise-line/norwegian-aqua/cruises</v>
      </c>
      <c r="D242" s="51" t="s">
        <v>791</v>
      </c>
      <c r="E242" s="51" t="str">
        <f ca="1">IFERROR(__xludf.DUMMYFUNCTION("REGEXREPLACE(D242, ""https://odysia-cruise-uk.client.prod.eu-west.dreamlake.io"", """")"),"/cruise-lines/norwegian-cruise-line/norwegian-aqua/cruises")</f>
        <v>/cruise-lines/norwegian-cruise-line/norwegian-aqua/cruises</v>
      </c>
    </row>
    <row r="243" spans="1:5" ht="13">
      <c r="A243" s="100" t="s">
        <v>792</v>
      </c>
      <c r="B243" s="51" t="str">
        <f ca="1">IFERROR(__xludf.DUMMYFUNCTION("REGEXREPLACE(A243, ""&lt;loc&gt;"", """")"),"https://odysia-cruise-uk.client.prod.eu-west.dreamlake.io/cruise-lines/norwegian-cruise-line/norwegian-jewel&lt;/loc&gt;")</f>
        <v>https://odysia-cruise-uk.client.prod.eu-west.dreamlake.io/cruise-lines/norwegian-cruise-line/norwegian-jewel&lt;/loc&gt;</v>
      </c>
      <c r="C243" s="101" t="str">
        <f ca="1">IFERROR(__xludf.DUMMYFUNCTION("REGEXREPLACE(B243, ""&lt;/loc&gt;"", """")"),"https://odysia-cruise-uk.client.prod.eu-west.dreamlake.io/cruise-lines/norwegian-cruise-line/norwegian-jewel")</f>
        <v>https://odysia-cruise-uk.client.prod.eu-west.dreamlake.io/cruise-lines/norwegian-cruise-line/norwegian-jewel</v>
      </c>
      <c r="D243" s="51" t="s">
        <v>793</v>
      </c>
      <c r="E243" s="51" t="str">
        <f ca="1">IFERROR(__xludf.DUMMYFUNCTION("REGEXREPLACE(D243, ""https://odysia-cruise-uk.client.prod.eu-west.dreamlake.io"", """")"),"/cruise-lines/norwegian-cruise-line/norwegian-jewel")</f>
        <v>/cruise-lines/norwegian-cruise-line/norwegian-jewel</v>
      </c>
    </row>
    <row r="244" spans="1:5" ht="13">
      <c r="A244" s="100" t="s">
        <v>794</v>
      </c>
      <c r="B244" s="51" t="str">
        <f ca="1">IFERROR(__xludf.DUMMYFUNCTION("REGEXREPLACE(A244, ""&lt;loc&gt;"", """")"),"https://odysia-cruise-uk.client.prod.eu-west.dreamlake.io/cruise-lines/costa-cruises/costa-diadema&lt;/loc&gt;")</f>
        <v>https://odysia-cruise-uk.client.prod.eu-west.dreamlake.io/cruise-lines/costa-cruises/costa-diadema&lt;/loc&gt;</v>
      </c>
      <c r="C244" s="101" t="str">
        <f ca="1">IFERROR(__xludf.DUMMYFUNCTION("REGEXREPLACE(B244, ""&lt;/loc&gt;"", """")"),"https://odysia-cruise-uk.client.prod.eu-west.dreamlake.io/cruise-lines/costa-cruises/costa-diadema")</f>
        <v>https://odysia-cruise-uk.client.prod.eu-west.dreamlake.io/cruise-lines/costa-cruises/costa-diadema</v>
      </c>
      <c r="D244" s="51" t="s">
        <v>795</v>
      </c>
      <c r="E244" s="51" t="str">
        <f ca="1">IFERROR(__xludf.DUMMYFUNCTION("REGEXREPLACE(D244, ""https://odysia-cruise-uk.client.prod.eu-west.dreamlake.io"", """")"),"/cruise-lines/costa-cruises/costa-diadema")</f>
        <v>/cruise-lines/costa-cruises/costa-diadema</v>
      </c>
    </row>
    <row r="245" spans="1:5" ht="13">
      <c r="A245" s="100" t="s">
        <v>796</v>
      </c>
      <c r="B245" s="51" t="str">
        <f ca="1">IFERROR(__xludf.DUMMYFUNCTION("REGEXREPLACE(A245, ""&lt;loc&gt;"", """")"),"https://odysia-cruise-uk.client.prod.eu-west.dreamlake.io/cruise-lines/royal-caribbean/jewel-of-the-seas/cruises&lt;/loc&gt;")</f>
        <v>https://odysia-cruise-uk.client.prod.eu-west.dreamlake.io/cruise-lines/royal-caribbean/jewel-of-the-seas/cruises&lt;/loc&gt;</v>
      </c>
      <c r="C245" s="101" t="str">
        <f ca="1">IFERROR(__xludf.DUMMYFUNCTION("REGEXREPLACE(B245, ""&lt;/loc&gt;"", """")"),"https://odysia-cruise-uk.client.prod.eu-west.dreamlake.io/cruise-lines/royal-caribbean/jewel-of-the-seas/cruises")</f>
        <v>https://odysia-cruise-uk.client.prod.eu-west.dreamlake.io/cruise-lines/royal-caribbean/jewel-of-the-seas/cruises</v>
      </c>
      <c r="D245" s="51" t="s">
        <v>797</v>
      </c>
      <c r="E245" s="51" t="str">
        <f ca="1">IFERROR(__xludf.DUMMYFUNCTION("REGEXREPLACE(D245, ""https://odysia-cruise-uk.client.prod.eu-west.dreamlake.io"", """")"),"/cruise-lines/royal-caribbean/jewel-of-the-seas/cruises")</f>
        <v>/cruise-lines/royal-caribbean/jewel-of-the-seas/cruises</v>
      </c>
    </row>
    <row r="246" spans="1:5" ht="13">
      <c r="A246" s="100" t="s">
        <v>798</v>
      </c>
      <c r="B246" s="51" t="str">
        <f ca="1">IFERROR(__xludf.DUMMYFUNCTION("REGEXREPLACE(A246, ""&lt;loc&gt;"", """")"),"https://odysia-cruise-uk.client.prod.eu-west.dreamlake.io/cruise-deals/cruises-from-tilbury&lt;/loc&gt;")</f>
        <v>https://odysia-cruise-uk.client.prod.eu-west.dreamlake.io/cruise-deals/cruises-from-tilbury&lt;/loc&gt;</v>
      </c>
      <c r="C246" s="101" t="str">
        <f ca="1">IFERROR(__xludf.DUMMYFUNCTION("REGEXREPLACE(B246, ""&lt;/loc&gt;"", """")"),"https://odysia-cruise-uk.client.prod.eu-west.dreamlake.io/cruise-deals/cruises-from-tilbury")</f>
        <v>https://odysia-cruise-uk.client.prod.eu-west.dreamlake.io/cruise-deals/cruises-from-tilbury</v>
      </c>
      <c r="D246" s="51" t="s">
        <v>799</v>
      </c>
    </row>
    <row r="247" spans="1:5" ht="13">
      <c r="A247" s="100" t="s">
        <v>800</v>
      </c>
      <c r="B247" s="51" t="str">
        <f ca="1">IFERROR(__xludf.DUMMYFUNCTION("REGEXREPLACE(A247, ""&lt;loc&gt;"", """")"),"https://odysia-cruise-uk.client.prod.eu-west.dreamlake.io/cruise-lines/celebrity-cruises/celebrity-infinity&lt;/loc&gt;")</f>
        <v>https://odysia-cruise-uk.client.prod.eu-west.dreamlake.io/cruise-lines/celebrity-cruises/celebrity-infinity&lt;/loc&gt;</v>
      </c>
      <c r="C247" s="101" t="str">
        <f ca="1">IFERROR(__xludf.DUMMYFUNCTION("REGEXREPLACE(B247, ""&lt;/loc&gt;"", """")"),"https://odysia-cruise-uk.client.prod.eu-west.dreamlake.io/cruise-lines/celebrity-cruises/celebrity-infinity")</f>
        <v>https://odysia-cruise-uk.client.prod.eu-west.dreamlake.io/cruise-lines/celebrity-cruises/celebrity-infinity</v>
      </c>
      <c r="D247" s="51" t="s">
        <v>801</v>
      </c>
      <c r="E247" s="51" t="str">
        <f ca="1">IFERROR(__xludf.DUMMYFUNCTION("REGEXREPLACE(D247, ""https://odysia-cruise-uk.client.prod.eu-west.dreamlake.io"", """")"),"/cruise-lines/celebrity-cruises/celebrity-infinity")</f>
        <v>/cruise-lines/celebrity-cruises/celebrity-infinity</v>
      </c>
    </row>
    <row r="248" spans="1:5" ht="13">
      <c r="A248" s="100" t="s">
        <v>802</v>
      </c>
      <c r="B248" s="51" t="str">
        <f ca="1">IFERROR(__xludf.DUMMYFUNCTION("REGEXREPLACE(A248, ""&lt;loc&gt;"", """")"),"https://odysia-cruise-uk.client.prod.eu-west.dreamlake.io/cruise-lines/seabourn/seabourn-quest&lt;/loc&gt;")</f>
        <v>https://odysia-cruise-uk.client.prod.eu-west.dreamlake.io/cruise-lines/seabourn/seabourn-quest&lt;/loc&gt;</v>
      </c>
      <c r="C248" s="101" t="str">
        <f ca="1">IFERROR(__xludf.DUMMYFUNCTION("REGEXREPLACE(B248, ""&lt;/loc&gt;"", """")"),"https://odysia-cruise-uk.client.prod.eu-west.dreamlake.io/cruise-lines/seabourn/seabourn-quest")</f>
        <v>https://odysia-cruise-uk.client.prod.eu-west.dreamlake.io/cruise-lines/seabourn/seabourn-quest</v>
      </c>
      <c r="D248" s="51" t="s">
        <v>803</v>
      </c>
      <c r="E248" s="51" t="str">
        <f ca="1">IFERROR(__xludf.DUMMYFUNCTION("REGEXREPLACE(D248, ""https://odysia-cruise-uk.client.prod.eu-west.dreamlake.io"", """")"),"/cruise-lines/seabourn/seabourn-quest")</f>
        <v>/cruise-lines/seabourn/seabourn-quest</v>
      </c>
    </row>
    <row r="249" spans="1:5" ht="13">
      <c r="A249" s="100" t="s">
        <v>804</v>
      </c>
      <c r="B249" s="51" t="str">
        <f ca="1">IFERROR(__xludf.DUMMYFUNCTION("REGEXREPLACE(A249, ""&lt;loc&gt;"", """")"),"https://odysia-cruise-uk.client.prod.eu-west.dreamlake.io/cruise-lines/oceania-cruises/oceania-marina&lt;/loc&gt;")</f>
        <v>https://odysia-cruise-uk.client.prod.eu-west.dreamlake.io/cruise-lines/oceania-cruises/oceania-marina&lt;/loc&gt;</v>
      </c>
      <c r="C249" s="101" t="str">
        <f ca="1">IFERROR(__xludf.DUMMYFUNCTION("REGEXREPLACE(B249, ""&lt;/loc&gt;"", """")"),"https://odysia-cruise-uk.client.prod.eu-west.dreamlake.io/cruise-lines/oceania-cruises/oceania-marina")</f>
        <v>https://odysia-cruise-uk.client.prod.eu-west.dreamlake.io/cruise-lines/oceania-cruises/oceania-marina</v>
      </c>
      <c r="D249" s="51" t="s">
        <v>805</v>
      </c>
      <c r="E249" s="51" t="str">
        <f ca="1">IFERROR(__xludf.DUMMYFUNCTION("REGEXREPLACE(D249, ""https://odysia-cruise-uk.client.prod.eu-west.dreamlake.io"", """")"),"/cruise-lines/oceania-cruises/oceania-marina")</f>
        <v>/cruise-lines/oceania-cruises/oceania-marina</v>
      </c>
    </row>
    <row r="250" spans="1:5" ht="13">
      <c r="A250" s="100" t="s">
        <v>806</v>
      </c>
      <c r="B250" s="51" t="str">
        <f ca="1">IFERROR(__xludf.DUMMYFUNCTION("REGEXREPLACE(A250, ""&lt;loc&gt;"", """")"),"https://odysia-cruise-uk.client.prod.eu-west.dreamlake.io/cruise-lines/fred-olsen-cruises&lt;/loc&gt;")</f>
        <v>https://odysia-cruise-uk.client.prod.eu-west.dreamlake.io/cruise-lines/fred-olsen-cruises&lt;/loc&gt;</v>
      </c>
      <c r="C250" s="101" t="str">
        <f ca="1">IFERROR(__xludf.DUMMYFUNCTION("REGEXREPLACE(B250, ""&lt;/loc&gt;"", """")"),"https://odysia-cruise-uk.client.prod.eu-west.dreamlake.io/cruise-lines/fred-olsen-cruises")</f>
        <v>https://odysia-cruise-uk.client.prod.eu-west.dreamlake.io/cruise-lines/fred-olsen-cruises</v>
      </c>
      <c r="D250" s="51" t="s">
        <v>807</v>
      </c>
      <c r="E250" s="51" t="str">
        <f ca="1">IFERROR(__xludf.DUMMYFUNCTION("REGEXREPLACE(D250, ""https://odysia-cruise-uk.client.prod.eu-west.dreamlake.io"", """")"),"/cruise-lines/fred-olsen-cruises")</f>
        <v>/cruise-lines/fred-olsen-cruises</v>
      </c>
    </row>
    <row r="251" spans="1:5" ht="13">
      <c r="A251" s="100" t="s">
        <v>808</v>
      </c>
      <c r="B251" s="51" t="str">
        <f ca="1">IFERROR(__xludf.DUMMYFUNCTION("REGEXREPLACE(A251, ""&lt;loc&gt;"", """")"),"https://odysia-cruise-uk.client.prod.eu-west.dreamlake.io/cruise-lines/ambassador-cruise-line/cruises&lt;/loc&gt;")</f>
        <v>https://odysia-cruise-uk.client.prod.eu-west.dreamlake.io/cruise-lines/ambassador-cruise-line/cruises&lt;/loc&gt;</v>
      </c>
      <c r="C251" s="101" t="str">
        <f ca="1">IFERROR(__xludf.DUMMYFUNCTION("REGEXREPLACE(B251, ""&lt;/loc&gt;"", """")"),"https://odysia-cruise-uk.client.prod.eu-west.dreamlake.io/cruise-lines/ambassador-cruise-line/cruises")</f>
        <v>https://odysia-cruise-uk.client.prod.eu-west.dreamlake.io/cruise-lines/ambassador-cruise-line/cruises</v>
      </c>
      <c r="D251" s="51" t="s">
        <v>809</v>
      </c>
      <c r="E251" s="51" t="str">
        <f ca="1">IFERROR(__xludf.DUMMYFUNCTION("REGEXREPLACE(D251, ""https://odysia-cruise-uk.client.prod.eu-west.dreamlake.io"", """")"),"/cruise-lines/ambassador-cruise-line/cruises")</f>
        <v>/cruise-lines/ambassador-cruise-line/cruises</v>
      </c>
    </row>
    <row r="252" spans="1:5" ht="13">
      <c r="A252" s="100" t="s">
        <v>810</v>
      </c>
      <c r="B252" s="51" t="str">
        <f ca="1">IFERROR(__xludf.DUMMYFUNCTION("REGEXREPLACE(A252, ""&lt;loc&gt;"", """")"),"https://odysia-cruise-uk.client.prod.eu-west.dreamlake.io/cruise-lines/royal-caribbean/odyssey-of-the-seas/cruises&lt;/loc&gt;")</f>
        <v>https://odysia-cruise-uk.client.prod.eu-west.dreamlake.io/cruise-lines/royal-caribbean/odyssey-of-the-seas/cruises&lt;/loc&gt;</v>
      </c>
      <c r="C252" s="101" t="str">
        <f ca="1">IFERROR(__xludf.DUMMYFUNCTION("REGEXREPLACE(B252, ""&lt;/loc&gt;"", """")"),"https://odysia-cruise-uk.client.prod.eu-west.dreamlake.io/cruise-lines/royal-caribbean/odyssey-of-the-seas/cruises")</f>
        <v>https://odysia-cruise-uk.client.prod.eu-west.dreamlake.io/cruise-lines/royal-caribbean/odyssey-of-the-seas/cruises</v>
      </c>
      <c r="D252" s="51" t="s">
        <v>811</v>
      </c>
      <c r="E252" s="51" t="str">
        <f ca="1">IFERROR(__xludf.DUMMYFUNCTION("REGEXREPLACE(D252, ""https://odysia-cruise-uk.client.prod.eu-west.dreamlake.io"", """")"),"/cruise-lines/royal-caribbean/odyssey-of-the-seas/cruises")</f>
        <v>/cruise-lines/royal-caribbean/odyssey-of-the-seas/cruises</v>
      </c>
    </row>
    <row r="253" spans="1:5" ht="13">
      <c r="A253" s="100" t="s">
        <v>812</v>
      </c>
      <c r="B253" s="51" t="str">
        <f ca="1">IFERROR(__xludf.DUMMYFUNCTION("REGEXREPLACE(A253, ""&lt;loc&gt;"", """")"),"https://odysia-cruise-uk.client.prod.eu-west.dreamlake.io/cruise-lines/royal-caribbean&lt;/loc&gt;")</f>
        <v>https://odysia-cruise-uk.client.prod.eu-west.dreamlake.io/cruise-lines/royal-caribbean&lt;/loc&gt;</v>
      </c>
      <c r="C253" s="101" t="str">
        <f ca="1">IFERROR(__xludf.DUMMYFUNCTION("REGEXREPLACE(B253, ""&lt;/loc&gt;"", """")"),"https://odysia-cruise-uk.client.prod.eu-west.dreamlake.io/cruise-lines/royal-caribbean")</f>
        <v>https://odysia-cruise-uk.client.prod.eu-west.dreamlake.io/cruise-lines/royal-caribbean</v>
      </c>
      <c r="D253" s="51" t="s">
        <v>813</v>
      </c>
      <c r="E253" s="51" t="str">
        <f ca="1">IFERROR(__xludf.DUMMYFUNCTION("REGEXREPLACE(D253, ""https://odysia-cruise-uk.client.prod.eu-west.dreamlake.io"", """")"),"/cruise-lines/royal-caribbean")</f>
        <v>/cruise-lines/royal-caribbean</v>
      </c>
    </row>
    <row r="254" spans="1:5" ht="13">
      <c r="A254" s="100" t="s">
        <v>814</v>
      </c>
      <c r="B254" s="51" t="str">
        <f ca="1">IFERROR(__xludf.DUMMYFUNCTION("REGEXREPLACE(A254, ""&lt;loc&gt;"", """")"),"https://odysia-cruise-uk.client.prod.eu-west.dreamlake.io/destinations&lt;/loc&gt;")</f>
        <v>https://odysia-cruise-uk.client.prod.eu-west.dreamlake.io/destinations&lt;/loc&gt;</v>
      </c>
      <c r="C254" s="101" t="str">
        <f ca="1">IFERROR(__xludf.DUMMYFUNCTION("REGEXREPLACE(B254, ""&lt;/loc&gt;"", """")"),"https://odysia-cruise-uk.client.prod.eu-west.dreamlake.io/destinations")</f>
        <v>https://odysia-cruise-uk.client.prod.eu-west.dreamlake.io/destinations</v>
      </c>
    </row>
    <row r="255" spans="1:5" ht="13">
      <c r="A255" s="100" t="s">
        <v>815</v>
      </c>
      <c r="B255" s="51" t="str">
        <f ca="1">IFERROR(__xludf.DUMMYFUNCTION("REGEXREPLACE(A255, ""&lt;loc&gt;"", """")"),"https://odysia-cruise-uk.client.prod.eu-west.dreamlake.io/cruise-lines/royal-caribbean/brilliance-of-the-seas/cruises&lt;/loc&gt;")</f>
        <v>https://odysia-cruise-uk.client.prod.eu-west.dreamlake.io/cruise-lines/royal-caribbean/brilliance-of-the-seas/cruises&lt;/loc&gt;</v>
      </c>
      <c r="C255" s="101" t="str">
        <f ca="1">IFERROR(__xludf.DUMMYFUNCTION("REGEXREPLACE(B255, ""&lt;/loc&gt;"", """")"),"https://odysia-cruise-uk.client.prod.eu-west.dreamlake.io/cruise-lines/royal-caribbean/brilliance-of-the-seas/cruises")</f>
        <v>https://odysia-cruise-uk.client.prod.eu-west.dreamlake.io/cruise-lines/royal-caribbean/brilliance-of-the-seas/cruises</v>
      </c>
      <c r="D255" s="51" t="s">
        <v>816</v>
      </c>
      <c r="E255" s="51" t="str">
        <f ca="1">IFERROR(__xludf.DUMMYFUNCTION("REGEXREPLACE(D255, ""https://odysia-cruise-uk.client.prod.eu-west.dreamlake.io"", """")"),"/cruise-lines/royal-caribbean/brilliance-of-the-seas/cruises")</f>
        <v>/cruise-lines/royal-caribbean/brilliance-of-the-seas/cruises</v>
      </c>
    </row>
    <row r="256" spans="1:5" ht="13">
      <c r="A256" s="100" t="s">
        <v>817</v>
      </c>
      <c r="B256" s="51" t="str">
        <f ca="1">IFERROR(__xludf.DUMMYFUNCTION("REGEXREPLACE(A256, ""&lt;loc&gt;"", """")"),"https://odysia-cruise-uk.client.prod.eu-west.dreamlake.io/cruise-lines/fred-olsen-cruises/balmoral&lt;/loc&gt;")</f>
        <v>https://odysia-cruise-uk.client.prod.eu-west.dreamlake.io/cruise-lines/fred-olsen-cruises/balmoral&lt;/loc&gt;</v>
      </c>
      <c r="C256" s="101" t="str">
        <f ca="1">IFERROR(__xludf.DUMMYFUNCTION("REGEXREPLACE(B256, ""&lt;/loc&gt;"", """")"),"https://odysia-cruise-uk.client.prod.eu-west.dreamlake.io/cruise-lines/fred-olsen-cruises/balmoral")</f>
        <v>https://odysia-cruise-uk.client.prod.eu-west.dreamlake.io/cruise-lines/fred-olsen-cruises/balmoral</v>
      </c>
      <c r="D256" s="51" t="s">
        <v>818</v>
      </c>
      <c r="E256" s="51" t="str">
        <f ca="1">IFERROR(__xludf.DUMMYFUNCTION("REGEXREPLACE(D256, ""https://odysia-cruise-uk.client.prod.eu-west.dreamlake.io"", """")"),"/cruise-lines/fred-olsen-cruises/balmoral")</f>
        <v>/cruise-lines/fred-olsen-cruises/balmoral</v>
      </c>
    </row>
    <row r="257" spans="1:5" ht="13">
      <c r="A257" s="100" t="s">
        <v>819</v>
      </c>
      <c r="B257" s="51" t="str">
        <f ca="1">IFERROR(__xludf.DUMMYFUNCTION("REGEXREPLACE(A257, ""&lt;loc&gt;"", """")"),"https://odysia-cruise-uk.client.prod.eu-west.dreamlake.io/cruise-lines/seabourn&lt;/loc&gt;")</f>
        <v>https://odysia-cruise-uk.client.prod.eu-west.dreamlake.io/cruise-lines/seabourn&lt;/loc&gt;</v>
      </c>
      <c r="C257" s="101" t="str">
        <f ca="1">IFERROR(__xludf.DUMMYFUNCTION("REGEXREPLACE(B257, ""&lt;/loc&gt;"", """")"),"https://odysia-cruise-uk.client.prod.eu-west.dreamlake.io/cruise-lines/seabourn")</f>
        <v>https://odysia-cruise-uk.client.prod.eu-west.dreamlake.io/cruise-lines/seabourn</v>
      </c>
      <c r="D257" s="51" t="s">
        <v>820</v>
      </c>
      <c r="E257" s="51" t="str">
        <f ca="1">IFERROR(__xludf.DUMMYFUNCTION("REGEXREPLACE(D257, ""https://odysia-cruise-uk.client.prod.eu-west.dreamlake.io"", """")"),"/cruise-lines/seabourn")</f>
        <v>/cruise-lines/seabourn</v>
      </c>
    </row>
    <row r="258" spans="1:5" ht="13">
      <c r="A258" s="100" t="s">
        <v>821</v>
      </c>
      <c r="B258" s="51" t="str">
        <f ca="1">IFERROR(__xludf.DUMMYFUNCTION("REGEXREPLACE(A258, ""&lt;loc&gt;"", """")"),"https://odysia-cruise-uk.client.prod.eu-west.dreamlake.io/cruise-lines/ambassador-cruise-line/renaissance&lt;/loc&gt;")</f>
        <v>https://odysia-cruise-uk.client.prod.eu-west.dreamlake.io/cruise-lines/ambassador-cruise-line/renaissance&lt;/loc&gt;</v>
      </c>
      <c r="C258" s="101" t="str">
        <f ca="1">IFERROR(__xludf.DUMMYFUNCTION("REGEXREPLACE(B258, ""&lt;/loc&gt;"", """")"),"https://odysia-cruise-uk.client.prod.eu-west.dreamlake.io/cruise-lines/ambassador-cruise-line/renaissance")</f>
        <v>https://odysia-cruise-uk.client.prod.eu-west.dreamlake.io/cruise-lines/ambassador-cruise-line/renaissance</v>
      </c>
      <c r="D258" s="51" t="s">
        <v>822</v>
      </c>
      <c r="E258" s="51" t="str">
        <f ca="1">IFERROR(__xludf.DUMMYFUNCTION("REGEXREPLACE(D258, ""https://odysia-cruise-uk.client.prod.eu-west.dreamlake.io"", """")"),"/cruise-lines/ambassador-cruise-line/renaissance")</f>
        <v>/cruise-lines/ambassador-cruise-line/renaissance</v>
      </c>
    </row>
    <row r="259" spans="1:5" ht="13">
      <c r="A259" s="100" t="s">
        <v>823</v>
      </c>
      <c r="B259" s="51" t="str">
        <f ca="1">IFERROR(__xludf.DUMMYFUNCTION("REGEXREPLACE(A259, ""&lt;loc&gt;"", """")"),"https://odysia-cruise-uk.client.prod.eu-west.dreamlake.io/cruise-lines/princess-cruises/star-princess/cruises&lt;/loc&gt;")</f>
        <v>https://odysia-cruise-uk.client.prod.eu-west.dreamlake.io/cruise-lines/princess-cruises/star-princess/cruises&lt;/loc&gt;</v>
      </c>
      <c r="C259" s="101" t="str">
        <f ca="1">IFERROR(__xludf.DUMMYFUNCTION("REGEXREPLACE(B259, ""&lt;/loc&gt;"", """")"),"https://odysia-cruise-uk.client.prod.eu-west.dreamlake.io/cruise-lines/princess-cruises/star-princess/cruises")</f>
        <v>https://odysia-cruise-uk.client.prod.eu-west.dreamlake.io/cruise-lines/princess-cruises/star-princess/cruises</v>
      </c>
      <c r="D259" s="51" t="s">
        <v>824</v>
      </c>
      <c r="E259" s="51" t="str">
        <f ca="1">IFERROR(__xludf.DUMMYFUNCTION("REGEXREPLACE(D259, ""https://odysia-cruise-uk.client.prod.eu-west.dreamlake.io"", """")"),"/cruise-lines/princess-cruises/star-princess/cruises")</f>
        <v>/cruise-lines/princess-cruises/star-princess/cruises</v>
      </c>
    </row>
    <row r="260" spans="1:5" ht="13">
      <c r="A260" s="100" t="s">
        <v>825</v>
      </c>
      <c r="B260" s="51" t="str">
        <f ca="1">IFERROR(__xludf.DUMMYFUNCTION("REGEXREPLACE(A260, ""&lt;loc&gt;"", """")"),"https://odysia-cruise-uk.client.prod.eu-west.dreamlake.io/cruise-lines/seabourn/seabourn-ovation&lt;/loc&gt;")</f>
        <v>https://odysia-cruise-uk.client.prod.eu-west.dreamlake.io/cruise-lines/seabourn/seabourn-ovation&lt;/loc&gt;</v>
      </c>
      <c r="C260" s="101" t="str">
        <f ca="1">IFERROR(__xludf.DUMMYFUNCTION("REGEXREPLACE(B260, ""&lt;/loc&gt;"", """")"),"https://odysia-cruise-uk.client.prod.eu-west.dreamlake.io/cruise-lines/seabourn/seabourn-ovation")</f>
        <v>https://odysia-cruise-uk.client.prod.eu-west.dreamlake.io/cruise-lines/seabourn/seabourn-ovation</v>
      </c>
      <c r="D260" s="51" t="s">
        <v>826</v>
      </c>
      <c r="E260" s="51" t="str">
        <f ca="1">IFERROR(__xludf.DUMMYFUNCTION("REGEXREPLACE(D260, ""https://odysia-cruise-uk.client.prod.eu-west.dreamlake.io"", """")"),"/cruise-lines/seabourn/seabourn-ovation")</f>
        <v>/cruise-lines/seabourn/seabourn-ovation</v>
      </c>
    </row>
    <row r="261" spans="1:5" ht="13">
      <c r="A261" s="100" t="s">
        <v>827</v>
      </c>
      <c r="B261" s="51" t="str">
        <f ca="1">IFERROR(__xludf.DUMMYFUNCTION("REGEXREPLACE(A261, ""&lt;loc&gt;"", """")"),"https://odysia-cruise-uk.client.prod.eu-west.dreamlake.io/cruise-lines/po-cruises/aurora&lt;/loc&gt;")</f>
        <v>https://odysia-cruise-uk.client.prod.eu-west.dreamlake.io/cruise-lines/po-cruises/aurora&lt;/loc&gt;</v>
      </c>
      <c r="C261" s="101" t="str">
        <f ca="1">IFERROR(__xludf.DUMMYFUNCTION("REGEXREPLACE(B261, ""&lt;/loc&gt;"", """")"),"https://odysia-cruise-uk.client.prod.eu-west.dreamlake.io/cruise-lines/po-cruises/aurora")</f>
        <v>https://odysia-cruise-uk.client.prod.eu-west.dreamlake.io/cruise-lines/po-cruises/aurora</v>
      </c>
      <c r="D261" s="51" t="s">
        <v>828</v>
      </c>
      <c r="E261" s="51" t="str">
        <f ca="1">IFERROR(__xludf.DUMMYFUNCTION("REGEXREPLACE(D261, ""https://odysia-cruise-uk.client.prod.eu-west.dreamlake.io"", """")"),"/cruise-lines/po-cruises/aurora")</f>
        <v>/cruise-lines/po-cruises/aurora</v>
      </c>
    </row>
    <row r="262" spans="1:5" ht="13">
      <c r="A262" s="100" t="s">
        <v>829</v>
      </c>
      <c r="B262" s="51" t="str">
        <f ca="1">IFERROR(__xludf.DUMMYFUNCTION("REGEXREPLACE(A262, ""&lt;loc&gt;"", """")"),"https://odysia-cruise-uk.client.prod.eu-west.dreamlake.io/cruise-lines/royal-caribbean/mariner-of-the-seas&lt;/loc&gt;")</f>
        <v>https://odysia-cruise-uk.client.prod.eu-west.dreamlake.io/cruise-lines/royal-caribbean/mariner-of-the-seas&lt;/loc&gt;</v>
      </c>
      <c r="C262" s="101" t="str">
        <f ca="1">IFERROR(__xludf.DUMMYFUNCTION("REGEXREPLACE(B262, ""&lt;/loc&gt;"", """")"),"https://odysia-cruise-uk.client.prod.eu-west.dreamlake.io/cruise-lines/royal-caribbean/mariner-of-the-seas")</f>
        <v>https://odysia-cruise-uk.client.prod.eu-west.dreamlake.io/cruise-lines/royal-caribbean/mariner-of-the-seas</v>
      </c>
      <c r="D262" s="51" t="s">
        <v>830</v>
      </c>
      <c r="E262" s="51" t="str">
        <f ca="1">IFERROR(__xludf.DUMMYFUNCTION("REGEXREPLACE(D262, ""https://odysia-cruise-uk.client.prod.eu-west.dreamlake.io"", """")"),"/cruise-lines/royal-caribbean/mariner-of-the-seas")</f>
        <v>/cruise-lines/royal-caribbean/mariner-of-the-seas</v>
      </c>
    </row>
    <row r="263" spans="1:5" ht="13">
      <c r="A263" s="100" t="s">
        <v>831</v>
      </c>
      <c r="B263" s="51" t="str">
        <f ca="1">IFERROR(__xludf.DUMMYFUNCTION("REGEXREPLACE(A263, ""&lt;loc&gt;"", """")"),"https://odysia-cruise-uk.client.prod.eu-west.dreamlake.io/cruise-lines/norwegian-cruise-line/pride-of-america&lt;/loc&gt;")</f>
        <v>https://odysia-cruise-uk.client.prod.eu-west.dreamlake.io/cruise-lines/norwegian-cruise-line/pride-of-america&lt;/loc&gt;</v>
      </c>
      <c r="C263" s="101" t="str">
        <f ca="1">IFERROR(__xludf.DUMMYFUNCTION("REGEXREPLACE(B263, ""&lt;/loc&gt;"", """")"),"https://odysia-cruise-uk.client.prod.eu-west.dreamlake.io/cruise-lines/norwegian-cruise-line/pride-of-america")</f>
        <v>https://odysia-cruise-uk.client.prod.eu-west.dreamlake.io/cruise-lines/norwegian-cruise-line/pride-of-america</v>
      </c>
      <c r="D263" s="51" t="s">
        <v>832</v>
      </c>
      <c r="E263" s="51" t="str">
        <f ca="1">IFERROR(__xludf.DUMMYFUNCTION("REGEXREPLACE(D263, ""https://odysia-cruise-uk.client.prod.eu-west.dreamlake.io"", """")"),"/cruise-lines/norwegian-cruise-line/pride-of-america")</f>
        <v>/cruise-lines/norwegian-cruise-line/pride-of-america</v>
      </c>
    </row>
    <row r="264" spans="1:5" ht="13">
      <c r="A264" s="100" t="s">
        <v>833</v>
      </c>
      <c r="B264" s="51" t="str">
        <f ca="1">IFERROR(__xludf.DUMMYFUNCTION("REGEXREPLACE(A264, ""&lt;loc&gt;"", """")"),"https://odysia-cruise-uk.client.prod.eu-west.dreamlake.io/cruise-lines/celebrity-cruises/celebrity-ascent/cruises&lt;/loc&gt;")</f>
        <v>https://odysia-cruise-uk.client.prod.eu-west.dreamlake.io/cruise-lines/celebrity-cruises/celebrity-ascent/cruises&lt;/loc&gt;</v>
      </c>
      <c r="C264" s="101" t="str">
        <f ca="1">IFERROR(__xludf.DUMMYFUNCTION("REGEXREPLACE(B264, ""&lt;/loc&gt;"", """")"),"https://odysia-cruise-uk.client.prod.eu-west.dreamlake.io/cruise-lines/celebrity-cruises/celebrity-ascent/cruises")</f>
        <v>https://odysia-cruise-uk.client.prod.eu-west.dreamlake.io/cruise-lines/celebrity-cruises/celebrity-ascent/cruises</v>
      </c>
      <c r="D264" s="51" t="s">
        <v>834</v>
      </c>
      <c r="E264" s="51" t="str">
        <f ca="1">IFERROR(__xludf.DUMMYFUNCTION("REGEXREPLACE(D264, ""https://odysia-cruise-uk.client.prod.eu-west.dreamlake.io"", """")"),"/cruise-lines/celebrity-cruises/celebrity-ascent/cruises")</f>
        <v>/cruise-lines/celebrity-cruises/celebrity-ascent/cruises</v>
      </c>
    </row>
    <row r="265" spans="1:5" ht="13">
      <c r="A265" s="100" t="s">
        <v>835</v>
      </c>
      <c r="B265" s="51" t="str">
        <f ca="1">IFERROR(__xludf.DUMMYFUNCTION("REGEXREPLACE(A265, ""&lt;loc&gt;"", """")"),"https://odysia-cruise-uk.client.prod.eu-west.dreamlake.io/cruise-lines/msc-cruises/msc-preziosa&lt;/loc&gt;")</f>
        <v>https://odysia-cruise-uk.client.prod.eu-west.dreamlake.io/cruise-lines/msc-cruises/msc-preziosa&lt;/loc&gt;</v>
      </c>
      <c r="C265" s="101" t="str">
        <f ca="1">IFERROR(__xludf.DUMMYFUNCTION("REGEXREPLACE(B265, ""&lt;/loc&gt;"", """")"),"https://odysia-cruise-uk.client.prod.eu-west.dreamlake.io/cruise-lines/msc-cruises/msc-preziosa")</f>
        <v>https://odysia-cruise-uk.client.prod.eu-west.dreamlake.io/cruise-lines/msc-cruises/msc-preziosa</v>
      </c>
      <c r="D265" s="51" t="s">
        <v>836</v>
      </c>
      <c r="E265" s="51" t="str">
        <f ca="1">IFERROR(__xludf.DUMMYFUNCTION("REGEXREPLACE(D265, ""https://odysia-cruise-uk.client.prod.eu-west.dreamlake.io"", """")"),"/cruise-lines/msc-cruises/msc-preziosa")</f>
        <v>/cruise-lines/msc-cruises/msc-preziosa</v>
      </c>
    </row>
    <row r="266" spans="1:5" ht="13">
      <c r="A266" s="100" t="s">
        <v>837</v>
      </c>
      <c r="B266" s="51" t="str">
        <f ca="1">IFERROR(__xludf.DUMMYFUNCTION("REGEXREPLACE(A266, ""&lt;loc&gt;"", """")"),"https://odysia-cruise-uk.client.prod.eu-west.dreamlake.io/cruise-lines/holland-america-line/volendam/cruises&lt;/loc&gt;")</f>
        <v>https://odysia-cruise-uk.client.prod.eu-west.dreamlake.io/cruise-lines/holland-america-line/volendam/cruises&lt;/loc&gt;</v>
      </c>
      <c r="C266" s="101" t="str">
        <f ca="1">IFERROR(__xludf.DUMMYFUNCTION("REGEXREPLACE(B266, ""&lt;/loc&gt;"", """")"),"https://odysia-cruise-uk.client.prod.eu-west.dreamlake.io/cruise-lines/holland-america-line/volendam/cruises")</f>
        <v>https://odysia-cruise-uk.client.prod.eu-west.dreamlake.io/cruise-lines/holland-america-line/volendam/cruises</v>
      </c>
      <c r="D266" s="51" t="s">
        <v>838</v>
      </c>
      <c r="E266" s="51" t="str">
        <f ca="1">IFERROR(__xludf.DUMMYFUNCTION("REGEXREPLACE(D266, ""https://odysia-cruise-uk.client.prod.eu-west.dreamlake.io"", """")"),"/cruise-lines/holland-america-line/volendam/cruises")</f>
        <v>/cruise-lines/holland-america-line/volendam/cruises</v>
      </c>
    </row>
    <row r="267" spans="1:5" ht="13">
      <c r="A267" s="100" t="s">
        <v>839</v>
      </c>
      <c r="B267" s="51" t="str">
        <f ca="1">IFERROR(__xludf.DUMMYFUNCTION("REGEXREPLACE(A267, ""&lt;loc&gt;"", """")"),"https://odysia-cruise-uk.client.prod.eu-west.dreamlake.io/cruise-lines/virgin-voyages/resilient-lady/cruises&lt;/loc&gt;")</f>
        <v>https://odysia-cruise-uk.client.prod.eu-west.dreamlake.io/cruise-lines/virgin-voyages/resilient-lady/cruises&lt;/loc&gt;</v>
      </c>
      <c r="C267" s="101" t="str">
        <f ca="1">IFERROR(__xludf.DUMMYFUNCTION("REGEXREPLACE(B267, ""&lt;/loc&gt;"", """")"),"https://odysia-cruise-uk.client.prod.eu-west.dreamlake.io/cruise-lines/virgin-voyages/resilient-lady/cruises")</f>
        <v>https://odysia-cruise-uk.client.prod.eu-west.dreamlake.io/cruise-lines/virgin-voyages/resilient-lady/cruises</v>
      </c>
      <c r="D267" s="51" t="s">
        <v>840</v>
      </c>
      <c r="E267" s="51" t="str">
        <f ca="1">IFERROR(__xludf.DUMMYFUNCTION("REGEXREPLACE(D267, ""https://odysia-cruise-uk.client.prod.eu-west.dreamlake.io"", """")"),"/cruise-lines/virgin-voyages/resilient-lady/cruises")</f>
        <v>/cruise-lines/virgin-voyages/resilient-lady/cruises</v>
      </c>
    </row>
    <row r="268" spans="1:5" ht="13">
      <c r="A268" s="100" t="s">
        <v>841</v>
      </c>
      <c r="B268" s="51" t="str">
        <f ca="1">IFERROR(__xludf.DUMMYFUNCTION("REGEXREPLACE(A268, ""&lt;loc&gt;"", """")"),"https://odysia-cruise-uk.client.prod.eu-west.dreamlake.io/cruise-lines/msc-cruises/msc-musica/cruises&lt;/loc&gt;")</f>
        <v>https://odysia-cruise-uk.client.prod.eu-west.dreamlake.io/cruise-lines/msc-cruises/msc-musica/cruises&lt;/loc&gt;</v>
      </c>
      <c r="C268" s="101" t="str">
        <f ca="1">IFERROR(__xludf.DUMMYFUNCTION("REGEXREPLACE(B268, ""&lt;/loc&gt;"", """")"),"https://odysia-cruise-uk.client.prod.eu-west.dreamlake.io/cruise-lines/msc-cruises/msc-musica/cruises")</f>
        <v>https://odysia-cruise-uk.client.prod.eu-west.dreamlake.io/cruise-lines/msc-cruises/msc-musica/cruises</v>
      </c>
      <c r="D268" s="51" t="s">
        <v>842</v>
      </c>
      <c r="E268" s="51" t="str">
        <f ca="1">IFERROR(__xludf.DUMMYFUNCTION("REGEXREPLACE(D268, ""https://odysia-cruise-uk.client.prod.eu-west.dreamlake.io"", """")"),"/cruise-lines/msc-cruises/msc-musica/cruises")</f>
        <v>/cruise-lines/msc-cruises/msc-musica/cruises</v>
      </c>
    </row>
    <row r="269" spans="1:5" ht="13">
      <c r="A269" s="100" t="s">
        <v>843</v>
      </c>
      <c r="B269" s="51" t="str">
        <f ca="1">IFERROR(__xludf.DUMMYFUNCTION("REGEXREPLACE(A269, ""&lt;loc&gt;"", """")"),"https://odysia-cruise-uk.client.prod.eu-west.dreamlake.io/cruise-lines/norwegian-cruise-line&lt;/loc&gt;")</f>
        <v>https://odysia-cruise-uk.client.prod.eu-west.dreamlake.io/cruise-lines/norwegian-cruise-line&lt;/loc&gt;</v>
      </c>
      <c r="C269" s="101" t="str">
        <f ca="1">IFERROR(__xludf.DUMMYFUNCTION("REGEXREPLACE(B269, ""&lt;/loc&gt;"", """")"),"https://odysia-cruise-uk.client.prod.eu-west.dreamlake.io/cruise-lines/norwegian-cruise-line")</f>
        <v>https://odysia-cruise-uk.client.prod.eu-west.dreamlake.io/cruise-lines/norwegian-cruise-line</v>
      </c>
      <c r="D269" s="51" t="s">
        <v>844</v>
      </c>
      <c r="E269" s="51" t="str">
        <f ca="1">IFERROR(__xludf.DUMMYFUNCTION("REGEXREPLACE(D269, ""https://odysia-cruise-uk.client.prod.eu-west.dreamlake.io"", """")"),"/cruise-lines/norwegian-cruise-line")</f>
        <v>/cruise-lines/norwegian-cruise-line</v>
      </c>
    </row>
    <row r="270" spans="1:5" ht="13">
      <c r="A270" s="100" t="s">
        <v>845</v>
      </c>
      <c r="B270" s="51" t="str">
        <f ca="1">IFERROR(__xludf.DUMMYFUNCTION("REGEXREPLACE(A270, ""&lt;loc&gt;"", """")"),"https://odysia-cruise-uk.client.prod.eu-west.dreamlake.io/cruise-deals/cruises-from-dover&lt;/loc&gt;")</f>
        <v>https://odysia-cruise-uk.client.prod.eu-west.dreamlake.io/cruise-deals/cruises-from-dover&lt;/loc&gt;</v>
      </c>
      <c r="C270" s="101" t="str">
        <f ca="1">IFERROR(__xludf.DUMMYFUNCTION("REGEXREPLACE(B270, ""&lt;/loc&gt;"", """")"),"https://odysia-cruise-uk.client.prod.eu-west.dreamlake.io/cruise-deals/cruises-from-dover")</f>
        <v>https://odysia-cruise-uk.client.prod.eu-west.dreamlake.io/cruise-deals/cruises-from-dover</v>
      </c>
      <c r="D270" s="51" t="s">
        <v>846</v>
      </c>
    </row>
    <row r="271" spans="1:5" ht="13">
      <c r="A271" s="100" t="s">
        <v>847</v>
      </c>
      <c r="B271" s="51" t="str">
        <f ca="1">IFERROR(__xludf.DUMMYFUNCTION("REGEXREPLACE(A271, ""&lt;loc&gt;"", """")"),"https://odysia-cruise-uk.client.prod.eu-west.dreamlake.io/cruise-lines/ambassador-cruise-line/ambience&lt;/loc&gt;")</f>
        <v>https://odysia-cruise-uk.client.prod.eu-west.dreamlake.io/cruise-lines/ambassador-cruise-line/ambience&lt;/loc&gt;</v>
      </c>
      <c r="C271" s="101" t="str">
        <f ca="1">IFERROR(__xludf.DUMMYFUNCTION("REGEXREPLACE(B271, ""&lt;/loc&gt;"", """")"),"https://odysia-cruise-uk.client.prod.eu-west.dreamlake.io/cruise-lines/ambassador-cruise-line/ambience")</f>
        <v>https://odysia-cruise-uk.client.prod.eu-west.dreamlake.io/cruise-lines/ambassador-cruise-line/ambience</v>
      </c>
      <c r="D271" s="51" t="s">
        <v>848</v>
      </c>
      <c r="E271" s="51" t="str">
        <f ca="1">IFERROR(__xludf.DUMMYFUNCTION("REGEXREPLACE(D271, ""https://odysia-cruise-uk.client.prod.eu-west.dreamlake.io"", """")"),"/cruise-lines/ambassador-cruise-line/ambience")</f>
        <v>/cruise-lines/ambassador-cruise-line/ambience</v>
      </c>
    </row>
    <row r="272" spans="1:5" ht="13">
      <c r="A272" s="100" t="s">
        <v>849</v>
      </c>
      <c r="B272" s="51" t="str">
        <f ca="1">IFERROR(__xludf.DUMMYFUNCTION("REGEXREPLACE(A272, ""&lt;loc&gt;"", """")"),"https://odysia-cruise-uk.client.prod.eu-west.dreamlake.io/cruise-lines/royal-caribbean/freedom-of-the-seas/cruises&lt;/loc&gt;")</f>
        <v>https://odysia-cruise-uk.client.prod.eu-west.dreamlake.io/cruise-lines/royal-caribbean/freedom-of-the-seas/cruises&lt;/loc&gt;</v>
      </c>
      <c r="C272" s="101" t="str">
        <f ca="1">IFERROR(__xludf.DUMMYFUNCTION("REGEXREPLACE(B272, ""&lt;/loc&gt;"", """")"),"https://odysia-cruise-uk.client.prod.eu-west.dreamlake.io/cruise-lines/royal-caribbean/freedom-of-the-seas/cruises")</f>
        <v>https://odysia-cruise-uk.client.prod.eu-west.dreamlake.io/cruise-lines/royal-caribbean/freedom-of-the-seas/cruises</v>
      </c>
      <c r="D272" s="51" t="s">
        <v>850</v>
      </c>
      <c r="E272" s="51" t="str">
        <f ca="1">IFERROR(__xludf.DUMMYFUNCTION("REGEXREPLACE(D272, ""https://odysia-cruise-uk.client.prod.eu-west.dreamlake.io"", """")"),"/cruise-lines/royal-caribbean/freedom-of-the-seas/cruises")</f>
        <v>/cruise-lines/royal-caribbean/freedom-of-the-seas/cruises</v>
      </c>
    </row>
    <row r="273" spans="1:5" ht="13">
      <c r="A273" s="100" t="s">
        <v>851</v>
      </c>
      <c r="B273" s="51" t="str">
        <f ca="1">IFERROR(__xludf.DUMMYFUNCTION("REGEXREPLACE(A273, ""&lt;loc&gt;"", """")"),"https://odysia-cruise-uk.client.prod.eu-west.dreamlake.io/cruise-lines/explora-journeys/explora-iii&lt;/loc&gt;")</f>
        <v>https://odysia-cruise-uk.client.prod.eu-west.dreamlake.io/cruise-lines/explora-journeys/explora-iii&lt;/loc&gt;</v>
      </c>
      <c r="C273" s="101" t="str">
        <f ca="1">IFERROR(__xludf.DUMMYFUNCTION("REGEXREPLACE(B273, ""&lt;/loc&gt;"", """")"),"https://odysia-cruise-uk.client.prod.eu-west.dreamlake.io/cruise-lines/explora-journeys/explora-iii")</f>
        <v>https://odysia-cruise-uk.client.prod.eu-west.dreamlake.io/cruise-lines/explora-journeys/explora-iii</v>
      </c>
      <c r="D273" s="51" t="s">
        <v>852</v>
      </c>
      <c r="E273" s="51" t="str">
        <f ca="1">IFERROR(__xludf.DUMMYFUNCTION("REGEXREPLACE(D273, ""https://odysia-cruise-uk.client.prod.eu-west.dreamlake.io"", """")"),"/cruise-lines/explora-journeys/explora-iii")</f>
        <v>/cruise-lines/explora-journeys/explora-iii</v>
      </c>
    </row>
    <row r="274" spans="1:5" ht="13">
      <c r="A274" s="100" t="s">
        <v>853</v>
      </c>
      <c r="B274" s="51" t="str">
        <f ca="1">IFERROR(__xludf.DUMMYFUNCTION("REGEXREPLACE(A274, ""&lt;loc&gt;"", """")"),"https://odysia-cruise-uk.client.prod.eu-west.dreamlake.io/cruise-lines/princess-cruises/sapphire-princess/cruises&lt;/loc&gt;")</f>
        <v>https://odysia-cruise-uk.client.prod.eu-west.dreamlake.io/cruise-lines/princess-cruises/sapphire-princess/cruises&lt;/loc&gt;</v>
      </c>
      <c r="C274" s="101" t="str">
        <f ca="1">IFERROR(__xludf.DUMMYFUNCTION("REGEXREPLACE(B274, ""&lt;/loc&gt;"", """")"),"https://odysia-cruise-uk.client.prod.eu-west.dreamlake.io/cruise-lines/princess-cruises/sapphire-princess/cruises")</f>
        <v>https://odysia-cruise-uk.client.prod.eu-west.dreamlake.io/cruise-lines/princess-cruises/sapphire-princess/cruises</v>
      </c>
      <c r="D274" s="51" t="s">
        <v>854</v>
      </c>
      <c r="E274" s="51" t="str">
        <f ca="1">IFERROR(__xludf.DUMMYFUNCTION("REGEXREPLACE(D274, ""https://odysia-cruise-uk.client.prod.eu-west.dreamlake.io"", """")"),"/cruise-lines/princess-cruises/sapphire-princess/cruises")</f>
        <v>/cruise-lines/princess-cruises/sapphire-princess/cruises</v>
      </c>
    </row>
    <row r="275" spans="1:5" ht="13">
      <c r="A275" s="100" t="s">
        <v>855</v>
      </c>
      <c r="B275" s="51" t="str">
        <f ca="1">IFERROR(__xludf.DUMMYFUNCTION("REGEXREPLACE(A275, ""&lt;loc&gt;"", """")"),"https://odysia-cruise-uk.client.prod.eu-west.dreamlake.io/cruise-lines/costa-cruises/costa-pacifica/cruises&lt;/loc&gt;")</f>
        <v>https://odysia-cruise-uk.client.prod.eu-west.dreamlake.io/cruise-lines/costa-cruises/costa-pacifica/cruises&lt;/loc&gt;</v>
      </c>
      <c r="C275" s="101" t="str">
        <f ca="1">IFERROR(__xludf.DUMMYFUNCTION("REGEXREPLACE(B275, ""&lt;/loc&gt;"", """")"),"https://odysia-cruise-uk.client.prod.eu-west.dreamlake.io/cruise-lines/costa-cruises/costa-pacifica/cruises")</f>
        <v>https://odysia-cruise-uk.client.prod.eu-west.dreamlake.io/cruise-lines/costa-cruises/costa-pacifica/cruises</v>
      </c>
      <c r="D275" s="51" t="s">
        <v>856</v>
      </c>
      <c r="E275" s="51" t="str">
        <f ca="1">IFERROR(__xludf.DUMMYFUNCTION("REGEXREPLACE(D275, ""https://odysia-cruise-uk.client.prod.eu-west.dreamlake.io"", """")"),"/cruise-lines/costa-cruises/costa-pacifica/cruises")</f>
        <v>/cruise-lines/costa-cruises/costa-pacifica/cruises</v>
      </c>
    </row>
    <row r="276" spans="1:5" ht="13">
      <c r="A276" s="100" t="s">
        <v>857</v>
      </c>
      <c r="B276" s="51" t="str">
        <f ca="1">IFERROR(__xludf.DUMMYFUNCTION("REGEXREPLACE(A276, ""&lt;loc&gt;"", """")"),"https://odysia-cruise-uk.client.prod.eu-west.dreamlake.io/cruise-lines/costa-cruises/costa-fascinosa&lt;/loc&gt;")</f>
        <v>https://odysia-cruise-uk.client.prod.eu-west.dreamlake.io/cruise-lines/costa-cruises/costa-fascinosa&lt;/loc&gt;</v>
      </c>
      <c r="C276" s="101" t="str">
        <f ca="1">IFERROR(__xludf.DUMMYFUNCTION("REGEXREPLACE(B276, ""&lt;/loc&gt;"", """")"),"https://odysia-cruise-uk.client.prod.eu-west.dreamlake.io/cruise-lines/costa-cruises/costa-fascinosa")</f>
        <v>https://odysia-cruise-uk.client.prod.eu-west.dreamlake.io/cruise-lines/costa-cruises/costa-fascinosa</v>
      </c>
      <c r="D276" s="51" t="s">
        <v>858</v>
      </c>
      <c r="E276" s="51" t="str">
        <f ca="1">IFERROR(__xludf.DUMMYFUNCTION("REGEXREPLACE(D276, ""https://odysia-cruise-uk.client.prod.eu-west.dreamlake.io"", """")"),"/cruise-lines/costa-cruises/costa-fascinosa")</f>
        <v>/cruise-lines/costa-cruises/costa-fascinosa</v>
      </c>
    </row>
    <row r="277" spans="1:5" ht="13">
      <c r="A277" s="100" t="s">
        <v>859</v>
      </c>
      <c r="B277" s="51" t="str">
        <f ca="1">IFERROR(__xludf.DUMMYFUNCTION("REGEXREPLACE(A277, ""&lt;loc&gt;"", """")"),"https://odysia-cruise-uk.client.prod.eu-west.dreamlake.io/cruise-lines/celebrity-cruises/celebrity-solstice/cruises&lt;/loc&gt;")</f>
        <v>https://odysia-cruise-uk.client.prod.eu-west.dreamlake.io/cruise-lines/celebrity-cruises/celebrity-solstice/cruises&lt;/loc&gt;</v>
      </c>
      <c r="C277" s="101" t="str">
        <f ca="1">IFERROR(__xludf.DUMMYFUNCTION("REGEXREPLACE(B277, ""&lt;/loc&gt;"", """")"),"https://odysia-cruise-uk.client.prod.eu-west.dreamlake.io/cruise-lines/celebrity-cruises/celebrity-solstice/cruises")</f>
        <v>https://odysia-cruise-uk.client.prod.eu-west.dreamlake.io/cruise-lines/celebrity-cruises/celebrity-solstice/cruises</v>
      </c>
      <c r="D277" s="51" t="s">
        <v>860</v>
      </c>
      <c r="E277" s="51" t="str">
        <f ca="1">IFERROR(__xludf.DUMMYFUNCTION("REGEXREPLACE(D277, ""https://odysia-cruise-uk.client.prod.eu-west.dreamlake.io"", """")"),"/cruise-lines/celebrity-cruises/celebrity-solstice/cruises")</f>
        <v>/cruise-lines/celebrity-cruises/celebrity-solstice/cruises</v>
      </c>
    </row>
    <row r="278" spans="1:5" ht="13">
      <c r="A278" s="100" t="s">
        <v>861</v>
      </c>
      <c r="B278" s="51" t="str">
        <f ca="1">IFERROR(__xludf.DUMMYFUNCTION("REGEXREPLACE(A278, ""&lt;loc&gt;"", """")"),"https://odysia-cruise-uk.client.prod.eu-west.dreamlake.io/cruise-lines/princess-cruises/diamond-princess&lt;/loc&gt;")</f>
        <v>https://odysia-cruise-uk.client.prod.eu-west.dreamlake.io/cruise-lines/princess-cruises/diamond-princess&lt;/loc&gt;</v>
      </c>
      <c r="C278" s="101" t="str">
        <f ca="1">IFERROR(__xludf.DUMMYFUNCTION("REGEXREPLACE(B278, ""&lt;/loc&gt;"", """")"),"https://odysia-cruise-uk.client.prod.eu-west.dreamlake.io/cruise-lines/princess-cruises/diamond-princess")</f>
        <v>https://odysia-cruise-uk.client.prod.eu-west.dreamlake.io/cruise-lines/princess-cruises/diamond-princess</v>
      </c>
      <c r="D278" s="51" t="s">
        <v>862</v>
      </c>
      <c r="E278" s="51" t="str">
        <f ca="1">IFERROR(__xludf.DUMMYFUNCTION("REGEXREPLACE(D278, ""https://odysia-cruise-uk.client.prod.eu-west.dreamlake.io"", """")"),"/cruise-lines/princess-cruises/diamond-princess")</f>
        <v>/cruise-lines/princess-cruises/diamond-princess</v>
      </c>
    </row>
    <row r="279" spans="1:5" ht="13">
      <c r="A279" s="100" t="s">
        <v>863</v>
      </c>
      <c r="B279" s="51" t="str">
        <f ca="1">IFERROR(__xludf.DUMMYFUNCTION("REGEXREPLACE(A279, ""&lt;loc&gt;"", """")"),"https://odysia-cruise-uk.client.prod.eu-west.dreamlake.io/cruise-lines/norwegian-cruise-line/norwegian-jade&lt;/loc&gt;")</f>
        <v>https://odysia-cruise-uk.client.prod.eu-west.dreamlake.io/cruise-lines/norwegian-cruise-line/norwegian-jade&lt;/loc&gt;</v>
      </c>
      <c r="C279" s="101" t="str">
        <f ca="1">IFERROR(__xludf.DUMMYFUNCTION("REGEXREPLACE(B279, ""&lt;/loc&gt;"", """")"),"https://odysia-cruise-uk.client.prod.eu-west.dreamlake.io/cruise-lines/norwegian-cruise-line/norwegian-jade")</f>
        <v>https://odysia-cruise-uk.client.prod.eu-west.dreamlake.io/cruise-lines/norwegian-cruise-line/norwegian-jade</v>
      </c>
      <c r="D279" s="51" t="s">
        <v>864</v>
      </c>
      <c r="E279" s="51" t="str">
        <f ca="1">IFERROR(__xludf.DUMMYFUNCTION("REGEXREPLACE(D279, ""https://odysia-cruise-uk.client.prod.eu-west.dreamlake.io"", """")"),"/cruise-lines/norwegian-cruise-line/norwegian-jade")</f>
        <v>/cruise-lines/norwegian-cruise-line/norwegian-jade</v>
      </c>
    </row>
    <row r="280" spans="1:5" ht="13">
      <c r="A280" s="100" t="s">
        <v>865</v>
      </c>
      <c r="B280" s="51" t="str">
        <f ca="1">IFERROR(__xludf.DUMMYFUNCTION("REGEXREPLACE(A280, ""&lt;loc&gt;"", """")"),"https://odysia-cruise-uk.client.prod.eu-west.dreamlake.io/cruise-lines/explora-journeys&lt;/loc&gt;")</f>
        <v>https://odysia-cruise-uk.client.prod.eu-west.dreamlake.io/cruise-lines/explora-journeys&lt;/loc&gt;</v>
      </c>
      <c r="C280" s="101" t="str">
        <f ca="1">IFERROR(__xludf.DUMMYFUNCTION("REGEXREPLACE(B280, ""&lt;/loc&gt;"", """")"),"https://odysia-cruise-uk.client.prod.eu-west.dreamlake.io/cruise-lines/explora-journeys")</f>
        <v>https://odysia-cruise-uk.client.prod.eu-west.dreamlake.io/cruise-lines/explora-journeys</v>
      </c>
      <c r="D280" s="51" t="s">
        <v>866</v>
      </c>
      <c r="E280" s="51" t="str">
        <f ca="1">IFERROR(__xludf.DUMMYFUNCTION("REGEXREPLACE(D280, ""https://odysia-cruise-uk.client.prod.eu-west.dreamlake.io"", """")"),"/cruise-lines/explora-journeys")</f>
        <v>/cruise-lines/explora-journeys</v>
      </c>
    </row>
    <row r="281" spans="1:5" ht="13">
      <c r="A281" s="100" t="s">
        <v>867</v>
      </c>
      <c r="B281" s="51" t="str">
        <f ca="1">IFERROR(__xludf.DUMMYFUNCTION("REGEXREPLACE(A281, ""&lt;loc&gt;"", """")"),"https://odysia-cruise-uk.client.prod.eu-west.dreamlake.io/cruise-lines/royal-caribbean/wonder-of-the-seas/cruises&lt;/loc&gt;")</f>
        <v>https://odysia-cruise-uk.client.prod.eu-west.dreamlake.io/cruise-lines/royal-caribbean/wonder-of-the-seas/cruises&lt;/loc&gt;</v>
      </c>
      <c r="C281" s="101" t="str">
        <f ca="1">IFERROR(__xludf.DUMMYFUNCTION("REGEXREPLACE(B281, ""&lt;/loc&gt;"", """")"),"https://odysia-cruise-uk.client.prod.eu-west.dreamlake.io/cruise-lines/royal-caribbean/wonder-of-the-seas/cruises")</f>
        <v>https://odysia-cruise-uk.client.prod.eu-west.dreamlake.io/cruise-lines/royal-caribbean/wonder-of-the-seas/cruises</v>
      </c>
      <c r="D281" s="51" t="s">
        <v>868</v>
      </c>
      <c r="E281" s="51" t="str">
        <f ca="1">IFERROR(__xludf.DUMMYFUNCTION("REGEXREPLACE(D281, ""https://odysia-cruise-uk.client.prod.eu-west.dreamlake.io"", """")"),"/cruise-lines/royal-caribbean/wonder-of-the-seas/cruises")</f>
        <v>/cruise-lines/royal-caribbean/wonder-of-the-seas/cruises</v>
      </c>
    </row>
    <row r="282" spans="1:5" ht="13">
      <c r="A282" s="100" t="s">
        <v>869</v>
      </c>
      <c r="B282" s="51" t="str">
        <f ca="1">IFERROR(__xludf.DUMMYFUNCTION("REGEXREPLACE(A282, ""&lt;loc&gt;"", """")"),"https://odysia-cruise-uk.client.prod.eu-west.dreamlake.io/cruise-lines/costa-cruises/costa-fortuna/cruises&lt;/loc&gt;")</f>
        <v>https://odysia-cruise-uk.client.prod.eu-west.dreamlake.io/cruise-lines/costa-cruises/costa-fortuna/cruises&lt;/loc&gt;</v>
      </c>
      <c r="C282" s="101" t="str">
        <f ca="1">IFERROR(__xludf.DUMMYFUNCTION("REGEXREPLACE(B282, ""&lt;/loc&gt;"", """")"),"https://odysia-cruise-uk.client.prod.eu-west.dreamlake.io/cruise-lines/costa-cruises/costa-fortuna/cruises")</f>
        <v>https://odysia-cruise-uk.client.prod.eu-west.dreamlake.io/cruise-lines/costa-cruises/costa-fortuna/cruises</v>
      </c>
      <c r="D282" s="51" t="s">
        <v>870</v>
      </c>
      <c r="E282" s="51" t="str">
        <f ca="1">IFERROR(__xludf.DUMMYFUNCTION("REGEXREPLACE(D282, ""https://odysia-cruise-uk.client.prod.eu-west.dreamlake.io"", """")"),"/cruise-lines/costa-cruises/costa-fortuna/cruises")</f>
        <v>/cruise-lines/costa-cruises/costa-fortuna/cruises</v>
      </c>
    </row>
    <row r="283" spans="1:5" ht="13">
      <c r="A283" s="100" t="s">
        <v>871</v>
      </c>
      <c r="B283" s="51" t="str">
        <f ca="1">IFERROR(__xludf.DUMMYFUNCTION("REGEXREPLACE(A283, ""&lt;loc&gt;"", """")"),"https://odysia-cruise-uk.client.prod.eu-west.dreamlake.io/cruise-lines/virgin-voyages/brilliant-lady/cruises&lt;/loc&gt;")</f>
        <v>https://odysia-cruise-uk.client.prod.eu-west.dreamlake.io/cruise-lines/virgin-voyages/brilliant-lady/cruises&lt;/loc&gt;</v>
      </c>
      <c r="C283" s="101" t="str">
        <f ca="1">IFERROR(__xludf.DUMMYFUNCTION("REGEXREPLACE(B283, ""&lt;/loc&gt;"", """")"),"https://odysia-cruise-uk.client.prod.eu-west.dreamlake.io/cruise-lines/virgin-voyages/brilliant-lady/cruises")</f>
        <v>https://odysia-cruise-uk.client.prod.eu-west.dreamlake.io/cruise-lines/virgin-voyages/brilliant-lady/cruises</v>
      </c>
      <c r="D283" s="51" t="s">
        <v>872</v>
      </c>
      <c r="E283" s="51" t="str">
        <f ca="1">IFERROR(__xludf.DUMMYFUNCTION("REGEXREPLACE(D283, ""https://odysia-cruise-uk.client.prod.eu-west.dreamlake.io"", """")"),"/cruise-lines/virgin-voyages/brilliant-lady/cruises")</f>
        <v>/cruise-lines/virgin-voyages/brilliant-lady/cruises</v>
      </c>
    </row>
    <row r="284" spans="1:5" ht="13">
      <c r="A284" s="100" t="s">
        <v>873</v>
      </c>
      <c r="B284" s="51" t="str">
        <f ca="1">IFERROR(__xludf.DUMMYFUNCTION("REGEXREPLACE(A284, ""&lt;loc&gt;"", """")"),"https://odysia-cruise-uk.client.prod.eu-west.dreamlake.io/cruise-lines/celebrity-cruises/celebrity-solstice&lt;/loc&gt;")</f>
        <v>https://odysia-cruise-uk.client.prod.eu-west.dreamlake.io/cruise-lines/celebrity-cruises/celebrity-solstice&lt;/loc&gt;</v>
      </c>
      <c r="C284" s="101" t="str">
        <f ca="1">IFERROR(__xludf.DUMMYFUNCTION("REGEXREPLACE(B284, ""&lt;/loc&gt;"", """")"),"https://odysia-cruise-uk.client.prod.eu-west.dreamlake.io/cruise-lines/celebrity-cruises/celebrity-solstice")</f>
        <v>https://odysia-cruise-uk.client.prod.eu-west.dreamlake.io/cruise-lines/celebrity-cruises/celebrity-solstice</v>
      </c>
      <c r="D284" s="51" t="s">
        <v>874</v>
      </c>
      <c r="E284" s="51" t="str">
        <f ca="1">IFERROR(__xludf.DUMMYFUNCTION("REGEXREPLACE(D284, ""https://odysia-cruise-uk.client.prod.eu-west.dreamlake.io"", """")"),"/cruise-lines/celebrity-cruises/celebrity-solstice")</f>
        <v>/cruise-lines/celebrity-cruises/celebrity-solstice</v>
      </c>
    </row>
    <row r="285" spans="1:5" ht="13">
      <c r="A285" s="100" t="s">
        <v>875</v>
      </c>
      <c r="B285" s="51" t="str">
        <f ca="1">IFERROR(__xludf.DUMMYFUNCTION("REGEXREPLACE(A285, ""&lt;loc&gt;"", """")"),"https://odysia-cruise-uk.client.prod.eu-west.dreamlake.io/cruise-lines/princess-cruises/sky-princess/cruises&lt;/loc&gt;")</f>
        <v>https://odysia-cruise-uk.client.prod.eu-west.dreamlake.io/cruise-lines/princess-cruises/sky-princess/cruises&lt;/loc&gt;</v>
      </c>
      <c r="C285" s="101" t="str">
        <f ca="1">IFERROR(__xludf.DUMMYFUNCTION("REGEXREPLACE(B285, ""&lt;/loc&gt;"", """")"),"https://odysia-cruise-uk.client.prod.eu-west.dreamlake.io/cruise-lines/princess-cruises/sky-princess/cruises")</f>
        <v>https://odysia-cruise-uk.client.prod.eu-west.dreamlake.io/cruise-lines/princess-cruises/sky-princess/cruises</v>
      </c>
      <c r="D285" s="51" t="s">
        <v>876</v>
      </c>
      <c r="E285" s="51" t="str">
        <f ca="1">IFERROR(__xludf.DUMMYFUNCTION("REGEXREPLACE(D285, ""https://odysia-cruise-uk.client.prod.eu-west.dreamlake.io"", """")"),"/cruise-lines/princess-cruises/sky-princess/cruises")</f>
        <v>/cruise-lines/princess-cruises/sky-princess/cruises</v>
      </c>
    </row>
    <row r="286" spans="1:5" ht="13">
      <c r="A286" s="100" t="s">
        <v>877</v>
      </c>
      <c r="B286" s="51" t="str">
        <f ca="1">IFERROR(__xludf.DUMMYFUNCTION("REGEXREPLACE(A286, ""&lt;loc&gt;"", """")"),"https://odysia-cruise-uk.client.prod.eu-west.dreamlake.io/cruise-lines/princess-cruises/grand-princess&lt;/loc&gt;")</f>
        <v>https://odysia-cruise-uk.client.prod.eu-west.dreamlake.io/cruise-lines/princess-cruises/grand-princess&lt;/loc&gt;</v>
      </c>
      <c r="C286" s="101" t="str">
        <f ca="1">IFERROR(__xludf.DUMMYFUNCTION("REGEXREPLACE(B286, ""&lt;/loc&gt;"", """")"),"https://odysia-cruise-uk.client.prod.eu-west.dreamlake.io/cruise-lines/princess-cruises/grand-princess")</f>
        <v>https://odysia-cruise-uk.client.prod.eu-west.dreamlake.io/cruise-lines/princess-cruises/grand-princess</v>
      </c>
      <c r="D286" s="51" t="s">
        <v>878</v>
      </c>
      <c r="E286" s="51" t="str">
        <f ca="1">IFERROR(__xludf.DUMMYFUNCTION("REGEXREPLACE(D286, ""https://odysia-cruise-uk.client.prod.eu-west.dreamlake.io"", """")"),"/cruise-lines/princess-cruises/grand-princess")</f>
        <v>/cruise-lines/princess-cruises/grand-princess</v>
      </c>
    </row>
    <row r="287" spans="1:5" ht="13">
      <c r="A287" s="100" t="s">
        <v>879</v>
      </c>
      <c r="B287" s="51" t="str">
        <f ca="1">IFERROR(__xludf.DUMMYFUNCTION("REGEXREPLACE(A287, ""&lt;loc&gt;"", """")"),"https://odysia-cruise-uk.client.prod.eu-west.dreamlake.io/cruise-lines/costa-cruises/costa-deliziosa&lt;/loc&gt;")</f>
        <v>https://odysia-cruise-uk.client.prod.eu-west.dreamlake.io/cruise-lines/costa-cruises/costa-deliziosa&lt;/loc&gt;</v>
      </c>
      <c r="C287" s="101" t="str">
        <f ca="1">IFERROR(__xludf.DUMMYFUNCTION("REGEXREPLACE(B287, ""&lt;/loc&gt;"", """")"),"https://odysia-cruise-uk.client.prod.eu-west.dreamlake.io/cruise-lines/costa-cruises/costa-deliziosa")</f>
        <v>https://odysia-cruise-uk.client.prod.eu-west.dreamlake.io/cruise-lines/costa-cruises/costa-deliziosa</v>
      </c>
      <c r="D287" s="51" t="s">
        <v>880</v>
      </c>
      <c r="E287" s="51" t="str">
        <f ca="1">IFERROR(__xludf.DUMMYFUNCTION("REGEXREPLACE(D287, ""https://odysia-cruise-uk.client.prod.eu-west.dreamlake.io"", """")"),"/cruise-lines/costa-cruises/costa-deliziosa")</f>
        <v>/cruise-lines/costa-cruises/costa-deliziosa</v>
      </c>
    </row>
    <row r="288" spans="1:5" ht="13">
      <c r="A288" s="100" t="s">
        <v>881</v>
      </c>
      <c r="B288" s="51" t="str">
        <f ca="1">IFERROR(__xludf.DUMMYFUNCTION("REGEXREPLACE(A288, ""&lt;loc&gt;"", """")"),"https://odysia-cruise-uk.client.prod.eu-west.dreamlake.io/cruise-lines/regent-seven-seas-cruises/seven-seas-voyager/cruises&lt;/loc&gt;")</f>
        <v>https://odysia-cruise-uk.client.prod.eu-west.dreamlake.io/cruise-lines/regent-seven-seas-cruises/seven-seas-voyager/cruises&lt;/loc&gt;</v>
      </c>
      <c r="C288" s="101" t="str">
        <f ca="1">IFERROR(__xludf.DUMMYFUNCTION("REGEXREPLACE(B288, ""&lt;/loc&gt;"", """")"),"https://odysia-cruise-uk.client.prod.eu-west.dreamlake.io/cruise-lines/regent-seven-seas-cruises/seven-seas-voyager/cruises")</f>
        <v>https://odysia-cruise-uk.client.prod.eu-west.dreamlake.io/cruise-lines/regent-seven-seas-cruises/seven-seas-voyager/cruises</v>
      </c>
      <c r="D288" s="51" t="s">
        <v>882</v>
      </c>
      <c r="E288" s="51" t="str">
        <f ca="1">IFERROR(__xludf.DUMMYFUNCTION("REGEXREPLACE(D288, ""https://odysia-cruise-uk.client.prod.eu-west.dreamlake.io"", """")"),"/cruise-lines/regent-seven-seas-cruises/seven-seas-voyager/cruises")</f>
        <v>/cruise-lines/regent-seven-seas-cruises/seven-seas-voyager/cruises</v>
      </c>
    </row>
    <row r="289" spans="1:5" ht="13">
      <c r="A289" s="100" t="s">
        <v>883</v>
      </c>
      <c r="B289" s="51" t="str">
        <f ca="1">IFERROR(__xludf.DUMMYFUNCTION("REGEXREPLACE(A289, ""&lt;loc&gt;"", """")"),"https://odysia-cruise-uk.client.prod.eu-west.dreamlake.io/cruise-lines/norwegian-cruise-line/norwegian-pearl&lt;/loc&gt;")</f>
        <v>https://odysia-cruise-uk.client.prod.eu-west.dreamlake.io/cruise-lines/norwegian-cruise-line/norwegian-pearl&lt;/loc&gt;</v>
      </c>
      <c r="C289" s="101" t="str">
        <f ca="1">IFERROR(__xludf.DUMMYFUNCTION("REGEXREPLACE(B289, ""&lt;/loc&gt;"", """")"),"https://odysia-cruise-uk.client.prod.eu-west.dreamlake.io/cruise-lines/norwegian-cruise-line/norwegian-pearl")</f>
        <v>https://odysia-cruise-uk.client.prod.eu-west.dreamlake.io/cruise-lines/norwegian-cruise-line/norwegian-pearl</v>
      </c>
      <c r="D289" s="51" t="s">
        <v>884</v>
      </c>
      <c r="E289" s="51" t="str">
        <f ca="1">IFERROR(__xludf.DUMMYFUNCTION("REGEXREPLACE(D289, ""https://odysia-cruise-uk.client.prod.eu-west.dreamlake.io"", """")"),"/cruise-lines/norwegian-cruise-line/norwegian-pearl")</f>
        <v>/cruise-lines/norwegian-cruise-line/norwegian-pearl</v>
      </c>
    </row>
    <row r="290" spans="1:5" ht="13">
      <c r="A290" s="100" t="s">
        <v>885</v>
      </c>
      <c r="B290" s="51" t="str">
        <f ca="1">IFERROR(__xludf.DUMMYFUNCTION("REGEXREPLACE(A290, ""&lt;loc&gt;"", """")"),"https://odysia-cruise-uk.client.prod.eu-west.dreamlake.io/cruise-lines/royal-caribbean/vision-of-the-seas/cruises&lt;/loc&gt;")</f>
        <v>https://odysia-cruise-uk.client.prod.eu-west.dreamlake.io/cruise-lines/royal-caribbean/vision-of-the-seas/cruises&lt;/loc&gt;</v>
      </c>
      <c r="C290" s="101" t="str">
        <f ca="1">IFERROR(__xludf.DUMMYFUNCTION("REGEXREPLACE(B290, ""&lt;/loc&gt;"", """")"),"https://odysia-cruise-uk.client.prod.eu-west.dreamlake.io/cruise-lines/royal-caribbean/vision-of-the-seas/cruises")</f>
        <v>https://odysia-cruise-uk.client.prod.eu-west.dreamlake.io/cruise-lines/royal-caribbean/vision-of-the-seas/cruises</v>
      </c>
      <c r="D290" s="51" t="s">
        <v>886</v>
      </c>
      <c r="E290" s="51" t="str">
        <f ca="1">IFERROR(__xludf.DUMMYFUNCTION("REGEXREPLACE(D290, ""https://odysia-cruise-uk.client.prod.eu-west.dreamlake.io"", """")"),"/cruise-lines/royal-caribbean/vision-of-the-seas/cruises")</f>
        <v>/cruise-lines/royal-caribbean/vision-of-the-seas/cruises</v>
      </c>
    </row>
    <row r="291" spans="1:5" ht="13">
      <c r="A291" s="100" t="s">
        <v>887</v>
      </c>
      <c r="B291" s="51" t="str">
        <f ca="1">IFERROR(__xludf.DUMMYFUNCTION("REGEXREPLACE(A291, ""&lt;loc&gt;"", """")"),"https://odysia-cruise-uk.client.prod.eu-west.dreamlake.io/cruise-lines/royal-caribbean/star-of-the-seas/cruises&lt;/loc&gt;")</f>
        <v>https://odysia-cruise-uk.client.prod.eu-west.dreamlake.io/cruise-lines/royal-caribbean/star-of-the-seas/cruises&lt;/loc&gt;</v>
      </c>
      <c r="C291" s="101" t="str">
        <f ca="1">IFERROR(__xludf.DUMMYFUNCTION("REGEXREPLACE(B291, ""&lt;/loc&gt;"", """")"),"https://odysia-cruise-uk.client.prod.eu-west.dreamlake.io/cruise-lines/royal-caribbean/star-of-the-seas/cruises")</f>
        <v>https://odysia-cruise-uk.client.prod.eu-west.dreamlake.io/cruise-lines/royal-caribbean/star-of-the-seas/cruises</v>
      </c>
      <c r="D291" s="51" t="s">
        <v>888</v>
      </c>
      <c r="E291" s="51" t="str">
        <f ca="1">IFERROR(__xludf.DUMMYFUNCTION("REGEXREPLACE(D291, ""https://odysia-cruise-uk.client.prod.eu-west.dreamlake.io"", """")"),"/cruise-lines/royal-caribbean/star-of-the-seas/cruises")</f>
        <v>/cruise-lines/royal-caribbean/star-of-the-seas/cruises</v>
      </c>
    </row>
    <row r="292" spans="1:5" ht="13">
      <c r="A292" s="100" t="s">
        <v>889</v>
      </c>
      <c r="B292" s="51" t="str">
        <f ca="1">IFERROR(__xludf.DUMMYFUNCTION("REGEXREPLACE(A292, ""&lt;loc&gt;"", """")"),"https://odysia-cruise-uk.client.prod.eu-west.dreamlake.io/cruise-calendar/mediterranean-cruise-dates&lt;/loc&gt;")</f>
        <v>https://odysia-cruise-uk.client.prod.eu-west.dreamlake.io/cruise-calendar/mediterranean-cruise-dates&lt;/loc&gt;</v>
      </c>
      <c r="C292" s="101" t="str">
        <f ca="1">IFERROR(__xludf.DUMMYFUNCTION("REGEXREPLACE(B292, ""&lt;/loc&gt;"", """")"),"https://odysia-cruise-uk.client.prod.eu-west.dreamlake.io/cruise-calendar/mediterranean-cruise-dates")</f>
        <v>https://odysia-cruise-uk.client.prod.eu-west.dreamlake.io/cruise-calendar/mediterranean-cruise-dates</v>
      </c>
    </row>
    <row r="293" spans="1:5" ht="13">
      <c r="A293" s="100" t="s">
        <v>890</v>
      </c>
      <c r="B293" s="51" t="str">
        <f ca="1">IFERROR(__xludf.DUMMYFUNCTION("REGEXREPLACE(A293, ""&lt;loc&gt;"", """")"),"https://odysia-cruise-uk.client.prod.eu-west.dreamlake.io/cruise-lines/msc-cruises/msc-seascape/cruises&lt;/loc&gt;")</f>
        <v>https://odysia-cruise-uk.client.prod.eu-west.dreamlake.io/cruise-lines/msc-cruises/msc-seascape/cruises&lt;/loc&gt;</v>
      </c>
      <c r="C293" s="101" t="str">
        <f ca="1">IFERROR(__xludf.DUMMYFUNCTION("REGEXREPLACE(B293, ""&lt;/loc&gt;"", """")"),"https://odysia-cruise-uk.client.prod.eu-west.dreamlake.io/cruise-lines/msc-cruises/msc-seascape/cruises")</f>
        <v>https://odysia-cruise-uk.client.prod.eu-west.dreamlake.io/cruise-lines/msc-cruises/msc-seascape/cruises</v>
      </c>
      <c r="D293" s="51" t="s">
        <v>891</v>
      </c>
      <c r="E293" s="51" t="str">
        <f ca="1">IFERROR(__xludf.DUMMYFUNCTION("REGEXREPLACE(D293, ""https://odysia-cruise-uk.client.prod.eu-west.dreamlake.io"", """")"),"/cruise-lines/msc-cruises/msc-seascape/cruises")</f>
        <v>/cruise-lines/msc-cruises/msc-seascape/cruises</v>
      </c>
    </row>
    <row r="294" spans="1:5" ht="13">
      <c r="A294" s="100" t="s">
        <v>892</v>
      </c>
      <c r="B294" s="51" t="str">
        <f ca="1">IFERROR(__xludf.DUMMYFUNCTION("REGEXREPLACE(A294, ""&lt;loc&gt;"", """")"),"https://odysia-cruise-uk.client.prod.eu-west.dreamlake.io/cruise-lines/princess-cruises/discovery-princess/cruises&lt;/loc&gt;")</f>
        <v>https://odysia-cruise-uk.client.prod.eu-west.dreamlake.io/cruise-lines/princess-cruises/discovery-princess/cruises&lt;/loc&gt;</v>
      </c>
      <c r="C294" s="101" t="str">
        <f ca="1">IFERROR(__xludf.DUMMYFUNCTION("REGEXREPLACE(B294, ""&lt;/loc&gt;"", """")"),"https://odysia-cruise-uk.client.prod.eu-west.dreamlake.io/cruise-lines/princess-cruises/discovery-princess/cruises")</f>
        <v>https://odysia-cruise-uk.client.prod.eu-west.dreamlake.io/cruise-lines/princess-cruises/discovery-princess/cruises</v>
      </c>
      <c r="D294" s="51" t="s">
        <v>893</v>
      </c>
      <c r="E294" s="51" t="str">
        <f ca="1">IFERROR(__xludf.DUMMYFUNCTION("REGEXREPLACE(D294, ""https://odysia-cruise-uk.client.prod.eu-west.dreamlake.io"", """")"),"/cruise-lines/princess-cruises/discovery-princess/cruises")</f>
        <v>/cruise-lines/princess-cruises/discovery-princess/cruises</v>
      </c>
    </row>
    <row r="295" spans="1:5" ht="13">
      <c r="A295" s="100" t="s">
        <v>894</v>
      </c>
      <c r="B295" s="51" t="str">
        <f ca="1">IFERROR(__xludf.DUMMYFUNCTION("REGEXREPLACE(A295, ""&lt;loc&gt;"", """")"),"https://odysia-cruise-uk.client.prod.eu-west.dreamlake.io/cruise-lines/oceania-cruises/oceania-allura&lt;/loc&gt;")</f>
        <v>https://odysia-cruise-uk.client.prod.eu-west.dreamlake.io/cruise-lines/oceania-cruises/oceania-allura&lt;/loc&gt;</v>
      </c>
      <c r="C295" s="101" t="str">
        <f ca="1">IFERROR(__xludf.DUMMYFUNCTION("REGEXREPLACE(B295, ""&lt;/loc&gt;"", """")"),"https://odysia-cruise-uk.client.prod.eu-west.dreamlake.io/cruise-lines/oceania-cruises/oceania-allura")</f>
        <v>https://odysia-cruise-uk.client.prod.eu-west.dreamlake.io/cruise-lines/oceania-cruises/oceania-allura</v>
      </c>
      <c r="D295" s="51" t="s">
        <v>895</v>
      </c>
      <c r="E295" s="51" t="str">
        <f ca="1">IFERROR(__xludf.DUMMYFUNCTION("REGEXREPLACE(D295, ""https://odysia-cruise-uk.client.prod.eu-west.dreamlake.io"", """")"),"/cruise-lines/oceania-cruises/oceania-allura")</f>
        <v>/cruise-lines/oceania-cruises/oceania-allura</v>
      </c>
    </row>
    <row r="296" spans="1:5" ht="13">
      <c r="A296" s="100" t="s">
        <v>896</v>
      </c>
      <c r="B296" s="51" t="str">
        <f ca="1">IFERROR(__xludf.DUMMYFUNCTION("REGEXREPLACE(A296, ""&lt;loc&gt;"", """")"),"https://odysia-cruise-uk.client.prod.eu-west.dreamlake.io/cruise-lines/po-cruises/azura&lt;/loc&gt;")</f>
        <v>https://odysia-cruise-uk.client.prod.eu-west.dreamlake.io/cruise-lines/po-cruises/azura&lt;/loc&gt;</v>
      </c>
      <c r="C296" s="101" t="str">
        <f ca="1">IFERROR(__xludf.DUMMYFUNCTION("REGEXREPLACE(B296, ""&lt;/loc&gt;"", """")"),"https://odysia-cruise-uk.client.prod.eu-west.dreamlake.io/cruise-lines/po-cruises/azura")</f>
        <v>https://odysia-cruise-uk.client.prod.eu-west.dreamlake.io/cruise-lines/po-cruises/azura</v>
      </c>
      <c r="D296" s="51" t="s">
        <v>897</v>
      </c>
      <c r="E296" s="51" t="str">
        <f ca="1">IFERROR(__xludf.DUMMYFUNCTION("REGEXREPLACE(D296, ""https://odysia-cruise-uk.client.prod.eu-west.dreamlake.io"", """")"),"/cruise-lines/po-cruises/azura")</f>
        <v>/cruise-lines/po-cruises/azura</v>
      </c>
    </row>
    <row r="297" spans="1:5" ht="13">
      <c r="A297" s="100" t="s">
        <v>898</v>
      </c>
      <c r="B297" s="51" t="str">
        <f ca="1">IFERROR(__xludf.DUMMYFUNCTION("REGEXREPLACE(A297, ""&lt;loc&gt;"", """")"),"https://odysia-cruise-uk.client.prod.eu-west.dreamlake.io/cruise-lines/po-cruises/britannia&lt;/loc&gt;")</f>
        <v>https://odysia-cruise-uk.client.prod.eu-west.dreamlake.io/cruise-lines/po-cruises/britannia&lt;/loc&gt;</v>
      </c>
      <c r="C297" s="101" t="str">
        <f ca="1">IFERROR(__xludf.DUMMYFUNCTION("REGEXREPLACE(B297, ""&lt;/loc&gt;"", """")"),"https://odysia-cruise-uk.client.prod.eu-west.dreamlake.io/cruise-lines/po-cruises/britannia")</f>
        <v>https://odysia-cruise-uk.client.prod.eu-west.dreamlake.io/cruise-lines/po-cruises/britannia</v>
      </c>
      <c r="D297" s="51" t="s">
        <v>899</v>
      </c>
      <c r="E297" s="51" t="str">
        <f ca="1">IFERROR(__xludf.DUMMYFUNCTION("REGEXREPLACE(D297, ""https://odysia-cruise-uk.client.prod.eu-west.dreamlake.io"", """")"),"/cruise-lines/po-cruises/britannia")</f>
        <v>/cruise-lines/po-cruises/britannia</v>
      </c>
    </row>
    <row r="298" spans="1:5" ht="13">
      <c r="A298" s="100" t="s">
        <v>900</v>
      </c>
      <c r="B298" s="51" t="str">
        <f ca="1">IFERROR(__xludf.DUMMYFUNCTION("REGEXREPLACE(A298, ""&lt;loc&gt;"", """")"),"https://odysia-cruise-uk.client.prod.eu-west.dreamlake.io/cruise-lines/explora-journeys/cruises&lt;/loc&gt;")</f>
        <v>https://odysia-cruise-uk.client.prod.eu-west.dreamlake.io/cruise-lines/explora-journeys/cruises&lt;/loc&gt;</v>
      </c>
      <c r="C298" s="101" t="str">
        <f ca="1">IFERROR(__xludf.DUMMYFUNCTION("REGEXREPLACE(B298, ""&lt;/loc&gt;"", """")"),"https://odysia-cruise-uk.client.prod.eu-west.dreamlake.io/cruise-lines/explora-journeys/cruises")</f>
        <v>https://odysia-cruise-uk.client.prod.eu-west.dreamlake.io/cruise-lines/explora-journeys/cruises</v>
      </c>
      <c r="D298" s="51" t="s">
        <v>901</v>
      </c>
      <c r="E298" s="51" t="str">
        <f ca="1">IFERROR(__xludf.DUMMYFUNCTION("REGEXREPLACE(D298, ""https://odysia-cruise-uk.client.prod.eu-west.dreamlake.io"", """")"),"/cruise-lines/explora-journeys/cruises")</f>
        <v>/cruise-lines/explora-journeys/cruises</v>
      </c>
    </row>
    <row r="299" spans="1:5" ht="13">
      <c r="A299" s="100" t="s">
        <v>902</v>
      </c>
      <c r="B299" s="51" t="str">
        <f ca="1">IFERROR(__xludf.DUMMYFUNCTION("REGEXREPLACE(A299, ""&lt;loc&gt;"", """")"),"https://odysia-cruise-uk.client.prod.eu-west.dreamlake.io/cruise-lines/celebrity-cruises/celebrity-apex&lt;/loc&gt;")</f>
        <v>https://odysia-cruise-uk.client.prod.eu-west.dreamlake.io/cruise-lines/celebrity-cruises/celebrity-apex&lt;/loc&gt;</v>
      </c>
      <c r="C299" s="101" t="str">
        <f ca="1">IFERROR(__xludf.DUMMYFUNCTION("REGEXREPLACE(B299, ""&lt;/loc&gt;"", """")"),"https://odysia-cruise-uk.client.prod.eu-west.dreamlake.io/cruise-lines/celebrity-cruises/celebrity-apex")</f>
        <v>https://odysia-cruise-uk.client.prod.eu-west.dreamlake.io/cruise-lines/celebrity-cruises/celebrity-apex</v>
      </c>
      <c r="D299" s="51" t="s">
        <v>903</v>
      </c>
      <c r="E299" s="51" t="str">
        <f ca="1">IFERROR(__xludf.DUMMYFUNCTION("REGEXREPLACE(D299, ""https://odysia-cruise-uk.client.prod.eu-west.dreamlake.io"", """")"),"/cruise-lines/celebrity-cruises/celebrity-apex")</f>
        <v>/cruise-lines/celebrity-cruises/celebrity-apex</v>
      </c>
    </row>
    <row r="300" spans="1:5" ht="13">
      <c r="A300" s="100" t="s">
        <v>904</v>
      </c>
      <c r="B300" s="51" t="str">
        <f ca="1">IFERROR(__xludf.DUMMYFUNCTION("REGEXREPLACE(A300, ""&lt;loc&gt;"", """")"),"https://odysia-cruise-uk.client.prod.eu-west.dreamlake.io/cruise-lines/po-cruises/ventura&lt;/loc&gt;")</f>
        <v>https://odysia-cruise-uk.client.prod.eu-west.dreamlake.io/cruise-lines/po-cruises/ventura&lt;/loc&gt;</v>
      </c>
      <c r="C300" s="101" t="str">
        <f ca="1">IFERROR(__xludf.DUMMYFUNCTION("REGEXREPLACE(B300, ""&lt;/loc&gt;"", """")"),"https://odysia-cruise-uk.client.prod.eu-west.dreamlake.io/cruise-lines/po-cruises/ventura")</f>
        <v>https://odysia-cruise-uk.client.prod.eu-west.dreamlake.io/cruise-lines/po-cruises/ventura</v>
      </c>
      <c r="D300" s="51" t="s">
        <v>905</v>
      </c>
      <c r="E300" s="51" t="str">
        <f ca="1">IFERROR(__xludf.DUMMYFUNCTION("REGEXREPLACE(D300, ""https://odysia-cruise-uk.client.prod.eu-west.dreamlake.io"", """")"),"/cruise-lines/po-cruises/ventura")</f>
        <v>/cruise-lines/po-cruises/ventura</v>
      </c>
    </row>
    <row r="301" spans="1:5" ht="13">
      <c r="A301" s="100" t="s">
        <v>906</v>
      </c>
      <c r="B301" s="51" t="str">
        <f ca="1">IFERROR(__xludf.DUMMYFUNCTION("REGEXREPLACE(A301, ""&lt;loc&gt;"", """")"),"https://odysia-cruise-uk.client.prod.eu-west.dreamlake.io/destinations/canada-cruises&lt;/loc&gt;")</f>
        <v>https://odysia-cruise-uk.client.prod.eu-west.dreamlake.io/destinations/canada-cruises&lt;/loc&gt;</v>
      </c>
      <c r="C301" s="101" t="str">
        <f ca="1">IFERROR(__xludf.DUMMYFUNCTION("REGEXREPLACE(B301, ""&lt;/loc&gt;"", """")"),"https://odysia-cruise-uk.client.prod.eu-west.dreamlake.io/destinations/canada-cruises")</f>
        <v>https://odysia-cruise-uk.client.prod.eu-west.dreamlake.io/destinations/canada-cruises</v>
      </c>
    </row>
    <row r="302" spans="1:5" ht="13">
      <c r="A302" s="100" t="s">
        <v>907</v>
      </c>
      <c r="B302" s="51" t="str">
        <f ca="1">IFERROR(__xludf.DUMMYFUNCTION("REGEXREPLACE(A302, ""&lt;loc&gt;"", """")"),"https://odysia-cruise-uk.client.prod.eu-west.dreamlake.io/cruise-lines/princess-cruises/enchanted-princess&lt;/loc&gt;")</f>
        <v>https://odysia-cruise-uk.client.prod.eu-west.dreamlake.io/cruise-lines/princess-cruises/enchanted-princess&lt;/loc&gt;</v>
      </c>
      <c r="C302" s="101" t="str">
        <f ca="1">IFERROR(__xludf.DUMMYFUNCTION("REGEXREPLACE(B302, ""&lt;/loc&gt;"", """")"),"https://odysia-cruise-uk.client.prod.eu-west.dreamlake.io/cruise-lines/princess-cruises/enchanted-princess")</f>
        <v>https://odysia-cruise-uk.client.prod.eu-west.dreamlake.io/cruise-lines/princess-cruises/enchanted-princess</v>
      </c>
      <c r="D302" s="51" t="s">
        <v>908</v>
      </c>
      <c r="E302" s="51" t="str">
        <f ca="1">IFERROR(__xludf.DUMMYFUNCTION("REGEXREPLACE(D302, ""https://odysia-cruise-uk.client.prod.eu-west.dreamlake.io"", """")"),"/cruise-lines/princess-cruises/enchanted-princess")</f>
        <v>/cruise-lines/princess-cruises/enchanted-princess</v>
      </c>
    </row>
    <row r="303" spans="1:5" ht="13">
      <c r="A303" s="100" t="s">
        <v>909</v>
      </c>
      <c r="B303" s="51" t="str">
        <f ca="1">IFERROR(__xludf.DUMMYFUNCTION("REGEXREPLACE(A303, ""&lt;loc&gt;"", """")"),"https://odysia-cruise-uk.client.prod.eu-west.dreamlake.io/cruise-lines/oceania-cruises/oceania-sirena&lt;/loc&gt;")</f>
        <v>https://odysia-cruise-uk.client.prod.eu-west.dreamlake.io/cruise-lines/oceania-cruises/oceania-sirena&lt;/loc&gt;</v>
      </c>
      <c r="C303" s="101" t="str">
        <f ca="1">IFERROR(__xludf.DUMMYFUNCTION("REGEXREPLACE(B303, ""&lt;/loc&gt;"", """")"),"https://odysia-cruise-uk.client.prod.eu-west.dreamlake.io/cruise-lines/oceania-cruises/oceania-sirena")</f>
        <v>https://odysia-cruise-uk.client.prod.eu-west.dreamlake.io/cruise-lines/oceania-cruises/oceania-sirena</v>
      </c>
      <c r="D303" s="51" t="s">
        <v>910</v>
      </c>
      <c r="E303" s="51" t="str">
        <f ca="1">IFERROR(__xludf.DUMMYFUNCTION("REGEXREPLACE(D303, ""https://odysia-cruise-uk.client.prod.eu-west.dreamlake.io"", """")"),"/cruise-lines/oceania-cruises/oceania-sirena")</f>
        <v>/cruise-lines/oceania-cruises/oceania-sirena</v>
      </c>
    </row>
    <row r="304" spans="1:5" ht="13">
      <c r="A304" s="100" t="s">
        <v>911</v>
      </c>
      <c r="B304" s="51" t="str">
        <f ca="1">IFERROR(__xludf.DUMMYFUNCTION("REGEXREPLACE(A304, ""&lt;loc&gt;"", """")"),"https://odysia-cruise-uk.client.prod.eu-west.dreamlake.io/cruise-lines/msc-cruises/msc-divina&lt;/loc&gt;")</f>
        <v>https://odysia-cruise-uk.client.prod.eu-west.dreamlake.io/cruise-lines/msc-cruises/msc-divina&lt;/loc&gt;</v>
      </c>
      <c r="C304" s="101" t="str">
        <f ca="1">IFERROR(__xludf.DUMMYFUNCTION("REGEXREPLACE(B304, ""&lt;/loc&gt;"", """")"),"https://odysia-cruise-uk.client.prod.eu-west.dreamlake.io/cruise-lines/msc-cruises/msc-divina")</f>
        <v>https://odysia-cruise-uk.client.prod.eu-west.dreamlake.io/cruise-lines/msc-cruises/msc-divina</v>
      </c>
      <c r="D304" s="51" t="s">
        <v>912</v>
      </c>
      <c r="E304" s="51" t="str">
        <f ca="1">IFERROR(__xludf.DUMMYFUNCTION("REGEXREPLACE(D304, ""https://odysia-cruise-uk.client.prod.eu-west.dreamlake.io"", """")"),"/cruise-lines/msc-cruises/msc-divina")</f>
        <v>/cruise-lines/msc-cruises/msc-divina</v>
      </c>
    </row>
    <row r="305" spans="1:5" ht="13">
      <c r="A305" s="100" t="s">
        <v>913</v>
      </c>
      <c r="B305" s="51" t="str">
        <f ca="1">IFERROR(__xludf.DUMMYFUNCTION("REGEXREPLACE(A305, ""&lt;loc&gt;"", """")"),"https://odysia-cruise-uk.client.prod.eu-west.dreamlake.io/cruise-lines/princess-cruises/caribbean-princess&lt;/loc&gt;")</f>
        <v>https://odysia-cruise-uk.client.prod.eu-west.dreamlake.io/cruise-lines/princess-cruises/caribbean-princess&lt;/loc&gt;</v>
      </c>
      <c r="C305" s="101" t="str">
        <f ca="1">IFERROR(__xludf.DUMMYFUNCTION("REGEXREPLACE(B305, ""&lt;/loc&gt;"", """")"),"https://odysia-cruise-uk.client.prod.eu-west.dreamlake.io/cruise-lines/princess-cruises/caribbean-princess")</f>
        <v>https://odysia-cruise-uk.client.prod.eu-west.dreamlake.io/cruise-lines/princess-cruises/caribbean-princess</v>
      </c>
      <c r="D305" s="51" t="s">
        <v>914</v>
      </c>
      <c r="E305" s="51" t="str">
        <f ca="1">IFERROR(__xludf.DUMMYFUNCTION("REGEXREPLACE(D305, ""https://odysia-cruise-uk.client.prod.eu-west.dreamlake.io"", """")"),"/cruise-lines/princess-cruises/caribbean-princess")</f>
        <v>/cruise-lines/princess-cruises/caribbean-princess</v>
      </c>
    </row>
    <row r="306" spans="1:5" ht="13">
      <c r="A306" s="100" t="s">
        <v>915</v>
      </c>
      <c r="B306" s="51" t="str">
        <f ca="1">IFERROR(__xludf.DUMMYFUNCTION("REGEXREPLACE(A306, ""&lt;loc&gt;"", """")"),"https://odysia-cruise-uk.client.prod.eu-west.dreamlake.io/cruise-lines/msc-cruises/msc-seaview&lt;/loc&gt;")</f>
        <v>https://odysia-cruise-uk.client.prod.eu-west.dreamlake.io/cruise-lines/msc-cruises/msc-seaview&lt;/loc&gt;</v>
      </c>
      <c r="C306" s="101" t="str">
        <f ca="1">IFERROR(__xludf.DUMMYFUNCTION("REGEXREPLACE(B306, ""&lt;/loc&gt;"", """")"),"https://odysia-cruise-uk.client.prod.eu-west.dreamlake.io/cruise-lines/msc-cruises/msc-seaview")</f>
        <v>https://odysia-cruise-uk.client.prod.eu-west.dreamlake.io/cruise-lines/msc-cruises/msc-seaview</v>
      </c>
      <c r="D306" s="51" t="s">
        <v>916</v>
      </c>
      <c r="E306" s="51" t="str">
        <f ca="1">IFERROR(__xludf.DUMMYFUNCTION("REGEXREPLACE(D306, ""https://odysia-cruise-uk.client.prod.eu-west.dreamlake.io"", """")"),"/cruise-lines/msc-cruises/msc-seaview")</f>
        <v>/cruise-lines/msc-cruises/msc-seaview</v>
      </c>
    </row>
    <row r="307" spans="1:5" ht="13">
      <c r="A307" s="100" t="s">
        <v>917</v>
      </c>
      <c r="B307" s="51" t="str">
        <f ca="1">IFERROR(__xludf.DUMMYFUNCTION("REGEXREPLACE(A307, ""&lt;loc&gt;"", """")"),"https://odysia-cruise-uk.client.prod.eu-west.dreamlake.io/cruise-lines/royal-caribbean/adventure-of-the-seas&lt;/loc&gt;")</f>
        <v>https://odysia-cruise-uk.client.prod.eu-west.dreamlake.io/cruise-lines/royal-caribbean/adventure-of-the-seas&lt;/loc&gt;</v>
      </c>
      <c r="C307" s="101" t="str">
        <f ca="1">IFERROR(__xludf.DUMMYFUNCTION("REGEXREPLACE(B307, ""&lt;/loc&gt;"", """")"),"https://odysia-cruise-uk.client.prod.eu-west.dreamlake.io/cruise-lines/royal-caribbean/adventure-of-the-seas")</f>
        <v>https://odysia-cruise-uk.client.prod.eu-west.dreamlake.io/cruise-lines/royal-caribbean/adventure-of-the-seas</v>
      </c>
      <c r="D307" s="51" t="s">
        <v>918</v>
      </c>
      <c r="E307" s="51" t="str">
        <f ca="1">IFERROR(__xludf.DUMMYFUNCTION("REGEXREPLACE(D307, ""https://odysia-cruise-uk.client.prod.eu-west.dreamlake.io"", """")"),"/cruise-lines/royal-caribbean/adventure-of-the-seas")</f>
        <v>/cruise-lines/royal-caribbean/adventure-of-the-seas</v>
      </c>
    </row>
    <row r="308" spans="1:5" ht="13">
      <c r="A308" s="100" t="s">
        <v>919</v>
      </c>
      <c r="B308" s="51" t="str">
        <f ca="1">IFERROR(__xludf.DUMMYFUNCTION("REGEXREPLACE(A308, ""&lt;loc&gt;"", """")"),"https://odysia-cruise-uk.client.prod.eu-west.dreamlake.io/cruise-lines/royal-caribbean/liberty-of-the-seas/cruises&lt;/loc&gt;")</f>
        <v>https://odysia-cruise-uk.client.prod.eu-west.dreamlake.io/cruise-lines/royal-caribbean/liberty-of-the-seas/cruises&lt;/loc&gt;</v>
      </c>
      <c r="C308" s="101" t="str">
        <f ca="1">IFERROR(__xludf.DUMMYFUNCTION("REGEXREPLACE(B308, ""&lt;/loc&gt;"", """")"),"https://odysia-cruise-uk.client.prod.eu-west.dreamlake.io/cruise-lines/royal-caribbean/liberty-of-the-seas/cruises")</f>
        <v>https://odysia-cruise-uk.client.prod.eu-west.dreamlake.io/cruise-lines/royal-caribbean/liberty-of-the-seas/cruises</v>
      </c>
      <c r="D308" s="51" t="s">
        <v>920</v>
      </c>
      <c r="E308" s="51" t="str">
        <f ca="1">IFERROR(__xludf.DUMMYFUNCTION("REGEXREPLACE(D308, ""https://odysia-cruise-uk.client.prod.eu-west.dreamlake.io"", """")"),"/cruise-lines/royal-caribbean/liberty-of-the-seas/cruises")</f>
        <v>/cruise-lines/royal-caribbean/liberty-of-the-seas/cruises</v>
      </c>
    </row>
    <row r="309" spans="1:5" ht="13">
      <c r="A309" s="100" t="s">
        <v>921</v>
      </c>
      <c r="B309" s="51" t="str">
        <f ca="1">IFERROR(__xludf.DUMMYFUNCTION("REGEXREPLACE(A309, ""&lt;loc&gt;"", """")"),"https://odysia-cruise-uk.client.prod.eu-west.dreamlake.io/cruise-lines/msc-cruises/msc-grandiosa/cruises&lt;/loc&gt;")</f>
        <v>https://odysia-cruise-uk.client.prod.eu-west.dreamlake.io/cruise-lines/msc-cruises/msc-grandiosa/cruises&lt;/loc&gt;</v>
      </c>
      <c r="C309" s="101" t="str">
        <f ca="1">IFERROR(__xludf.DUMMYFUNCTION("REGEXREPLACE(B309, ""&lt;/loc&gt;"", """")"),"https://odysia-cruise-uk.client.prod.eu-west.dreamlake.io/cruise-lines/msc-cruises/msc-grandiosa/cruises")</f>
        <v>https://odysia-cruise-uk.client.prod.eu-west.dreamlake.io/cruise-lines/msc-cruises/msc-grandiosa/cruises</v>
      </c>
      <c r="D309" s="51" t="s">
        <v>922</v>
      </c>
      <c r="E309" s="51" t="str">
        <f ca="1">IFERROR(__xludf.DUMMYFUNCTION("REGEXREPLACE(D309, ""https://odysia-cruise-uk.client.prod.eu-west.dreamlake.io"", """")"),"/cruise-lines/msc-cruises/msc-grandiosa/cruises")</f>
        <v>/cruise-lines/msc-cruises/msc-grandiosa/cruises</v>
      </c>
    </row>
    <row r="310" spans="1:5" ht="13">
      <c r="A310" s="100" t="s">
        <v>923</v>
      </c>
      <c r="B310" s="51" t="str">
        <f ca="1">IFERROR(__xludf.DUMMYFUNCTION("REGEXREPLACE(A310, ""&lt;loc&gt;"", """")"),"https://odysia-cruise-uk.client.prod.eu-west.dreamlake.io/cruise-lines/ambassador-cruise-line/ambience/cruises&lt;/loc&gt;")</f>
        <v>https://odysia-cruise-uk.client.prod.eu-west.dreamlake.io/cruise-lines/ambassador-cruise-line/ambience/cruises&lt;/loc&gt;</v>
      </c>
      <c r="C310" s="101" t="str">
        <f ca="1">IFERROR(__xludf.DUMMYFUNCTION("REGEXREPLACE(B310, ""&lt;/loc&gt;"", """")"),"https://odysia-cruise-uk.client.prod.eu-west.dreamlake.io/cruise-lines/ambassador-cruise-line/ambience/cruises")</f>
        <v>https://odysia-cruise-uk.client.prod.eu-west.dreamlake.io/cruise-lines/ambassador-cruise-line/ambience/cruises</v>
      </c>
      <c r="D310" s="51" t="s">
        <v>924</v>
      </c>
      <c r="E310" s="51" t="str">
        <f ca="1">IFERROR(__xludf.DUMMYFUNCTION("REGEXREPLACE(D310, ""https://odysia-cruise-uk.client.prod.eu-west.dreamlake.io"", """")"),"/cruise-lines/ambassador-cruise-line/ambience/cruises")</f>
        <v>/cruise-lines/ambassador-cruise-line/ambience/cruises</v>
      </c>
    </row>
    <row r="311" spans="1:5" ht="13">
      <c r="A311" s="100" t="s">
        <v>925</v>
      </c>
      <c r="B311" s="51" t="str">
        <f ca="1">IFERROR(__xludf.DUMMYFUNCTION("REGEXREPLACE(A311, ""&lt;loc&gt;"", """")"),"https://odysia-cruise-uk.client.prod.eu-west.dreamlake.io/cruise-deals/cruises-from-scotland&lt;/loc&gt;")</f>
        <v>https://odysia-cruise-uk.client.prod.eu-west.dreamlake.io/cruise-deals/cruises-from-scotland&lt;/loc&gt;</v>
      </c>
      <c r="C311" s="101" t="str">
        <f ca="1">IFERROR(__xludf.DUMMYFUNCTION("REGEXREPLACE(B311, ""&lt;/loc&gt;"", """")"),"https://odysia-cruise-uk.client.prod.eu-west.dreamlake.io/cruise-deals/cruises-from-scotland")</f>
        <v>https://odysia-cruise-uk.client.prod.eu-west.dreamlake.io/cruise-deals/cruises-from-scotland</v>
      </c>
      <c r="D311" s="51" t="s">
        <v>926</v>
      </c>
    </row>
    <row r="312" spans="1:5" ht="13">
      <c r="A312" s="100" t="s">
        <v>927</v>
      </c>
      <c r="B312" s="51" t="str">
        <f ca="1">IFERROR(__xludf.DUMMYFUNCTION("REGEXREPLACE(A312, ""&lt;loc&gt;"", """")"),"https://odysia-cruise-uk.client.prod.eu-west.dreamlake.io/cruise-lines/royal-caribbean/quantum-of-the-seas&lt;/loc&gt;")</f>
        <v>https://odysia-cruise-uk.client.prod.eu-west.dreamlake.io/cruise-lines/royal-caribbean/quantum-of-the-seas&lt;/loc&gt;</v>
      </c>
      <c r="C312" s="101" t="str">
        <f ca="1">IFERROR(__xludf.DUMMYFUNCTION("REGEXREPLACE(B312, ""&lt;/loc&gt;"", """")"),"https://odysia-cruise-uk.client.prod.eu-west.dreamlake.io/cruise-lines/royal-caribbean/quantum-of-the-seas")</f>
        <v>https://odysia-cruise-uk.client.prod.eu-west.dreamlake.io/cruise-lines/royal-caribbean/quantum-of-the-seas</v>
      </c>
      <c r="D312" s="51" t="s">
        <v>928</v>
      </c>
      <c r="E312" s="51" t="str">
        <f ca="1">IFERROR(__xludf.DUMMYFUNCTION("REGEXREPLACE(D312, ""https://odysia-cruise-uk.client.prod.eu-west.dreamlake.io"", """")"),"/cruise-lines/royal-caribbean/quantum-of-the-seas")</f>
        <v>/cruise-lines/royal-caribbean/quantum-of-the-seas</v>
      </c>
    </row>
    <row r="313" spans="1:5" ht="13">
      <c r="A313" s="100" t="s">
        <v>929</v>
      </c>
      <c r="B313" s="51" t="str">
        <f ca="1">IFERROR(__xludf.DUMMYFUNCTION("REGEXREPLACE(A313, ""&lt;loc&gt;"", """")"),"https://odysia-cruise-uk.client.prod.eu-west.dreamlake.io/cruise-lines/po-cruises/aurora/cruises&lt;/loc&gt;")</f>
        <v>https://odysia-cruise-uk.client.prod.eu-west.dreamlake.io/cruise-lines/po-cruises/aurora/cruises&lt;/loc&gt;</v>
      </c>
      <c r="C313" s="101" t="str">
        <f ca="1">IFERROR(__xludf.DUMMYFUNCTION("REGEXREPLACE(B313, ""&lt;/loc&gt;"", """")"),"https://odysia-cruise-uk.client.prod.eu-west.dreamlake.io/cruise-lines/po-cruises/aurora/cruises")</f>
        <v>https://odysia-cruise-uk.client.prod.eu-west.dreamlake.io/cruise-lines/po-cruises/aurora/cruises</v>
      </c>
      <c r="D313" s="51" t="s">
        <v>930</v>
      </c>
      <c r="E313" s="51" t="str">
        <f ca="1">IFERROR(__xludf.DUMMYFUNCTION("REGEXREPLACE(D313, ""https://odysia-cruise-uk.client.prod.eu-west.dreamlake.io"", """")"),"/cruise-lines/po-cruises/aurora/cruises")</f>
        <v>/cruise-lines/po-cruises/aurora/cruises</v>
      </c>
    </row>
    <row r="314" spans="1:5" ht="13">
      <c r="A314" s="100" t="s">
        <v>931</v>
      </c>
      <c r="B314" s="51" t="str">
        <f ca="1">IFERROR(__xludf.DUMMYFUNCTION("REGEXREPLACE(A314, ""&lt;loc&gt;"", """")"),"https://odysia-cruise-uk.client.prod.eu-west.dreamlake.io/cruise-lines/holland-america-line/noordam&lt;/loc&gt;")</f>
        <v>https://odysia-cruise-uk.client.prod.eu-west.dreamlake.io/cruise-lines/holland-america-line/noordam&lt;/loc&gt;</v>
      </c>
      <c r="C314" s="101" t="str">
        <f ca="1">IFERROR(__xludf.DUMMYFUNCTION("REGEXREPLACE(B314, ""&lt;/loc&gt;"", """")"),"https://odysia-cruise-uk.client.prod.eu-west.dreamlake.io/cruise-lines/holland-america-line/noordam")</f>
        <v>https://odysia-cruise-uk.client.prod.eu-west.dreamlake.io/cruise-lines/holland-america-line/noordam</v>
      </c>
      <c r="D314" s="51" t="s">
        <v>932</v>
      </c>
      <c r="E314" s="51" t="str">
        <f ca="1">IFERROR(__xludf.DUMMYFUNCTION("REGEXREPLACE(D314, ""https://odysia-cruise-uk.client.prod.eu-west.dreamlake.io"", """")"),"/cruise-lines/holland-america-line/noordam")</f>
        <v>/cruise-lines/holland-america-line/noordam</v>
      </c>
    </row>
    <row r="315" spans="1:5" ht="13">
      <c r="A315" s="100" t="s">
        <v>933</v>
      </c>
      <c r="B315" s="51" t="str">
        <f ca="1">IFERROR(__xludf.DUMMYFUNCTION("REGEXREPLACE(A315, ""&lt;loc&gt;"", """")"),"https://odysia-cruise-uk.client.prod.eu-west.dreamlake.io/cruise-lines/po-cruises/britannia/cruises&lt;/loc&gt;")</f>
        <v>https://odysia-cruise-uk.client.prod.eu-west.dreamlake.io/cruise-lines/po-cruises/britannia/cruises&lt;/loc&gt;</v>
      </c>
      <c r="C315" s="101" t="str">
        <f ca="1">IFERROR(__xludf.DUMMYFUNCTION("REGEXREPLACE(B315, ""&lt;/loc&gt;"", """")"),"https://odysia-cruise-uk.client.prod.eu-west.dreamlake.io/cruise-lines/po-cruises/britannia/cruises")</f>
        <v>https://odysia-cruise-uk.client.prod.eu-west.dreamlake.io/cruise-lines/po-cruises/britannia/cruises</v>
      </c>
      <c r="D315" s="51" t="s">
        <v>934</v>
      </c>
      <c r="E315" s="51" t="str">
        <f ca="1">IFERROR(__xludf.DUMMYFUNCTION("REGEXREPLACE(D315, ""https://odysia-cruise-uk.client.prod.eu-west.dreamlake.io"", """")"),"/cruise-lines/po-cruises/britannia/cruises")</f>
        <v>/cruise-lines/po-cruises/britannia/cruises</v>
      </c>
    </row>
    <row r="316" spans="1:5" ht="13">
      <c r="A316" s="100" t="s">
        <v>935</v>
      </c>
      <c r="B316" s="51" t="str">
        <f ca="1">IFERROR(__xludf.DUMMYFUNCTION("REGEXREPLACE(A316, ""&lt;loc&gt;"", """")"),"https://odysia-cruise-uk.client.prod.eu-west.dreamlake.io/cruise-lines/royal-caribbean/grandeur-of-the-seas/cruises&lt;/loc&gt;")</f>
        <v>https://odysia-cruise-uk.client.prod.eu-west.dreamlake.io/cruise-lines/royal-caribbean/grandeur-of-the-seas/cruises&lt;/loc&gt;</v>
      </c>
      <c r="C316" s="101" t="str">
        <f ca="1">IFERROR(__xludf.DUMMYFUNCTION("REGEXREPLACE(B316, ""&lt;/loc&gt;"", """")"),"https://odysia-cruise-uk.client.prod.eu-west.dreamlake.io/cruise-lines/royal-caribbean/grandeur-of-the-seas/cruises")</f>
        <v>https://odysia-cruise-uk.client.prod.eu-west.dreamlake.io/cruise-lines/royal-caribbean/grandeur-of-the-seas/cruises</v>
      </c>
      <c r="D316" s="51" t="s">
        <v>936</v>
      </c>
      <c r="E316" s="51" t="str">
        <f ca="1">IFERROR(__xludf.DUMMYFUNCTION("REGEXREPLACE(D316, ""https://odysia-cruise-uk.client.prod.eu-west.dreamlake.io"", """")"),"/cruise-lines/royal-caribbean/grandeur-of-the-seas/cruises")</f>
        <v>/cruise-lines/royal-caribbean/grandeur-of-the-seas/cruises</v>
      </c>
    </row>
    <row r="317" spans="1:5" ht="13">
      <c r="A317" s="100" t="s">
        <v>937</v>
      </c>
      <c r="B317" s="51" t="str">
        <f ca="1">IFERROR(__xludf.DUMMYFUNCTION("REGEXREPLACE(A317, ""&lt;loc&gt;"", """")"),"https://odysia-cruise-uk.client.prod.eu-west.dreamlake.io/cruise-lines/costa-cruises/costa-favolosa&lt;/loc&gt;")</f>
        <v>https://odysia-cruise-uk.client.prod.eu-west.dreamlake.io/cruise-lines/costa-cruises/costa-favolosa&lt;/loc&gt;</v>
      </c>
      <c r="C317" s="101" t="str">
        <f ca="1">IFERROR(__xludf.DUMMYFUNCTION("REGEXREPLACE(B317, ""&lt;/loc&gt;"", """")"),"https://odysia-cruise-uk.client.prod.eu-west.dreamlake.io/cruise-lines/costa-cruises/costa-favolosa")</f>
        <v>https://odysia-cruise-uk.client.prod.eu-west.dreamlake.io/cruise-lines/costa-cruises/costa-favolosa</v>
      </c>
      <c r="D317" s="51" t="s">
        <v>938</v>
      </c>
      <c r="E317" s="51" t="str">
        <f ca="1">IFERROR(__xludf.DUMMYFUNCTION("REGEXREPLACE(D317, ""https://odysia-cruise-uk.client.prod.eu-west.dreamlake.io"", """")"),"/cruise-lines/costa-cruises/costa-favolosa")</f>
        <v>/cruise-lines/costa-cruises/costa-favolosa</v>
      </c>
    </row>
    <row r="318" spans="1:5" ht="13">
      <c r="A318" s="100" t="s">
        <v>939</v>
      </c>
      <c r="B318" s="51" t="str">
        <f ca="1">IFERROR(__xludf.DUMMYFUNCTION("REGEXREPLACE(A318, ""&lt;loc&gt;"", """")"),"https://odysia-cruise-uk.client.prod.eu-west.dreamlake.io/cruise-lines/azamara/azamara-onward&lt;/loc&gt;")</f>
        <v>https://odysia-cruise-uk.client.prod.eu-west.dreamlake.io/cruise-lines/azamara/azamara-onward&lt;/loc&gt;</v>
      </c>
      <c r="C318" s="101" t="str">
        <f ca="1">IFERROR(__xludf.DUMMYFUNCTION("REGEXREPLACE(B318, ""&lt;/loc&gt;"", """")"),"https://odysia-cruise-uk.client.prod.eu-west.dreamlake.io/cruise-lines/azamara/azamara-onward")</f>
        <v>https://odysia-cruise-uk.client.prod.eu-west.dreamlake.io/cruise-lines/azamara/azamara-onward</v>
      </c>
    </row>
    <row r="319" spans="1:5" ht="13">
      <c r="A319" s="100" t="s">
        <v>940</v>
      </c>
      <c r="B319" s="51" t="str">
        <f ca="1">IFERROR(__xludf.DUMMYFUNCTION("REGEXREPLACE(A319, ""&lt;loc&gt;"", """")"),"https://odysia-cruise-uk.client.prod.eu-west.dreamlake.io/cruise-lines/celebrity-cruises/celebrity-reflection/cruises&lt;/loc&gt;")</f>
        <v>https://odysia-cruise-uk.client.prod.eu-west.dreamlake.io/cruise-lines/celebrity-cruises/celebrity-reflection/cruises&lt;/loc&gt;</v>
      </c>
      <c r="C319" s="101" t="str">
        <f ca="1">IFERROR(__xludf.DUMMYFUNCTION("REGEXREPLACE(B319, ""&lt;/loc&gt;"", """")"),"https://odysia-cruise-uk.client.prod.eu-west.dreamlake.io/cruise-lines/celebrity-cruises/celebrity-reflection/cruises")</f>
        <v>https://odysia-cruise-uk.client.prod.eu-west.dreamlake.io/cruise-lines/celebrity-cruises/celebrity-reflection/cruises</v>
      </c>
      <c r="D319" s="51" t="s">
        <v>941</v>
      </c>
      <c r="E319" s="51" t="str">
        <f ca="1">IFERROR(__xludf.DUMMYFUNCTION("REGEXREPLACE(D319, ""https://odysia-cruise-uk.client.prod.eu-west.dreamlake.io"", """")"),"/cruise-lines/celebrity-cruises/celebrity-reflection/cruises")</f>
        <v>/cruise-lines/celebrity-cruises/celebrity-reflection/cruises</v>
      </c>
    </row>
    <row r="320" spans="1:5" ht="13">
      <c r="A320" s="100" t="s">
        <v>942</v>
      </c>
      <c r="B320" s="51" t="str">
        <f ca="1">IFERROR(__xludf.DUMMYFUNCTION("REGEXREPLACE(A320, ""&lt;loc&gt;"", """")"),"https://odysia-cruise-uk.client.prod.eu-west.dreamlake.io/cruise-lines/norwegian-cruise-line/norwegian-encore/cruises&lt;/loc&gt;")</f>
        <v>https://odysia-cruise-uk.client.prod.eu-west.dreamlake.io/cruise-lines/norwegian-cruise-line/norwegian-encore/cruises&lt;/loc&gt;</v>
      </c>
      <c r="C320" s="101" t="str">
        <f ca="1">IFERROR(__xludf.DUMMYFUNCTION("REGEXREPLACE(B320, ""&lt;/loc&gt;"", """")"),"https://odysia-cruise-uk.client.prod.eu-west.dreamlake.io/cruise-lines/norwegian-cruise-line/norwegian-encore/cruises")</f>
        <v>https://odysia-cruise-uk.client.prod.eu-west.dreamlake.io/cruise-lines/norwegian-cruise-line/norwegian-encore/cruises</v>
      </c>
      <c r="D320" s="51" t="s">
        <v>943</v>
      </c>
      <c r="E320" s="51" t="str">
        <f ca="1">IFERROR(__xludf.DUMMYFUNCTION("REGEXREPLACE(D320, ""https://odysia-cruise-uk.client.prod.eu-west.dreamlake.io"", """")"),"/cruise-lines/norwegian-cruise-line/norwegian-encore/cruises")</f>
        <v>/cruise-lines/norwegian-cruise-line/norwegian-encore/cruises</v>
      </c>
    </row>
    <row r="321" spans="1:5" ht="13">
      <c r="A321" s="100" t="s">
        <v>944</v>
      </c>
      <c r="B321" s="51" t="str">
        <f ca="1">IFERROR(__xludf.DUMMYFUNCTION("REGEXREPLACE(A321, ""&lt;loc&gt;"", """")"),"https://odysia-cruise-uk.client.prod.eu-west.dreamlake.io/cruise-lines/royal-caribbean/utopia-of-the-seas&lt;/loc&gt;")</f>
        <v>https://odysia-cruise-uk.client.prod.eu-west.dreamlake.io/cruise-lines/royal-caribbean/utopia-of-the-seas&lt;/loc&gt;</v>
      </c>
      <c r="C321" s="101" t="str">
        <f ca="1">IFERROR(__xludf.DUMMYFUNCTION("REGEXREPLACE(B321, ""&lt;/loc&gt;"", """")"),"https://odysia-cruise-uk.client.prod.eu-west.dreamlake.io/cruise-lines/royal-caribbean/utopia-of-the-seas")</f>
        <v>https://odysia-cruise-uk.client.prod.eu-west.dreamlake.io/cruise-lines/royal-caribbean/utopia-of-the-seas</v>
      </c>
      <c r="D321" s="51" t="s">
        <v>945</v>
      </c>
      <c r="E321" s="51" t="str">
        <f ca="1">IFERROR(__xludf.DUMMYFUNCTION("REGEXREPLACE(D321, ""https://odysia-cruise-uk.client.prod.eu-west.dreamlake.io"", """")"),"/cruise-lines/royal-caribbean/utopia-of-the-seas")</f>
        <v>/cruise-lines/royal-caribbean/utopia-of-the-seas</v>
      </c>
    </row>
    <row r="322" spans="1:5" ht="13">
      <c r="A322" s="100" t="s">
        <v>946</v>
      </c>
      <c r="B322" s="51" t="str">
        <f ca="1">IFERROR(__xludf.DUMMYFUNCTION("REGEXREPLACE(A322, ""&lt;loc&gt;"", """")"),"https://odysia-cruise-uk.client.prod.eu-west.dreamlake.io/cruise-lines/holland-america-line/volendam&lt;/loc&gt;")</f>
        <v>https://odysia-cruise-uk.client.prod.eu-west.dreamlake.io/cruise-lines/holland-america-line/volendam&lt;/loc&gt;</v>
      </c>
      <c r="C322" s="101" t="str">
        <f ca="1">IFERROR(__xludf.DUMMYFUNCTION("REGEXREPLACE(B322, ""&lt;/loc&gt;"", """")"),"https://odysia-cruise-uk.client.prod.eu-west.dreamlake.io/cruise-lines/holland-america-line/volendam")</f>
        <v>https://odysia-cruise-uk.client.prod.eu-west.dreamlake.io/cruise-lines/holland-america-line/volendam</v>
      </c>
      <c r="D322" s="51" t="s">
        <v>947</v>
      </c>
      <c r="E322" s="51" t="str">
        <f ca="1">IFERROR(__xludf.DUMMYFUNCTION("REGEXREPLACE(D322, ""https://odysia-cruise-uk.client.prod.eu-west.dreamlake.io"", """")"),"/cruise-lines/holland-america-line/volendam")</f>
        <v>/cruise-lines/holland-america-line/volendam</v>
      </c>
    </row>
    <row r="323" spans="1:5" ht="13">
      <c r="A323" s="100" t="s">
        <v>948</v>
      </c>
      <c r="B323" s="51" t="str">
        <f ca="1">IFERROR(__xludf.DUMMYFUNCTION("REGEXREPLACE(A323, ""&lt;loc&gt;"", """")"),"https://odysia-cruise-uk.client.prod.eu-west.dreamlake.io/cruise-deals/cruises-from-liverpool&lt;/loc&gt;")</f>
        <v>https://odysia-cruise-uk.client.prod.eu-west.dreamlake.io/cruise-deals/cruises-from-liverpool&lt;/loc&gt;</v>
      </c>
      <c r="C323" s="101" t="str">
        <f ca="1">IFERROR(__xludf.DUMMYFUNCTION("REGEXREPLACE(B323, ""&lt;/loc&gt;"", """")"),"https://odysia-cruise-uk.client.prod.eu-west.dreamlake.io/cruise-deals/cruises-from-liverpool")</f>
        <v>https://odysia-cruise-uk.client.prod.eu-west.dreamlake.io/cruise-deals/cruises-from-liverpool</v>
      </c>
      <c r="D323" s="51" t="s">
        <v>949</v>
      </c>
    </row>
    <row r="324" spans="1:5" ht="13">
      <c r="A324" s="100" t="s">
        <v>950</v>
      </c>
      <c r="B324" s="51" t="str">
        <f ca="1">IFERROR(__xludf.DUMMYFUNCTION("REGEXREPLACE(A324, ""&lt;loc&gt;"", """")"),"https://odysia-cruise-uk.client.prod.eu-west.dreamlake.io/cruise-lines/royal-caribbean/rhapsody-of-the-seas&lt;/loc&gt;")</f>
        <v>https://odysia-cruise-uk.client.prod.eu-west.dreamlake.io/cruise-lines/royal-caribbean/rhapsody-of-the-seas&lt;/loc&gt;</v>
      </c>
      <c r="C324" s="101" t="str">
        <f ca="1">IFERROR(__xludf.DUMMYFUNCTION("REGEXREPLACE(B324, ""&lt;/loc&gt;"", """")"),"https://odysia-cruise-uk.client.prod.eu-west.dreamlake.io/cruise-lines/royal-caribbean/rhapsody-of-the-seas")</f>
        <v>https://odysia-cruise-uk.client.prod.eu-west.dreamlake.io/cruise-lines/royal-caribbean/rhapsody-of-the-seas</v>
      </c>
      <c r="D324" s="51" t="s">
        <v>951</v>
      </c>
      <c r="E324" s="51" t="str">
        <f ca="1">IFERROR(__xludf.DUMMYFUNCTION("REGEXREPLACE(D324, ""https://odysia-cruise-uk.client.prod.eu-west.dreamlake.io"", """")"),"/cruise-lines/royal-caribbean/rhapsody-of-the-seas")</f>
        <v>/cruise-lines/royal-caribbean/rhapsody-of-the-seas</v>
      </c>
    </row>
    <row r="325" spans="1:5" ht="13">
      <c r="A325" s="100" t="s">
        <v>952</v>
      </c>
      <c r="B325" s="51" t="str">
        <f ca="1">IFERROR(__xludf.DUMMYFUNCTION("REGEXREPLACE(A325, ""&lt;loc&gt;"", """")"),"https://odysia-cruise-uk.client.prod.eu-west.dreamlake.io/cruise-lines/po-cruises/arcadia/cruises&lt;/loc&gt;")</f>
        <v>https://odysia-cruise-uk.client.prod.eu-west.dreamlake.io/cruise-lines/po-cruises/arcadia/cruises&lt;/loc&gt;</v>
      </c>
      <c r="C325" s="101" t="str">
        <f ca="1">IFERROR(__xludf.DUMMYFUNCTION("REGEXREPLACE(B325, ""&lt;/loc&gt;"", """")"),"https://odysia-cruise-uk.client.prod.eu-west.dreamlake.io/cruise-lines/po-cruises/arcadia/cruises")</f>
        <v>https://odysia-cruise-uk.client.prod.eu-west.dreamlake.io/cruise-lines/po-cruises/arcadia/cruises</v>
      </c>
      <c r="D325" s="51" t="s">
        <v>953</v>
      </c>
      <c r="E325" s="51" t="str">
        <f ca="1">IFERROR(__xludf.DUMMYFUNCTION("REGEXREPLACE(D325, ""https://odysia-cruise-uk.client.prod.eu-west.dreamlake.io"", """")"),"/cruise-lines/po-cruises/arcadia/cruises")</f>
        <v>/cruise-lines/po-cruises/arcadia/cruises</v>
      </c>
    </row>
    <row r="326" spans="1:5" ht="13">
      <c r="A326" s="100" t="s">
        <v>954</v>
      </c>
      <c r="B326" s="51" t="str">
        <f ca="1">IFERROR(__xludf.DUMMYFUNCTION("REGEXREPLACE(A326, ""&lt;loc&gt;"", """")"),"https://odysia-cruise-uk.client.prod.eu-west.dreamlake.io/cruise-lines/oceania-cruises/oceania-vista/cruises&lt;/loc&gt;")</f>
        <v>https://odysia-cruise-uk.client.prod.eu-west.dreamlake.io/cruise-lines/oceania-cruises/oceania-vista/cruises&lt;/loc&gt;</v>
      </c>
      <c r="C326" s="101" t="str">
        <f ca="1">IFERROR(__xludf.DUMMYFUNCTION("REGEXREPLACE(B326, ""&lt;/loc&gt;"", """")"),"https://odysia-cruise-uk.client.prod.eu-west.dreamlake.io/cruise-lines/oceania-cruises/oceania-vista/cruises")</f>
        <v>https://odysia-cruise-uk.client.prod.eu-west.dreamlake.io/cruise-lines/oceania-cruises/oceania-vista/cruises</v>
      </c>
      <c r="D326" s="51" t="s">
        <v>955</v>
      </c>
      <c r="E326" s="51" t="str">
        <f ca="1">IFERROR(__xludf.DUMMYFUNCTION("REGEXREPLACE(D326, ""https://odysia-cruise-uk.client.prod.eu-west.dreamlake.io"", """")"),"/cruise-lines/oceania-cruises/oceania-vista/cruises")</f>
        <v>/cruise-lines/oceania-cruises/oceania-vista/cruises</v>
      </c>
    </row>
    <row r="327" spans="1:5" ht="13">
      <c r="A327" s="100" t="s">
        <v>956</v>
      </c>
      <c r="B327" s="51" t="str">
        <f ca="1">IFERROR(__xludf.DUMMYFUNCTION("REGEXREPLACE(A327, ""&lt;loc&gt;"", """")"),"https://odysia-cruise-uk.client.prod.eu-west.dreamlake.io/cruise-lines/seabourn/seabourn-quest/cruises&lt;/loc&gt;")</f>
        <v>https://odysia-cruise-uk.client.prod.eu-west.dreamlake.io/cruise-lines/seabourn/seabourn-quest/cruises&lt;/loc&gt;</v>
      </c>
      <c r="C327" s="101" t="str">
        <f ca="1">IFERROR(__xludf.DUMMYFUNCTION("REGEXREPLACE(B327, ""&lt;/loc&gt;"", """")"),"https://odysia-cruise-uk.client.prod.eu-west.dreamlake.io/cruise-lines/seabourn/seabourn-quest/cruises")</f>
        <v>https://odysia-cruise-uk.client.prod.eu-west.dreamlake.io/cruise-lines/seabourn/seabourn-quest/cruises</v>
      </c>
      <c r="D327" s="51" t="s">
        <v>957</v>
      </c>
      <c r="E327" s="51" t="str">
        <f ca="1">IFERROR(__xludf.DUMMYFUNCTION("REGEXREPLACE(D327, ""https://odysia-cruise-uk.client.prod.eu-west.dreamlake.io"", """")"),"/cruise-lines/seabourn/seabourn-quest/cruises")</f>
        <v>/cruise-lines/seabourn/seabourn-quest/cruises</v>
      </c>
    </row>
    <row r="328" spans="1:5" ht="13">
      <c r="A328" s="100" t="s">
        <v>958</v>
      </c>
      <c r="B328" s="51" t="str">
        <f ca="1">IFERROR(__xludf.DUMMYFUNCTION("REGEXREPLACE(A328, ""&lt;loc&gt;"", """")"),"https://odysia-cruise-uk.client.prod.eu-west.dreamlake.io/cruise-calendar/caribbean-cruise-dates&lt;/loc&gt;")</f>
        <v>https://odysia-cruise-uk.client.prod.eu-west.dreamlake.io/cruise-calendar/caribbean-cruise-dates&lt;/loc&gt;</v>
      </c>
      <c r="C328" s="101" t="str">
        <f ca="1">IFERROR(__xludf.DUMMYFUNCTION("REGEXREPLACE(B328, ""&lt;/loc&gt;"", """")"),"https://odysia-cruise-uk.client.prod.eu-west.dreamlake.io/cruise-calendar/caribbean-cruise-dates")</f>
        <v>https://odysia-cruise-uk.client.prod.eu-west.dreamlake.io/cruise-calendar/caribbean-cruise-dates</v>
      </c>
    </row>
    <row r="329" spans="1:5" ht="13">
      <c r="A329" s="100" t="s">
        <v>959</v>
      </c>
      <c r="B329" s="51" t="str">
        <f ca="1">IFERROR(__xludf.DUMMYFUNCTION("REGEXREPLACE(A329, ""&lt;loc&gt;"", """")"),"https://odysia-cruise-uk.client.prod.eu-west.dreamlake.io/cruise-lines/msc-cruises/msc-sinfonia&lt;/loc&gt;")</f>
        <v>https://odysia-cruise-uk.client.prod.eu-west.dreamlake.io/cruise-lines/msc-cruises/msc-sinfonia&lt;/loc&gt;</v>
      </c>
      <c r="C329" s="101" t="str">
        <f ca="1">IFERROR(__xludf.DUMMYFUNCTION("REGEXREPLACE(B329, ""&lt;/loc&gt;"", """")"),"https://odysia-cruise-uk.client.prod.eu-west.dreamlake.io/cruise-lines/msc-cruises/msc-sinfonia")</f>
        <v>https://odysia-cruise-uk.client.prod.eu-west.dreamlake.io/cruise-lines/msc-cruises/msc-sinfonia</v>
      </c>
      <c r="D329" s="51" t="s">
        <v>960</v>
      </c>
      <c r="E329" s="51" t="str">
        <f ca="1">IFERROR(__xludf.DUMMYFUNCTION("REGEXREPLACE(D329, ""https://odysia-cruise-uk.client.prod.eu-west.dreamlake.io"", """")"),"/cruise-lines/msc-cruises/msc-sinfonia")</f>
        <v>/cruise-lines/msc-cruises/msc-sinfonia</v>
      </c>
    </row>
    <row r="330" spans="1:5" ht="13">
      <c r="A330" s="100" t="s">
        <v>961</v>
      </c>
      <c r="B330" s="51" t="str">
        <f ca="1">IFERROR(__xludf.DUMMYFUNCTION("REGEXREPLACE(A330, ""&lt;loc&gt;"", """")"),"https://odysia-cruise-uk.client.prod.eu-west.dreamlake.io/cruise-lines/seabourn/seabourn-sojourn/cruises&lt;/loc&gt;")</f>
        <v>https://odysia-cruise-uk.client.prod.eu-west.dreamlake.io/cruise-lines/seabourn/seabourn-sojourn/cruises&lt;/loc&gt;</v>
      </c>
      <c r="C330" s="101" t="str">
        <f ca="1">IFERROR(__xludf.DUMMYFUNCTION("REGEXREPLACE(B330, ""&lt;/loc&gt;"", """")"),"https://odysia-cruise-uk.client.prod.eu-west.dreamlake.io/cruise-lines/seabourn/seabourn-sojourn/cruises")</f>
        <v>https://odysia-cruise-uk.client.prod.eu-west.dreamlake.io/cruise-lines/seabourn/seabourn-sojourn/cruises</v>
      </c>
      <c r="D330" s="51" t="s">
        <v>962</v>
      </c>
      <c r="E330" s="51" t="str">
        <f ca="1">IFERROR(__xludf.DUMMYFUNCTION("REGEXREPLACE(D330, ""https://odysia-cruise-uk.client.prod.eu-west.dreamlake.io"", """")"),"/cruise-lines/seabourn/seabourn-sojourn/cruises")</f>
        <v>/cruise-lines/seabourn/seabourn-sojourn/cruises</v>
      </c>
    </row>
    <row r="331" spans="1:5" ht="13">
      <c r="A331" s="100" t="s">
        <v>963</v>
      </c>
      <c r="B331" s="51" t="str">
        <f ca="1">IFERROR(__xludf.DUMMYFUNCTION("REGEXREPLACE(A331, ""&lt;loc&gt;"", """")"),"https://odysia-cruise-uk.client.prod.eu-west.dreamlake.io/cruise-lines/norwegian-cruise-line/norwegian-star&lt;/loc&gt;")</f>
        <v>https://odysia-cruise-uk.client.prod.eu-west.dreamlake.io/cruise-lines/norwegian-cruise-line/norwegian-star&lt;/loc&gt;</v>
      </c>
      <c r="C331" s="101" t="str">
        <f ca="1">IFERROR(__xludf.DUMMYFUNCTION("REGEXREPLACE(B331, ""&lt;/loc&gt;"", """")"),"https://odysia-cruise-uk.client.prod.eu-west.dreamlake.io/cruise-lines/norwegian-cruise-line/norwegian-star")</f>
        <v>https://odysia-cruise-uk.client.prod.eu-west.dreamlake.io/cruise-lines/norwegian-cruise-line/norwegian-star</v>
      </c>
      <c r="D331" s="51" t="s">
        <v>964</v>
      </c>
      <c r="E331" s="51" t="str">
        <f ca="1">IFERROR(__xludf.DUMMYFUNCTION("REGEXREPLACE(D331, ""https://odysia-cruise-uk.client.prod.eu-west.dreamlake.io"", """")"),"/cruise-lines/norwegian-cruise-line/norwegian-star")</f>
        <v>/cruise-lines/norwegian-cruise-line/norwegian-star</v>
      </c>
    </row>
    <row r="332" spans="1:5" ht="13">
      <c r="A332" s="100" t="s">
        <v>965</v>
      </c>
      <c r="B332" s="51" t="str">
        <f ca="1">IFERROR(__xludf.DUMMYFUNCTION("REGEXREPLACE(A332, ""&lt;loc&gt;"", """")"),"https://odysia-cruise-uk.client.prod.eu-west.dreamlake.io/cruise-lines/royal-caribbean/legend-of-the-seas&lt;/loc&gt;")</f>
        <v>https://odysia-cruise-uk.client.prod.eu-west.dreamlake.io/cruise-lines/royal-caribbean/legend-of-the-seas&lt;/loc&gt;</v>
      </c>
      <c r="C332" s="101" t="str">
        <f ca="1">IFERROR(__xludf.DUMMYFUNCTION("REGEXREPLACE(B332, ""&lt;/loc&gt;"", """")"),"https://odysia-cruise-uk.client.prod.eu-west.dreamlake.io/cruise-lines/royal-caribbean/legend-of-the-seas")</f>
        <v>https://odysia-cruise-uk.client.prod.eu-west.dreamlake.io/cruise-lines/royal-caribbean/legend-of-the-seas</v>
      </c>
      <c r="D332" s="51" t="s">
        <v>966</v>
      </c>
      <c r="E332" s="51" t="str">
        <f ca="1">IFERROR(__xludf.DUMMYFUNCTION("REGEXREPLACE(D332, ""https://odysia-cruise-uk.client.prod.eu-west.dreamlake.io"", """")"),"/cruise-lines/royal-caribbean/legend-of-the-seas")</f>
        <v>/cruise-lines/royal-caribbean/legend-of-the-seas</v>
      </c>
    </row>
    <row r="333" spans="1:5" ht="13">
      <c r="A333" s="100" t="s">
        <v>967</v>
      </c>
      <c r="B333" s="51" t="str">
        <f ca="1">IFERROR(__xludf.DUMMYFUNCTION("REGEXREPLACE(A333, ""&lt;loc&gt;"", """")"),"https://odysia-cruise-uk.client.prod.eu-west.dreamlake.io/cruise-lines/msc-cruises/msc-opera&lt;/loc&gt;")</f>
        <v>https://odysia-cruise-uk.client.prod.eu-west.dreamlake.io/cruise-lines/msc-cruises/msc-opera&lt;/loc&gt;</v>
      </c>
      <c r="C333" s="101" t="str">
        <f ca="1">IFERROR(__xludf.DUMMYFUNCTION("REGEXREPLACE(B333, ""&lt;/loc&gt;"", """")"),"https://odysia-cruise-uk.client.prod.eu-west.dreamlake.io/cruise-lines/msc-cruises/msc-opera")</f>
        <v>https://odysia-cruise-uk.client.prod.eu-west.dreamlake.io/cruise-lines/msc-cruises/msc-opera</v>
      </c>
      <c r="D333" s="51" t="s">
        <v>968</v>
      </c>
      <c r="E333" s="51" t="str">
        <f ca="1">IFERROR(__xludf.DUMMYFUNCTION("REGEXREPLACE(D333, ""https://odysia-cruise-uk.client.prod.eu-west.dreamlake.io"", """")"),"/cruise-lines/msc-cruises/msc-opera")</f>
        <v>/cruise-lines/msc-cruises/msc-opera</v>
      </c>
    </row>
    <row r="334" spans="1:5" ht="13">
      <c r="A334" s="100" t="s">
        <v>969</v>
      </c>
      <c r="B334" s="51" t="str">
        <f ca="1">IFERROR(__xludf.DUMMYFUNCTION("REGEXREPLACE(A334, ""&lt;loc&gt;"", """")"),"https://odysia-cruise-uk.client.prod.eu-west.dreamlake.io/cruise-lines/ambassador-cruise-line/ambition/cruises&lt;/loc&gt;")</f>
        <v>https://odysia-cruise-uk.client.prod.eu-west.dreamlake.io/cruise-lines/ambassador-cruise-line/ambition/cruises&lt;/loc&gt;</v>
      </c>
      <c r="C334" s="101" t="str">
        <f ca="1">IFERROR(__xludf.DUMMYFUNCTION("REGEXREPLACE(B334, ""&lt;/loc&gt;"", """")"),"https://odysia-cruise-uk.client.prod.eu-west.dreamlake.io/cruise-lines/ambassador-cruise-line/ambition/cruises")</f>
        <v>https://odysia-cruise-uk.client.prod.eu-west.dreamlake.io/cruise-lines/ambassador-cruise-line/ambition/cruises</v>
      </c>
      <c r="D334" s="51" t="s">
        <v>970</v>
      </c>
      <c r="E334" s="51" t="str">
        <f ca="1">IFERROR(__xludf.DUMMYFUNCTION("REGEXREPLACE(D334, ""https://odysia-cruise-uk.client.prod.eu-west.dreamlake.io"", """")"),"/cruise-lines/ambassador-cruise-line/ambition/cruises")</f>
        <v>/cruise-lines/ambassador-cruise-line/ambition/cruises</v>
      </c>
    </row>
    <row r="335" spans="1:5" ht="13">
      <c r="A335" s="100" t="s">
        <v>971</v>
      </c>
      <c r="B335" s="51" t="str">
        <f ca="1">IFERROR(__xludf.DUMMYFUNCTION("REGEXREPLACE(A335, ""&lt;loc&gt;"", """")"),"https://odysia-cruise-uk.client.prod.eu-west.dreamlake.io/cruise-lines/princess-cruises/ruby-princess/cruises&lt;/loc&gt;")</f>
        <v>https://odysia-cruise-uk.client.prod.eu-west.dreamlake.io/cruise-lines/princess-cruises/ruby-princess/cruises&lt;/loc&gt;</v>
      </c>
      <c r="C335" s="101" t="str">
        <f ca="1">IFERROR(__xludf.DUMMYFUNCTION("REGEXREPLACE(B335, ""&lt;/loc&gt;"", """")"),"https://odysia-cruise-uk.client.prod.eu-west.dreamlake.io/cruise-lines/princess-cruises/ruby-princess/cruises")</f>
        <v>https://odysia-cruise-uk.client.prod.eu-west.dreamlake.io/cruise-lines/princess-cruises/ruby-princess/cruises</v>
      </c>
      <c r="D335" s="51" t="s">
        <v>972</v>
      </c>
      <c r="E335" s="51" t="str">
        <f ca="1">IFERROR(__xludf.DUMMYFUNCTION("REGEXREPLACE(D335, ""https://odysia-cruise-uk.client.prod.eu-west.dreamlake.io"", """")"),"/cruise-lines/princess-cruises/ruby-princess/cruises")</f>
        <v>/cruise-lines/princess-cruises/ruby-princess/cruises</v>
      </c>
    </row>
    <row r="336" spans="1:5" ht="13">
      <c r="A336" s="100" t="s">
        <v>973</v>
      </c>
      <c r="B336" s="51" t="str">
        <f ca="1">IFERROR(__xludf.DUMMYFUNCTION("REGEXREPLACE(A336, ""&lt;loc&gt;"", """")"),"https://odysia-cruise-uk.client.prod.eu-west.dreamlake.io/cruises&lt;/loc&gt;")</f>
        <v>https://odysia-cruise-uk.client.prod.eu-west.dreamlake.io/cruises&lt;/loc&gt;</v>
      </c>
      <c r="C336" s="101" t="str">
        <f ca="1">IFERROR(__xludf.DUMMYFUNCTION("REGEXREPLACE(B336, ""&lt;/loc&gt;"", """")"),"https://odysia-cruise-uk.client.prod.eu-west.dreamlake.io/cruises")</f>
        <v>https://odysia-cruise-uk.client.prod.eu-west.dreamlake.io/cruises</v>
      </c>
    </row>
    <row r="337" spans="1:5" ht="13">
      <c r="A337" s="100" t="s">
        <v>974</v>
      </c>
      <c r="B337" s="51" t="str">
        <f ca="1">IFERROR(__xludf.DUMMYFUNCTION("REGEXREPLACE(A337, ""&lt;loc&gt;"", """")"),"https://odysia-cruise-uk.client.prod.eu-west.dreamlake.io/cruise-lines/cunard/queen-mary-2&lt;/loc&gt;")</f>
        <v>https://odysia-cruise-uk.client.prod.eu-west.dreamlake.io/cruise-lines/cunard/queen-mary-2&lt;/loc&gt;</v>
      </c>
      <c r="C337" s="101" t="str">
        <f ca="1">IFERROR(__xludf.DUMMYFUNCTION("REGEXREPLACE(B337, ""&lt;/loc&gt;"", """")"),"https://odysia-cruise-uk.client.prod.eu-west.dreamlake.io/cruise-lines/cunard/queen-mary-2")</f>
        <v>https://odysia-cruise-uk.client.prod.eu-west.dreamlake.io/cruise-lines/cunard/queen-mary-2</v>
      </c>
      <c r="D337" s="51" t="s">
        <v>975</v>
      </c>
      <c r="E337" s="51" t="str">
        <f ca="1">IFERROR(__xludf.DUMMYFUNCTION("REGEXREPLACE(D337, ""https://odysia-cruise-uk.client.prod.eu-west.dreamlake.io"", """")"),"/cruise-lines/cunard/queen-mary-2")</f>
        <v>/cruise-lines/cunard/queen-mary-2</v>
      </c>
    </row>
    <row r="338" spans="1:5" ht="13">
      <c r="A338" s="100" t="s">
        <v>976</v>
      </c>
      <c r="B338" s="51" t="str">
        <f ca="1">IFERROR(__xludf.DUMMYFUNCTION("REGEXREPLACE(A338, ""&lt;loc&gt;"", """")"),"https://odysia-cruise-uk.client.prod.eu-west.dreamlake.io/cruise-lines/fred-olsen-cruises/bolette&lt;/loc&gt;")</f>
        <v>https://odysia-cruise-uk.client.prod.eu-west.dreamlake.io/cruise-lines/fred-olsen-cruises/bolette&lt;/loc&gt;</v>
      </c>
      <c r="C338" s="101" t="str">
        <f ca="1">IFERROR(__xludf.DUMMYFUNCTION("REGEXREPLACE(B338, ""&lt;/loc&gt;"", """")"),"https://odysia-cruise-uk.client.prod.eu-west.dreamlake.io/cruise-lines/fred-olsen-cruises/bolette")</f>
        <v>https://odysia-cruise-uk.client.prod.eu-west.dreamlake.io/cruise-lines/fred-olsen-cruises/bolette</v>
      </c>
      <c r="D338" s="51" t="s">
        <v>977</v>
      </c>
      <c r="E338" s="51" t="str">
        <f ca="1">IFERROR(__xludf.DUMMYFUNCTION("REGEXREPLACE(D338, ""https://odysia-cruise-uk.client.prod.eu-west.dreamlake.io"", """")"),"/cruise-lines/fred-olsen-cruises/bolette")</f>
        <v>/cruise-lines/fred-olsen-cruises/bolette</v>
      </c>
    </row>
    <row r="339" spans="1:5" ht="13">
      <c r="A339" s="100" t="s">
        <v>978</v>
      </c>
      <c r="B339" s="51" t="str">
        <f ca="1">IFERROR(__xludf.DUMMYFUNCTION("REGEXREPLACE(A339, ""&lt;loc&gt;"", """")"),"https://odysia-cruise-uk.client.prod.eu-west.dreamlake.io/cruise-lines/norwegian-cruise-line/norwegian-spirit/cruises&lt;/loc&gt;")</f>
        <v>https://odysia-cruise-uk.client.prod.eu-west.dreamlake.io/cruise-lines/norwegian-cruise-line/norwegian-spirit/cruises&lt;/loc&gt;</v>
      </c>
      <c r="C339" s="101" t="str">
        <f ca="1">IFERROR(__xludf.DUMMYFUNCTION("REGEXREPLACE(B339, ""&lt;/loc&gt;"", """")"),"https://odysia-cruise-uk.client.prod.eu-west.dreamlake.io/cruise-lines/norwegian-cruise-line/norwegian-spirit/cruises")</f>
        <v>https://odysia-cruise-uk.client.prod.eu-west.dreamlake.io/cruise-lines/norwegian-cruise-line/norwegian-spirit/cruises</v>
      </c>
      <c r="D339" s="51" t="s">
        <v>979</v>
      </c>
      <c r="E339" s="51" t="str">
        <f ca="1">IFERROR(__xludf.DUMMYFUNCTION("REGEXREPLACE(D339, ""https://odysia-cruise-uk.client.prod.eu-west.dreamlake.io"", """")"),"/cruise-lines/norwegian-cruise-line/norwegian-spirit/cruises")</f>
        <v>/cruise-lines/norwegian-cruise-line/norwegian-spirit/cruises</v>
      </c>
    </row>
    <row r="340" spans="1:5" ht="13">
      <c r="A340" s="100" t="s">
        <v>980</v>
      </c>
      <c r="B340" s="51" t="str">
        <f ca="1">IFERROR(__xludf.DUMMYFUNCTION("REGEXREPLACE(A340, ""&lt;loc&gt;"", """")"),"https://odysia-cruise-uk.client.prod.eu-west.dreamlake.io/cruise-lines/royal-caribbean/grandeur-of-the-seas&lt;/loc&gt;")</f>
        <v>https://odysia-cruise-uk.client.prod.eu-west.dreamlake.io/cruise-lines/royal-caribbean/grandeur-of-the-seas&lt;/loc&gt;</v>
      </c>
      <c r="C340" s="101" t="str">
        <f ca="1">IFERROR(__xludf.DUMMYFUNCTION("REGEXREPLACE(B340, ""&lt;/loc&gt;"", """")"),"https://odysia-cruise-uk.client.prod.eu-west.dreamlake.io/cruise-lines/royal-caribbean/grandeur-of-the-seas")</f>
        <v>https://odysia-cruise-uk.client.prod.eu-west.dreamlake.io/cruise-lines/royal-caribbean/grandeur-of-the-seas</v>
      </c>
      <c r="D340" s="51" t="s">
        <v>981</v>
      </c>
      <c r="E340" s="51" t="str">
        <f ca="1">IFERROR(__xludf.DUMMYFUNCTION("REGEXREPLACE(D340, ""https://odysia-cruise-uk.client.prod.eu-west.dreamlake.io"", """")"),"/cruise-lines/royal-caribbean/grandeur-of-the-seas")</f>
        <v>/cruise-lines/royal-caribbean/grandeur-of-the-seas</v>
      </c>
    </row>
    <row r="341" spans="1:5" ht="13">
      <c r="A341" s="100" t="s">
        <v>982</v>
      </c>
      <c r="B341" s="51" t="str">
        <f ca="1">IFERROR(__xludf.DUMMYFUNCTION("REGEXREPLACE(A341, ""&lt;loc&gt;"", """")"),"https://odysia-cruise-uk.client.prod.eu-west.dreamlake.io/destinations/central-south-america-cruises&lt;/loc&gt;")</f>
        <v>https://odysia-cruise-uk.client.prod.eu-west.dreamlake.io/destinations/central-south-america-cruises&lt;/loc&gt;</v>
      </c>
      <c r="C341" s="101" t="str">
        <f ca="1">IFERROR(__xludf.DUMMYFUNCTION("REGEXREPLACE(B341, ""&lt;/loc&gt;"", """")"),"https://odysia-cruise-uk.client.prod.eu-west.dreamlake.io/destinations/central-south-america-cruises")</f>
        <v>https://odysia-cruise-uk.client.prod.eu-west.dreamlake.io/destinations/central-south-america-cruises</v>
      </c>
    </row>
    <row r="342" spans="1:5" ht="13">
      <c r="A342" s="100" t="s">
        <v>983</v>
      </c>
      <c r="B342" s="51" t="str">
        <f ca="1">IFERROR(__xludf.DUMMYFUNCTION("REGEXREPLACE(A342, ""&lt;loc&gt;"", """")"),"https://odysia-cruise-uk.client.prod.eu-west.dreamlake.io/cruise-lines/norwegian-cruise-line/norwegian-jewel/cruises&lt;/loc&gt;")</f>
        <v>https://odysia-cruise-uk.client.prod.eu-west.dreamlake.io/cruise-lines/norwegian-cruise-line/norwegian-jewel/cruises&lt;/loc&gt;</v>
      </c>
      <c r="C342" s="101" t="str">
        <f ca="1">IFERROR(__xludf.DUMMYFUNCTION("REGEXREPLACE(B342, ""&lt;/loc&gt;"", """")"),"https://odysia-cruise-uk.client.prod.eu-west.dreamlake.io/cruise-lines/norwegian-cruise-line/norwegian-jewel/cruises")</f>
        <v>https://odysia-cruise-uk.client.prod.eu-west.dreamlake.io/cruise-lines/norwegian-cruise-line/norwegian-jewel/cruises</v>
      </c>
      <c r="D342" s="51" t="s">
        <v>984</v>
      </c>
      <c r="E342" s="51" t="str">
        <f ca="1">IFERROR(__xludf.DUMMYFUNCTION("REGEXREPLACE(D342, ""https://odysia-cruise-uk.client.prod.eu-west.dreamlake.io"", """")"),"/cruise-lines/norwegian-cruise-line/norwegian-jewel/cruises")</f>
        <v>/cruise-lines/norwegian-cruise-line/norwegian-jewel/cruises</v>
      </c>
    </row>
    <row r="343" spans="1:5" ht="13">
      <c r="A343" s="100" t="s">
        <v>985</v>
      </c>
      <c r="B343" s="51" t="str">
        <f ca="1">IFERROR(__xludf.DUMMYFUNCTION("REGEXREPLACE(A343, ""&lt;loc&gt;"", """")"),"https://odysia-cruise-uk.client.prod.eu-west.dreamlake.io/cruise-lines/regent-seven-seas-cruises/seven-seas-voyager&lt;/loc&gt;")</f>
        <v>https://odysia-cruise-uk.client.prod.eu-west.dreamlake.io/cruise-lines/regent-seven-seas-cruises/seven-seas-voyager&lt;/loc&gt;</v>
      </c>
      <c r="C343" s="101" t="str">
        <f ca="1">IFERROR(__xludf.DUMMYFUNCTION("REGEXREPLACE(B343, ""&lt;/loc&gt;"", """")"),"https://odysia-cruise-uk.client.prod.eu-west.dreamlake.io/cruise-lines/regent-seven-seas-cruises/seven-seas-voyager")</f>
        <v>https://odysia-cruise-uk.client.prod.eu-west.dreamlake.io/cruise-lines/regent-seven-seas-cruises/seven-seas-voyager</v>
      </c>
      <c r="D343" s="51" t="s">
        <v>986</v>
      </c>
      <c r="E343" s="51" t="str">
        <f ca="1">IFERROR(__xludf.DUMMYFUNCTION("REGEXREPLACE(D343, ""https://odysia-cruise-uk.client.prod.eu-west.dreamlake.io"", """")"),"/cruise-lines/regent-seven-seas-cruises/seven-seas-voyager")</f>
        <v>/cruise-lines/regent-seven-seas-cruises/seven-seas-voyager</v>
      </c>
    </row>
    <row r="344" spans="1:5" ht="13">
      <c r="A344" s="100" t="s">
        <v>987</v>
      </c>
      <c r="B344" s="51" t="str">
        <f ca="1">IFERROR(__xludf.DUMMYFUNCTION("REGEXREPLACE(A344, ""&lt;loc&gt;"", """")"),"https://odysia-cruise-uk.client.prod.eu-west.dreamlake.io/cruise-lines/msc-cruises/msc-meraviglia&lt;/loc&gt;")</f>
        <v>https://odysia-cruise-uk.client.prod.eu-west.dreamlake.io/cruise-lines/msc-cruises/msc-meraviglia&lt;/loc&gt;</v>
      </c>
      <c r="C344" s="101" t="str">
        <f ca="1">IFERROR(__xludf.DUMMYFUNCTION("REGEXREPLACE(B344, ""&lt;/loc&gt;"", """")"),"https://odysia-cruise-uk.client.prod.eu-west.dreamlake.io/cruise-lines/msc-cruises/msc-meraviglia")</f>
        <v>https://odysia-cruise-uk.client.prod.eu-west.dreamlake.io/cruise-lines/msc-cruises/msc-meraviglia</v>
      </c>
      <c r="D344" s="51" t="s">
        <v>988</v>
      </c>
      <c r="E344" s="51" t="str">
        <f ca="1">IFERROR(__xludf.DUMMYFUNCTION("REGEXREPLACE(D344, ""https://odysia-cruise-uk.client.prod.eu-west.dreamlake.io"", """")"),"/cruise-lines/msc-cruises/msc-meraviglia")</f>
        <v>/cruise-lines/msc-cruises/msc-meraviglia</v>
      </c>
    </row>
    <row r="345" spans="1:5" ht="13">
      <c r="A345" s="100" t="s">
        <v>989</v>
      </c>
      <c r="B345" s="51" t="str">
        <f ca="1">IFERROR(__xludf.DUMMYFUNCTION("REGEXREPLACE(A345, ""&lt;loc&gt;"", """")"),"https://odysia-cruise-uk.client.prod.eu-west.dreamlake.io/destinations/middle-east-cruises&lt;/loc&gt;")</f>
        <v>https://odysia-cruise-uk.client.prod.eu-west.dreamlake.io/destinations/middle-east-cruises&lt;/loc&gt;</v>
      </c>
      <c r="C345" s="101" t="str">
        <f ca="1">IFERROR(__xludf.DUMMYFUNCTION("REGEXREPLACE(B345, ""&lt;/loc&gt;"", """")"),"https://odysia-cruise-uk.client.prod.eu-west.dreamlake.io/destinations/middle-east-cruises")</f>
        <v>https://odysia-cruise-uk.client.prod.eu-west.dreamlake.io/destinations/middle-east-cruises</v>
      </c>
    </row>
    <row r="346" spans="1:5" ht="13">
      <c r="A346" s="100" t="s">
        <v>990</v>
      </c>
      <c r="B346" s="51" t="str">
        <f ca="1">IFERROR(__xludf.DUMMYFUNCTION("REGEXREPLACE(A346, ""&lt;loc&gt;"", """")"),"https://odysia-cruise-uk.client.prod.eu-west.dreamlake.io/cruise-lines/norwegian-cruise-line/norwegian-sky&lt;/loc&gt;")</f>
        <v>https://odysia-cruise-uk.client.prod.eu-west.dreamlake.io/cruise-lines/norwegian-cruise-line/norwegian-sky&lt;/loc&gt;</v>
      </c>
      <c r="C346" s="101" t="str">
        <f ca="1">IFERROR(__xludf.DUMMYFUNCTION("REGEXREPLACE(B346, ""&lt;/loc&gt;"", """")"),"https://odysia-cruise-uk.client.prod.eu-west.dreamlake.io/cruise-lines/norwegian-cruise-line/norwegian-sky")</f>
        <v>https://odysia-cruise-uk.client.prod.eu-west.dreamlake.io/cruise-lines/norwegian-cruise-line/norwegian-sky</v>
      </c>
      <c r="D346" s="51" t="s">
        <v>991</v>
      </c>
      <c r="E346" s="51" t="str">
        <f ca="1">IFERROR(__xludf.DUMMYFUNCTION("REGEXREPLACE(D346, ""https://odysia-cruise-uk.client.prod.eu-west.dreamlake.io"", """")"),"/cruise-lines/norwegian-cruise-line/norwegian-sky")</f>
        <v>/cruise-lines/norwegian-cruise-line/norwegian-sky</v>
      </c>
    </row>
    <row r="347" spans="1:5" ht="13">
      <c r="A347" s="100" t="s">
        <v>992</v>
      </c>
      <c r="B347" s="51" t="str">
        <f ca="1">IFERROR(__xludf.DUMMYFUNCTION("REGEXREPLACE(A347, ""&lt;loc&gt;"", """")"),"https://odysia-cruise-uk.client.prod.eu-west.dreamlake.io/cruise-lines/msc-cruises/msc-orchestra/cruises&lt;/loc&gt;")</f>
        <v>https://odysia-cruise-uk.client.prod.eu-west.dreamlake.io/cruise-lines/msc-cruises/msc-orchestra/cruises&lt;/loc&gt;</v>
      </c>
      <c r="C347" s="101" t="str">
        <f ca="1">IFERROR(__xludf.DUMMYFUNCTION("REGEXREPLACE(B347, ""&lt;/loc&gt;"", """")"),"https://odysia-cruise-uk.client.prod.eu-west.dreamlake.io/cruise-lines/msc-cruises/msc-orchestra/cruises")</f>
        <v>https://odysia-cruise-uk.client.prod.eu-west.dreamlake.io/cruise-lines/msc-cruises/msc-orchestra/cruises</v>
      </c>
      <c r="D347" s="51" t="s">
        <v>993</v>
      </c>
      <c r="E347" s="51" t="str">
        <f ca="1">IFERROR(__xludf.DUMMYFUNCTION("REGEXREPLACE(D347, ""https://odysia-cruise-uk.client.prod.eu-west.dreamlake.io"", """")"),"/cruise-lines/msc-cruises/msc-orchestra/cruises")</f>
        <v>/cruise-lines/msc-cruises/msc-orchestra/cruises</v>
      </c>
    </row>
    <row r="348" spans="1:5" ht="13">
      <c r="A348" s="100" t="s">
        <v>994</v>
      </c>
      <c r="B348" s="51" t="str">
        <f ca="1">IFERROR(__xludf.DUMMYFUNCTION("REGEXREPLACE(A348, ""&lt;loc&gt;"", """")"),"https://odysia-cruise-uk.client.prod.eu-west.dreamlake.io/calendar/northern-europe-cruises&lt;/loc&gt;")</f>
        <v>https://odysia-cruise-uk.client.prod.eu-west.dreamlake.io/calendar/northern-europe-cruises&lt;/loc&gt;</v>
      </c>
      <c r="C348" s="101" t="str">
        <f ca="1">IFERROR(__xludf.DUMMYFUNCTION("REGEXREPLACE(B348, ""&lt;/loc&gt;"", """")"),"https://odysia-cruise-uk.client.prod.eu-west.dreamlake.io/calendar/northern-europe-cruises")</f>
        <v>https://odysia-cruise-uk.client.prod.eu-west.dreamlake.io/calendar/northern-europe-cruises</v>
      </c>
    </row>
    <row r="349" spans="1:5" ht="13">
      <c r="A349" s="100" t="s">
        <v>995</v>
      </c>
      <c r="B349" s="51" t="str">
        <f ca="1">IFERROR(__xludf.DUMMYFUNCTION("REGEXREPLACE(A349, ""&lt;loc&gt;"", """")"),"https://odysia-cruise-uk.client.prod.eu-west.dreamlake.io/destinations/caribbean-cruises&lt;/loc&gt;")</f>
        <v>https://odysia-cruise-uk.client.prod.eu-west.dreamlake.io/destinations/caribbean-cruises&lt;/loc&gt;</v>
      </c>
      <c r="C349" s="101" t="str">
        <f ca="1">IFERROR(__xludf.DUMMYFUNCTION("REGEXREPLACE(B349, ""&lt;/loc&gt;"", """")"),"https://odysia-cruise-uk.client.prod.eu-west.dreamlake.io/destinations/caribbean-cruises")</f>
        <v>https://odysia-cruise-uk.client.prod.eu-west.dreamlake.io/destinations/caribbean-cruises</v>
      </c>
    </row>
    <row r="350" spans="1:5" ht="13">
      <c r="A350" s="100" t="s">
        <v>996</v>
      </c>
      <c r="B350" s="51" t="str">
        <f ca="1">IFERROR(__xludf.DUMMYFUNCTION("REGEXREPLACE(A350, ""&lt;loc&gt;"", """")"),"https://odysia-cruise-uk.client.prod.eu-west.dreamlake.io/cruise-deals/last-minute-cruises&lt;/loc&gt;")</f>
        <v>https://odysia-cruise-uk.client.prod.eu-west.dreamlake.io/cruise-deals/last-minute-cruises&lt;/loc&gt;</v>
      </c>
      <c r="C350" s="101" t="str">
        <f ca="1">IFERROR(__xludf.DUMMYFUNCTION("REGEXREPLACE(B350, ""&lt;/loc&gt;"", """")"),"https://odysia-cruise-uk.client.prod.eu-west.dreamlake.io/cruise-deals/last-minute-cruises")</f>
        <v>https://odysia-cruise-uk.client.prod.eu-west.dreamlake.io/cruise-deals/last-minute-cruises</v>
      </c>
      <c r="D350" s="51" t="s">
        <v>997</v>
      </c>
    </row>
    <row r="351" spans="1:5" ht="13">
      <c r="A351" s="100" t="s">
        <v>998</v>
      </c>
      <c r="B351" s="51" t="str">
        <f ca="1">IFERROR(__xludf.DUMMYFUNCTION("REGEXREPLACE(A351, ""&lt;loc&gt;"", """")"),"https://odysia-cruise-uk.client.prod.eu-west.dreamlake.io/cruise-lines/po-cruises/ventura/cruises&lt;/loc&gt;")</f>
        <v>https://odysia-cruise-uk.client.prod.eu-west.dreamlake.io/cruise-lines/po-cruises/ventura/cruises&lt;/loc&gt;</v>
      </c>
      <c r="C351" s="101" t="str">
        <f ca="1">IFERROR(__xludf.DUMMYFUNCTION("REGEXREPLACE(B351, ""&lt;/loc&gt;"", """")"),"https://odysia-cruise-uk.client.prod.eu-west.dreamlake.io/cruise-lines/po-cruises/ventura/cruises")</f>
        <v>https://odysia-cruise-uk.client.prod.eu-west.dreamlake.io/cruise-lines/po-cruises/ventura/cruises</v>
      </c>
      <c r="D351" s="51" t="s">
        <v>999</v>
      </c>
      <c r="E351" s="51" t="str">
        <f ca="1">IFERROR(__xludf.DUMMYFUNCTION("REGEXREPLACE(D351, ""https://odysia-cruise-uk.client.prod.eu-west.dreamlake.io"", """")"),"/cruise-lines/po-cruises/ventura/cruises")</f>
        <v>/cruise-lines/po-cruises/ventura/cruises</v>
      </c>
    </row>
    <row r="352" spans="1:5" ht="13">
      <c r="A352" s="100" t="s">
        <v>1000</v>
      </c>
      <c r="B352" s="51" t="str">
        <f ca="1">IFERROR(__xludf.DUMMYFUNCTION("REGEXREPLACE(A352, ""&lt;loc&gt;"", """")"),"https://odysia-cruise-uk.client.prod.eu-west.dreamlake.io/cruise-lines/norwegian-cruise-line/pride-of-america/cruises&lt;/loc&gt;")</f>
        <v>https://odysia-cruise-uk.client.prod.eu-west.dreamlake.io/cruise-lines/norwegian-cruise-line/pride-of-america/cruises&lt;/loc&gt;</v>
      </c>
      <c r="C352" s="101" t="str">
        <f ca="1">IFERROR(__xludf.DUMMYFUNCTION("REGEXREPLACE(B352, ""&lt;/loc&gt;"", """")"),"https://odysia-cruise-uk.client.prod.eu-west.dreamlake.io/cruise-lines/norwegian-cruise-line/pride-of-america/cruises")</f>
        <v>https://odysia-cruise-uk.client.prod.eu-west.dreamlake.io/cruise-lines/norwegian-cruise-line/pride-of-america/cruises</v>
      </c>
      <c r="D352" s="51" t="s">
        <v>1001</v>
      </c>
      <c r="E352" s="51" t="str">
        <f ca="1">IFERROR(__xludf.DUMMYFUNCTION("REGEXREPLACE(D352, ""https://odysia-cruise-uk.client.prod.eu-west.dreamlake.io"", """")"),"/cruise-lines/norwegian-cruise-line/pride-of-america/cruises")</f>
        <v>/cruise-lines/norwegian-cruise-line/pride-of-america/cruises</v>
      </c>
    </row>
    <row r="353" spans="1:5" ht="13">
      <c r="A353" s="100" t="s">
        <v>1002</v>
      </c>
      <c r="B353" s="51" t="str">
        <f ca="1">IFERROR(__xludf.DUMMYFUNCTION("REGEXREPLACE(A353, ""&lt;loc&gt;"", """")"),"https://odysia-cruise-uk.client.prod.eu-west.dreamlake.io/cruise-lines/royal-caribbean/serenade-of-the-seas/cruises&lt;/loc&gt;")</f>
        <v>https://odysia-cruise-uk.client.prod.eu-west.dreamlake.io/cruise-lines/royal-caribbean/serenade-of-the-seas/cruises&lt;/loc&gt;</v>
      </c>
      <c r="C353" s="101" t="str">
        <f ca="1">IFERROR(__xludf.DUMMYFUNCTION("REGEXREPLACE(B353, ""&lt;/loc&gt;"", """")"),"https://odysia-cruise-uk.client.prod.eu-west.dreamlake.io/cruise-lines/royal-caribbean/serenade-of-the-seas/cruises")</f>
        <v>https://odysia-cruise-uk.client.prod.eu-west.dreamlake.io/cruise-lines/royal-caribbean/serenade-of-the-seas/cruises</v>
      </c>
      <c r="D353" s="51" t="s">
        <v>1003</v>
      </c>
      <c r="E353" s="51" t="str">
        <f ca="1">IFERROR(__xludf.DUMMYFUNCTION("REGEXREPLACE(D353, ""https://odysia-cruise-uk.client.prod.eu-west.dreamlake.io"", """")"),"/cruise-lines/royal-caribbean/serenade-of-the-seas/cruises")</f>
        <v>/cruise-lines/royal-caribbean/serenade-of-the-seas/cruises</v>
      </c>
    </row>
    <row r="354" spans="1:5" ht="13">
      <c r="A354" s="100" t="s">
        <v>1004</v>
      </c>
      <c r="B354" s="51" t="str">
        <f ca="1">IFERROR(__xludf.DUMMYFUNCTION("REGEXREPLACE(A354, ""&lt;loc&gt;"", """")"),"https://odysia-cruise-uk.client.prod.eu-west.dreamlake.io/cruise-lines/holland-america-line/nieuw-amsterdam&lt;/loc&gt;")</f>
        <v>https://odysia-cruise-uk.client.prod.eu-west.dreamlake.io/cruise-lines/holland-america-line/nieuw-amsterdam&lt;/loc&gt;</v>
      </c>
      <c r="C354" s="101" t="str">
        <f ca="1">IFERROR(__xludf.DUMMYFUNCTION("REGEXREPLACE(B354, ""&lt;/loc&gt;"", """")"),"https://odysia-cruise-uk.client.prod.eu-west.dreamlake.io/cruise-lines/holland-america-line/nieuw-amsterdam")</f>
        <v>https://odysia-cruise-uk.client.prod.eu-west.dreamlake.io/cruise-lines/holland-america-line/nieuw-amsterdam</v>
      </c>
      <c r="D354" s="51" t="s">
        <v>1005</v>
      </c>
      <c r="E354" s="51" t="str">
        <f ca="1">IFERROR(__xludf.DUMMYFUNCTION("REGEXREPLACE(D354, ""https://odysia-cruise-uk.client.prod.eu-west.dreamlake.io"", """")"),"/cruise-lines/holland-america-line/nieuw-amsterdam")</f>
        <v>/cruise-lines/holland-america-line/nieuw-amsterdam</v>
      </c>
    </row>
    <row r="355" spans="1:5" ht="13">
      <c r="A355" s="100" t="s">
        <v>1006</v>
      </c>
      <c r="B355" s="51" t="str">
        <f ca="1">IFERROR(__xludf.DUMMYFUNCTION("REGEXREPLACE(A355, ""&lt;loc&gt;"", """")"),"https://odysia-cruise-uk.client.prod.eu-west.dreamlake.io/cruise-lines/norwegian-cruise-line/norwegian-luna&lt;/loc&gt;")</f>
        <v>https://odysia-cruise-uk.client.prod.eu-west.dreamlake.io/cruise-lines/norwegian-cruise-line/norwegian-luna&lt;/loc&gt;</v>
      </c>
      <c r="C355" s="101" t="str">
        <f ca="1">IFERROR(__xludf.DUMMYFUNCTION("REGEXREPLACE(B355, ""&lt;/loc&gt;"", """")"),"https://odysia-cruise-uk.client.prod.eu-west.dreamlake.io/cruise-lines/norwegian-cruise-line/norwegian-luna")</f>
        <v>https://odysia-cruise-uk.client.prod.eu-west.dreamlake.io/cruise-lines/norwegian-cruise-line/norwegian-luna</v>
      </c>
      <c r="D355" s="51" t="s">
        <v>1007</v>
      </c>
      <c r="E355" s="51" t="str">
        <f ca="1">IFERROR(__xludf.DUMMYFUNCTION("REGEXREPLACE(D355, ""https://odysia-cruise-uk.client.prod.eu-west.dreamlake.io"", """")"),"/cruise-lines/norwegian-cruise-line/norwegian-luna")</f>
        <v>/cruise-lines/norwegian-cruise-line/norwegian-luna</v>
      </c>
    </row>
    <row r="356" spans="1:5" ht="13">
      <c r="A356" s="100" t="s">
        <v>1008</v>
      </c>
      <c r="B356" s="51" t="str">
        <f ca="1">IFERROR(__xludf.DUMMYFUNCTION("REGEXREPLACE(A356, ""&lt;loc&gt;"", """")"),"https://odysia-cruise-uk.client.prod.eu-west.dreamlake.io/cruise-lines/holland-america-line/zaandam/cruises&lt;/loc&gt;")</f>
        <v>https://odysia-cruise-uk.client.prod.eu-west.dreamlake.io/cruise-lines/holland-america-line/zaandam/cruises&lt;/loc&gt;</v>
      </c>
      <c r="C356" s="101" t="str">
        <f ca="1">IFERROR(__xludf.DUMMYFUNCTION("REGEXREPLACE(B356, ""&lt;/loc&gt;"", """")"),"https://odysia-cruise-uk.client.prod.eu-west.dreamlake.io/cruise-lines/holland-america-line/zaandam/cruises")</f>
        <v>https://odysia-cruise-uk.client.prod.eu-west.dreamlake.io/cruise-lines/holland-america-line/zaandam/cruises</v>
      </c>
      <c r="D356" s="51" t="s">
        <v>1009</v>
      </c>
      <c r="E356" s="51" t="str">
        <f ca="1">IFERROR(__xludf.DUMMYFUNCTION("REGEXREPLACE(D356, ""https://odysia-cruise-uk.client.prod.eu-west.dreamlake.io"", """")"),"/cruise-lines/holland-america-line/zaandam/cruises")</f>
        <v>/cruise-lines/holland-america-line/zaandam/cruises</v>
      </c>
    </row>
    <row r="357" spans="1:5" ht="13">
      <c r="A357" s="100" t="s">
        <v>1010</v>
      </c>
      <c r="B357" s="51" t="str">
        <f ca="1">IFERROR(__xludf.DUMMYFUNCTION("REGEXREPLACE(A357, ""&lt;loc&gt;"", """")"),"https://odysia-cruise-uk.client.prod.eu-west.dreamlake.io/cruise-lines/fred-olsen-cruises/cruises&lt;/loc&gt;")</f>
        <v>https://odysia-cruise-uk.client.prod.eu-west.dreamlake.io/cruise-lines/fred-olsen-cruises/cruises&lt;/loc&gt;</v>
      </c>
      <c r="C357" s="101" t="str">
        <f ca="1">IFERROR(__xludf.DUMMYFUNCTION("REGEXREPLACE(B357, ""&lt;/loc&gt;"", """")"),"https://odysia-cruise-uk.client.prod.eu-west.dreamlake.io/cruise-lines/fred-olsen-cruises/cruises")</f>
        <v>https://odysia-cruise-uk.client.prod.eu-west.dreamlake.io/cruise-lines/fred-olsen-cruises/cruises</v>
      </c>
      <c r="D357" s="51" t="s">
        <v>1011</v>
      </c>
      <c r="E357" s="51" t="str">
        <f ca="1">IFERROR(__xludf.DUMMYFUNCTION("REGEXREPLACE(D357, ""https://odysia-cruise-uk.client.prod.eu-west.dreamlake.io"", """")"),"/cruise-lines/fred-olsen-cruises/cruises")</f>
        <v>/cruise-lines/fred-olsen-cruises/cruises</v>
      </c>
    </row>
    <row r="358" spans="1:5" ht="13">
      <c r="A358" s="100" t="s">
        <v>1012</v>
      </c>
      <c r="B358" s="51" t="str">
        <f ca="1">IFERROR(__xludf.DUMMYFUNCTION("REGEXREPLACE(A358, ""&lt;loc&gt;"", """")"),"https://odysia-cruise-uk.client.prod.eu-west.dreamlake.io/cruise-lines/msc-cruises/msc-orchestra&lt;/loc&gt;")</f>
        <v>https://odysia-cruise-uk.client.prod.eu-west.dreamlake.io/cruise-lines/msc-cruises/msc-orchestra&lt;/loc&gt;</v>
      </c>
      <c r="C358" s="101" t="str">
        <f ca="1">IFERROR(__xludf.DUMMYFUNCTION("REGEXREPLACE(B358, ""&lt;/loc&gt;"", """")"),"https://odysia-cruise-uk.client.prod.eu-west.dreamlake.io/cruise-lines/msc-cruises/msc-orchestra")</f>
        <v>https://odysia-cruise-uk.client.prod.eu-west.dreamlake.io/cruise-lines/msc-cruises/msc-orchestra</v>
      </c>
      <c r="D358" s="51" t="s">
        <v>1013</v>
      </c>
      <c r="E358" s="51" t="str">
        <f ca="1">IFERROR(__xludf.DUMMYFUNCTION("REGEXREPLACE(D358, ""https://odysia-cruise-uk.client.prod.eu-west.dreamlake.io"", """")"),"/cruise-lines/msc-cruises/msc-orchestra")</f>
        <v>/cruise-lines/msc-cruises/msc-orchestra</v>
      </c>
    </row>
    <row r="359" spans="1:5" ht="13">
      <c r="A359" s="100" t="s">
        <v>1014</v>
      </c>
      <c r="B359" s="51" t="str">
        <f ca="1">IFERROR(__xludf.DUMMYFUNCTION("REGEXREPLACE(A359, ""&lt;loc&gt;"", """")"),"https://odysia-cruise-uk.client.prod.eu-west.dreamlake.io/cruise-lines/costa-cruises/costa-toscana/cruises&lt;/loc&gt;")</f>
        <v>https://odysia-cruise-uk.client.prod.eu-west.dreamlake.io/cruise-lines/costa-cruises/costa-toscana/cruises&lt;/loc&gt;</v>
      </c>
      <c r="C359" s="101" t="str">
        <f ca="1">IFERROR(__xludf.DUMMYFUNCTION("REGEXREPLACE(B359, ""&lt;/loc&gt;"", """")"),"https://odysia-cruise-uk.client.prod.eu-west.dreamlake.io/cruise-lines/costa-cruises/costa-toscana/cruises")</f>
        <v>https://odysia-cruise-uk.client.prod.eu-west.dreamlake.io/cruise-lines/costa-cruises/costa-toscana/cruises</v>
      </c>
      <c r="D359" s="51" t="s">
        <v>1015</v>
      </c>
      <c r="E359" s="51" t="str">
        <f ca="1">IFERROR(__xludf.DUMMYFUNCTION("REGEXREPLACE(D359, ""https://odysia-cruise-uk.client.prod.eu-west.dreamlake.io"", """")"),"/cruise-lines/costa-cruises/costa-toscana/cruises")</f>
        <v>/cruise-lines/costa-cruises/costa-toscana/cruises</v>
      </c>
    </row>
    <row r="360" spans="1:5" ht="13">
      <c r="A360" s="100" t="s">
        <v>1016</v>
      </c>
      <c r="B360" s="51" t="str">
        <f ca="1">IFERROR(__xludf.DUMMYFUNCTION("REGEXREPLACE(A360, ""&lt;loc&gt;"", """")"),"https://odysia-cruise-uk.client.prod.eu-west.dreamlake.io/cruise-lines/royal-caribbean/liberty-of-the-seas&lt;/loc&gt;")</f>
        <v>https://odysia-cruise-uk.client.prod.eu-west.dreamlake.io/cruise-lines/royal-caribbean/liberty-of-the-seas&lt;/loc&gt;</v>
      </c>
      <c r="C360" s="101" t="str">
        <f ca="1">IFERROR(__xludf.DUMMYFUNCTION("REGEXREPLACE(B360, ""&lt;/loc&gt;"", """")"),"https://odysia-cruise-uk.client.prod.eu-west.dreamlake.io/cruise-lines/royal-caribbean/liberty-of-the-seas")</f>
        <v>https://odysia-cruise-uk.client.prod.eu-west.dreamlake.io/cruise-lines/royal-caribbean/liberty-of-the-seas</v>
      </c>
      <c r="D360" s="51" t="s">
        <v>1017</v>
      </c>
      <c r="E360" s="51" t="str">
        <f ca="1">IFERROR(__xludf.DUMMYFUNCTION("REGEXREPLACE(D360, ""https://odysia-cruise-uk.client.prod.eu-west.dreamlake.io"", """")"),"/cruise-lines/royal-caribbean/liberty-of-the-seas")</f>
        <v>/cruise-lines/royal-caribbean/liberty-of-the-seas</v>
      </c>
    </row>
    <row r="361" spans="1:5" ht="13">
      <c r="A361" s="100" t="s">
        <v>1018</v>
      </c>
      <c r="B361" s="51" t="str">
        <f ca="1">IFERROR(__xludf.DUMMYFUNCTION("REGEXREPLACE(A361, ""&lt;loc&gt;"", """")"),"https://odysia-cruise-uk.client.prod.eu-west.dreamlake.io/cruise-lines/norwegian-cruise-line/norwegian-viva&lt;/loc&gt;")</f>
        <v>https://odysia-cruise-uk.client.prod.eu-west.dreamlake.io/cruise-lines/norwegian-cruise-line/norwegian-viva&lt;/loc&gt;</v>
      </c>
      <c r="C361" s="101" t="str">
        <f ca="1">IFERROR(__xludf.DUMMYFUNCTION("REGEXREPLACE(B361, ""&lt;/loc&gt;"", """")"),"https://odysia-cruise-uk.client.prod.eu-west.dreamlake.io/cruise-lines/norwegian-cruise-line/norwegian-viva")</f>
        <v>https://odysia-cruise-uk.client.prod.eu-west.dreamlake.io/cruise-lines/norwegian-cruise-line/norwegian-viva</v>
      </c>
      <c r="D361" s="51" t="s">
        <v>1019</v>
      </c>
      <c r="E361" s="51" t="str">
        <f ca="1">IFERROR(__xludf.DUMMYFUNCTION("REGEXREPLACE(D361, ""https://odysia-cruise-uk.client.prod.eu-west.dreamlake.io"", """")"),"/cruise-lines/norwegian-cruise-line/norwegian-viva")</f>
        <v>/cruise-lines/norwegian-cruise-line/norwegian-viva</v>
      </c>
    </row>
    <row r="362" spans="1:5" ht="13">
      <c r="A362" s="100" t="s">
        <v>1020</v>
      </c>
      <c r="B362" s="51" t="str">
        <f ca="1">IFERROR(__xludf.DUMMYFUNCTION("REGEXREPLACE(A362, ""&lt;loc&gt;"", """")"),"https://odysia-cruise-uk.client.prod.eu-west.dreamlake.io/cruise-lines/norwegian-cruise-line/cruises&lt;/loc&gt;")</f>
        <v>https://odysia-cruise-uk.client.prod.eu-west.dreamlake.io/cruise-lines/norwegian-cruise-line/cruises&lt;/loc&gt;</v>
      </c>
      <c r="C362" s="101" t="str">
        <f ca="1">IFERROR(__xludf.DUMMYFUNCTION("REGEXREPLACE(B362, ""&lt;/loc&gt;"", """")"),"https://odysia-cruise-uk.client.prod.eu-west.dreamlake.io/cruise-lines/norwegian-cruise-line/cruises")</f>
        <v>https://odysia-cruise-uk.client.prod.eu-west.dreamlake.io/cruise-lines/norwegian-cruise-line/cruises</v>
      </c>
      <c r="D362" s="51" t="s">
        <v>1021</v>
      </c>
      <c r="E362" s="51" t="str">
        <f ca="1">IFERROR(__xludf.DUMMYFUNCTION("REGEXREPLACE(D362, ""https://odysia-cruise-uk.client.prod.eu-west.dreamlake.io"", """")"),"/cruise-lines/norwegian-cruise-line/cruises")</f>
        <v>/cruise-lines/norwegian-cruise-line/cruises</v>
      </c>
    </row>
    <row r="363" spans="1:5" ht="13">
      <c r="A363" s="100" t="s">
        <v>1022</v>
      </c>
      <c r="B363" s="51" t="str">
        <f ca="1">IFERROR(__xludf.DUMMYFUNCTION("REGEXREPLACE(A363, ""&lt;loc&gt;"", """")"),"https://odysia-cruise-uk.client.prod.eu-west.dreamlake.io/cruise-lines/msc-cruises/msc-seaside&lt;/loc&gt;")</f>
        <v>https://odysia-cruise-uk.client.prod.eu-west.dreamlake.io/cruise-lines/msc-cruises/msc-seaside&lt;/loc&gt;</v>
      </c>
      <c r="C363" s="101" t="str">
        <f ca="1">IFERROR(__xludf.DUMMYFUNCTION("REGEXREPLACE(B363, ""&lt;/loc&gt;"", """")"),"https://odysia-cruise-uk.client.prod.eu-west.dreamlake.io/cruise-lines/msc-cruises/msc-seaside")</f>
        <v>https://odysia-cruise-uk.client.prod.eu-west.dreamlake.io/cruise-lines/msc-cruises/msc-seaside</v>
      </c>
      <c r="D363" s="51" t="s">
        <v>1023</v>
      </c>
      <c r="E363" s="51" t="str">
        <f ca="1">IFERROR(__xludf.DUMMYFUNCTION("REGEXREPLACE(D363, ""https://odysia-cruise-uk.client.prod.eu-west.dreamlake.io"", """")"),"/cruise-lines/msc-cruises/msc-seaside")</f>
        <v>/cruise-lines/msc-cruises/msc-seaside</v>
      </c>
    </row>
    <row r="364" spans="1:5" ht="13">
      <c r="A364" s="100" t="s">
        <v>1024</v>
      </c>
      <c r="B364" s="51" t="str">
        <f ca="1">IFERROR(__xludf.DUMMYFUNCTION("REGEXREPLACE(A364, ""&lt;loc&gt;"", """")"),"https://odysia-cruise-uk.client.prod.eu-west.dreamlake.io/cruise-lines/seabourn/cruises&lt;/loc&gt;")</f>
        <v>https://odysia-cruise-uk.client.prod.eu-west.dreamlake.io/cruise-lines/seabourn/cruises&lt;/loc&gt;</v>
      </c>
      <c r="C364" s="101" t="str">
        <f ca="1">IFERROR(__xludf.DUMMYFUNCTION("REGEXREPLACE(B364, ""&lt;/loc&gt;"", """")"),"https://odysia-cruise-uk.client.prod.eu-west.dreamlake.io/cruise-lines/seabourn/cruises")</f>
        <v>https://odysia-cruise-uk.client.prod.eu-west.dreamlake.io/cruise-lines/seabourn/cruises</v>
      </c>
      <c r="D364" s="51" t="s">
        <v>1025</v>
      </c>
      <c r="E364" s="51" t="str">
        <f ca="1">IFERROR(__xludf.DUMMYFUNCTION("REGEXREPLACE(D364, ""https://odysia-cruise-uk.client.prod.eu-west.dreamlake.io"", """")"),"/cruise-lines/seabourn/cruises")</f>
        <v>/cruise-lines/seabourn/cruises</v>
      </c>
    </row>
    <row r="365" spans="1:5" ht="13">
      <c r="A365" s="100" t="s">
        <v>1026</v>
      </c>
      <c r="B365" s="51" t="str">
        <f ca="1">IFERROR(__xludf.DUMMYFUNCTION("REGEXREPLACE(A365, ""&lt;loc&gt;"", """")"),"https://odysia-cruise-uk.client.prod.eu-west.dreamlake.io/cruise-lines/celebrity-cruises/celebrity-summit&lt;/loc&gt;")</f>
        <v>https://odysia-cruise-uk.client.prod.eu-west.dreamlake.io/cruise-lines/celebrity-cruises/celebrity-summit&lt;/loc&gt;</v>
      </c>
      <c r="C365" s="101" t="str">
        <f ca="1">IFERROR(__xludf.DUMMYFUNCTION("REGEXREPLACE(B365, ""&lt;/loc&gt;"", """")"),"https://odysia-cruise-uk.client.prod.eu-west.dreamlake.io/cruise-lines/celebrity-cruises/celebrity-summit")</f>
        <v>https://odysia-cruise-uk.client.prod.eu-west.dreamlake.io/cruise-lines/celebrity-cruises/celebrity-summit</v>
      </c>
      <c r="D365" s="51" t="s">
        <v>1027</v>
      </c>
      <c r="E365" s="51" t="str">
        <f ca="1">IFERROR(__xludf.DUMMYFUNCTION("REGEXREPLACE(D365, ""https://odysia-cruise-uk.client.prod.eu-west.dreamlake.io"", """")"),"/cruise-lines/celebrity-cruises/celebrity-summit")</f>
        <v>/cruise-lines/celebrity-cruises/celebrity-summit</v>
      </c>
    </row>
    <row r="366" spans="1:5" ht="13">
      <c r="A366" s="100" t="s">
        <v>1028</v>
      </c>
      <c r="B366" s="51" t="str">
        <f ca="1">IFERROR(__xludf.DUMMYFUNCTION("REGEXREPLACE(A366, ""&lt;loc&gt;"", """")"),"https://odysia-cruise-uk.client.prod.eu-west.dreamlake.io/cruise-lines/royal-caribbean/radiance-of-the-seas&lt;/loc&gt;")</f>
        <v>https://odysia-cruise-uk.client.prod.eu-west.dreamlake.io/cruise-lines/royal-caribbean/radiance-of-the-seas&lt;/loc&gt;</v>
      </c>
      <c r="C366" s="101" t="str">
        <f ca="1">IFERROR(__xludf.DUMMYFUNCTION("REGEXREPLACE(B366, ""&lt;/loc&gt;"", """")"),"https://odysia-cruise-uk.client.prod.eu-west.dreamlake.io/cruise-lines/royal-caribbean/radiance-of-the-seas")</f>
        <v>https://odysia-cruise-uk.client.prod.eu-west.dreamlake.io/cruise-lines/royal-caribbean/radiance-of-the-seas</v>
      </c>
      <c r="D366" s="51" t="s">
        <v>1029</v>
      </c>
      <c r="E366" s="51" t="str">
        <f ca="1">IFERROR(__xludf.DUMMYFUNCTION("REGEXREPLACE(D366, ""https://odysia-cruise-uk.client.prod.eu-west.dreamlake.io"", """")"),"/cruise-lines/royal-caribbean/radiance-of-the-seas")</f>
        <v>/cruise-lines/royal-caribbean/radiance-of-the-seas</v>
      </c>
    </row>
    <row r="367" spans="1:5" ht="13">
      <c r="A367" s="100" t="s">
        <v>1030</v>
      </c>
      <c r="B367" s="51" t="str">
        <f ca="1">IFERROR(__xludf.DUMMYFUNCTION("REGEXREPLACE(A367, ""&lt;loc&gt;"", """")"),"https://odysia-cruise-uk.client.prod.eu-west.dreamlake.io/cruise-lines/oceania-cruises/oceania-nautica&lt;/loc&gt;")</f>
        <v>https://odysia-cruise-uk.client.prod.eu-west.dreamlake.io/cruise-lines/oceania-cruises/oceania-nautica&lt;/loc&gt;</v>
      </c>
      <c r="C367" s="101" t="str">
        <f ca="1">IFERROR(__xludf.DUMMYFUNCTION("REGEXREPLACE(B367, ""&lt;/loc&gt;"", """")"),"https://odysia-cruise-uk.client.prod.eu-west.dreamlake.io/cruise-lines/oceania-cruises/oceania-nautica")</f>
        <v>https://odysia-cruise-uk.client.prod.eu-west.dreamlake.io/cruise-lines/oceania-cruises/oceania-nautica</v>
      </c>
      <c r="D367" s="51" t="s">
        <v>1031</v>
      </c>
      <c r="E367" s="51" t="str">
        <f ca="1">IFERROR(__xludf.DUMMYFUNCTION("REGEXREPLACE(D367, ""https://odysia-cruise-uk.client.prod.eu-west.dreamlake.io"", """")"),"/cruise-lines/oceania-cruises/oceania-nautica")</f>
        <v>/cruise-lines/oceania-cruises/oceania-nautica</v>
      </c>
    </row>
    <row r="368" spans="1:5" ht="13">
      <c r="A368" s="100" t="s">
        <v>751</v>
      </c>
      <c r="B368" s="51" t="str">
        <f ca="1">IFERROR(__xludf.DUMMYFUNCTION("REGEXREPLACE(A368,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368" s="101" t="str">
        <f ca="1">IFERROR(__xludf.DUMMYFUNCTION("REGEXREPLACE(B368,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369" spans="1:5" ht="13">
      <c r="A369" s="100" t="s">
        <v>1032</v>
      </c>
      <c r="B369" s="51" t="str">
        <f ca="1">IFERROR(__xludf.DUMMYFUNCTION("REGEXREPLACE(A369, ""&lt;loc&gt;"", """")"),"https://odysia-cruise-uk.client.prod.eu-west.dreamlake.io/cruise-lines/royal-caribbean/star-of-the-seas&lt;/loc&gt;")</f>
        <v>https://odysia-cruise-uk.client.prod.eu-west.dreamlake.io/cruise-lines/royal-caribbean/star-of-the-seas&lt;/loc&gt;</v>
      </c>
      <c r="C369" s="101" t="str">
        <f ca="1">IFERROR(__xludf.DUMMYFUNCTION("REGEXREPLACE(B369, ""&lt;/loc&gt;"", """")"),"https://odysia-cruise-uk.client.prod.eu-west.dreamlake.io/cruise-lines/royal-caribbean/star-of-the-seas")</f>
        <v>https://odysia-cruise-uk.client.prod.eu-west.dreamlake.io/cruise-lines/royal-caribbean/star-of-the-seas</v>
      </c>
      <c r="D369" s="51" t="s">
        <v>1033</v>
      </c>
      <c r="E369" s="51" t="str">
        <f ca="1">IFERROR(__xludf.DUMMYFUNCTION("REGEXREPLACE(D369, ""https://odysia-cruise-uk.client.prod.eu-west.dreamlake.io"", """")"),"/cruise-lines/royal-caribbean/star-of-the-seas")</f>
        <v>/cruise-lines/royal-caribbean/star-of-the-seas</v>
      </c>
    </row>
    <row r="370" spans="1:5" ht="13">
      <c r="A370" s="100" t="s">
        <v>1034</v>
      </c>
      <c r="B370" s="51" t="str">
        <f ca="1">IFERROR(__xludf.DUMMYFUNCTION("REGEXREPLACE(A370, ""&lt;loc&gt;"", """")"),"https://odysia-cruise-uk.client.prod.eu-west.dreamlake.io/cruise-lines/celebrity-cruises/celebrity-equinox&lt;/loc&gt;")</f>
        <v>https://odysia-cruise-uk.client.prod.eu-west.dreamlake.io/cruise-lines/celebrity-cruises/celebrity-equinox&lt;/loc&gt;</v>
      </c>
      <c r="C370" s="101" t="str">
        <f ca="1">IFERROR(__xludf.DUMMYFUNCTION("REGEXREPLACE(B370, ""&lt;/loc&gt;"", """")"),"https://odysia-cruise-uk.client.prod.eu-west.dreamlake.io/cruise-lines/celebrity-cruises/celebrity-equinox")</f>
        <v>https://odysia-cruise-uk.client.prod.eu-west.dreamlake.io/cruise-lines/celebrity-cruises/celebrity-equinox</v>
      </c>
      <c r="D370" s="51" t="s">
        <v>1035</v>
      </c>
      <c r="E370" s="51" t="str">
        <f ca="1">IFERROR(__xludf.DUMMYFUNCTION("REGEXREPLACE(D370, ""https://odysia-cruise-uk.client.prod.eu-west.dreamlake.io"", """")"),"/cruise-lines/celebrity-cruises/celebrity-equinox")</f>
        <v>/cruise-lines/celebrity-cruises/celebrity-equinox</v>
      </c>
    </row>
    <row r="371" spans="1:5" ht="13">
      <c r="A371" s="100" t="s">
        <v>1036</v>
      </c>
      <c r="B371" s="51" t="str">
        <f ca="1">IFERROR(__xludf.DUMMYFUNCTION("REGEXREPLACE(A371, ""&lt;loc&gt;"", """")"),"https://odysia-cruise-uk.client.prod.eu-west.dreamlake.io/cruise-lines/ambassador-cruise-line/renaissance/cruises&lt;/loc&gt;")</f>
        <v>https://odysia-cruise-uk.client.prod.eu-west.dreamlake.io/cruise-lines/ambassador-cruise-line/renaissance/cruises&lt;/loc&gt;</v>
      </c>
      <c r="C371" s="101" t="str">
        <f ca="1">IFERROR(__xludf.DUMMYFUNCTION("REGEXREPLACE(B371, ""&lt;/loc&gt;"", """")"),"https://odysia-cruise-uk.client.prod.eu-west.dreamlake.io/cruise-lines/ambassador-cruise-line/renaissance/cruises")</f>
        <v>https://odysia-cruise-uk.client.prod.eu-west.dreamlake.io/cruise-lines/ambassador-cruise-line/renaissance/cruises</v>
      </c>
      <c r="D371" s="51" t="s">
        <v>1037</v>
      </c>
      <c r="E371" s="51" t="str">
        <f ca="1">IFERROR(__xludf.DUMMYFUNCTION("REGEXREPLACE(D371, ""https://odysia-cruise-uk.client.prod.eu-west.dreamlake.io"", """")"),"/cruise-lines/ambassador-cruise-line/renaissance/cruises")</f>
        <v>/cruise-lines/ambassador-cruise-line/renaissance/cruises</v>
      </c>
    </row>
    <row r="372" spans="1:5" ht="13">
      <c r="A372" s="100" t="s">
        <v>1038</v>
      </c>
      <c r="B372" s="51" t="str">
        <f ca="1">IFERROR(__xludf.DUMMYFUNCTION("REGEXREPLACE(A372, ""&lt;loc&gt;"", """")"),"https://odysia-cruise-uk.client.prod.eu-west.dreamlake.io/cruise-lines/princess-cruises/sky-princess&lt;/loc&gt;")</f>
        <v>https://odysia-cruise-uk.client.prod.eu-west.dreamlake.io/cruise-lines/princess-cruises/sky-princess&lt;/loc&gt;</v>
      </c>
      <c r="C372" s="101" t="str">
        <f ca="1">IFERROR(__xludf.DUMMYFUNCTION("REGEXREPLACE(B372, ""&lt;/loc&gt;"", """")"),"https://odysia-cruise-uk.client.prod.eu-west.dreamlake.io/cruise-lines/princess-cruises/sky-princess")</f>
        <v>https://odysia-cruise-uk.client.prod.eu-west.dreamlake.io/cruise-lines/princess-cruises/sky-princess</v>
      </c>
      <c r="D372" s="51" t="s">
        <v>1039</v>
      </c>
      <c r="E372" s="51" t="str">
        <f ca="1">IFERROR(__xludf.DUMMYFUNCTION("REGEXREPLACE(D372, ""https://odysia-cruise-uk.client.prod.eu-west.dreamlake.io"", """")"),"/cruise-lines/princess-cruises/sky-princess")</f>
        <v>/cruise-lines/princess-cruises/sky-princess</v>
      </c>
    </row>
    <row r="373" spans="1:5" ht="13">
      <c r="A373" s="100" t="s">
        <v>1040</v>
      </c>
      <c r="B373" s="51" t="str">
        <f ca="1">IFERROR(__xludf.DUMMYFUNCTION("REGEXREPLACE(A373, ""&lt;loc&gt;"", """")"),"https://odysia-cruise-uk.client.prod.eu-west.dreamlake.io/cruise-lines/celebrity-cruises/celebrity-reflection&lt;/loc&gt;")</f>
        <v>https://odysia-cruise-uk.client.prod.eu-west.dreamlake.io/cruise-lines/celebrity-cruises/celebrity-reflection&lt;/loc&gt;</v>
      </c>
      <c r="C373" s="101" t="str">
        <f ca="1">IFERROR(__xludf.DUMMYFUNCTION("REGEXREPLACE(B373, ""&lt;/loc&gt;"", """")"),"https://odysia-cruise-uk.client.prod.eu-west.dreamlake.io/cruise-lines/celebrity-cruises/celebrity-reflection")</f>
        <v>https://odysia-cruise-uk.client.prod.eu-west.dreamlake.io/cruise-lines/celebrity-cruises/celebrity-reflection</v>
      </c>
      <c r="D373" s="51" t="s">
        <v>1041</v>
      </c>
      <c r="E373" s="51" t="str">
        <f ca="1">IFERROR(__xludf.DUMMYFUNCTION("REGEXREPLACE(D373, ""https://odysia-cruise-uk.client.prod.eu-west.dreamlake.io"", """")"),"/cruise-lines/celebrity-cruises/celebrity-reflection")</f>
        <v>/cruise-lines/celebrity-cruises/celebrity-reflection</v>
      </c>
    </row>
    <row r="374" spans="1:5" ht="13">
      <c r="A374" s="100" t="s">
        <v>1042</v>
      </c>
      <c r="B374" s="51" t="str">
        <f ca="1">IFERROR(__xludf.DUMMYFUNCTION("REGEXREPLACE(A374, ""&lt;loc&gt;"", """")"),"https://odysia-cruise-uk.client.prod.eu-west.dreamlake.io/cruise-lines/celebrity-cruises/celebrity-edge/cruises&lt;/loc&gt;")</f>
        <v>https://odysia-cruise-uk.client.prod.eu-west.dreamlake.io/cruise-lines/celebrity-cruises/celebrity-edge/cruises&lt;/loc&gt;</v>
      </c>
      <c r="C374" s="101" t="str">
        <f ca="1">IFERROR(__xludf.DUMMYFUNCTION("REGEXREPLACE(B374, ""&lt;/loc&gt;"", """")"),"https://odysia-cruise-uk.client.prod.eu-west.dreamlake.io/cruise-lines/celebrity-cruises/celebrity-edge/cruises")</f>
        <v>https://odysia-cruise-uk.client.prod.eu-west.dreamlake.io/cruise-lines/celebrity-cruises/celebrity-edge/cruises</v>
      </c>
      <c r="D374" s="51" t="s">
        <v>1043</v>
      </c>
      <c r="E374" s="51" t="str">
        <f ca="1">IFERROR(__xludf.DUMMYFUNCTION("REGEXREPLACE(D374, ""https://odysia-cruise-uk.client.prod.eu-west.dreamlake.io"", """")"),"/cruise-lines/celebrity-cruises/celebrity-edge/cruises")</f>
        <v>/cruise-lines/celebrity-cruises/celebrity-edge/cruises</v>
      </c>
    </row>
    <row r="375" spans="1:5" ht="13">
      <c r="A375" s="100" t="s">
        <v>1044</v>
      </c>
      <c r="B375" s="51" t="str">
        <f ca="1">IFERROR(__xludf.DUMMYFUNCTION("REGEXREPLACE(A375, ""&lt;loc&gt;"", """")"),"https://odysia-cruise-uk.client.prod.eu-west.dreamlake.io/cruise-lines/norwegian-cruise-line/norwegian-star/cruises&lt;/loc&gt;")</f>
        <v>https://odysia-cruise-uk.client.prod.eu-west.dreamlake.io/cruise-lines/norwegian-cruise-line/norwegian-star/cruises&lt;/loc&gt;</v>
      </c>
      <c r="C375" s="101" t="str">
        <f ca="1">IFERROR(__xludf.DUMMYFUNCTION("REGEXREPLACE(B375, ""&lt;/loc&gt;"", """")"),"https://odysia-cruise-uk.client.prod.eu-west.dreamlake.io/cruise-lines/norwegian-cruise-line/norwegian-star/cruises")</f>
        <v>https://odysia-cruise-uk.client.prod.eu-west.dreamlake.io/cruise-lines/norwegian-cruise-line/norwegian-star/cruises</v>
      </c>
      <c r="D375" s="51" t="s">
        <v>1045</v>
      </c>
      <c r="E375" s="51" t="str">
        <f ca="1">IFERROR(__xludf.DUMMYFUNCTION("REGEXREPLACE(D375, ""https://odysia-cruise-uk.client.prod.eu-west.dreamlake.io"", """")"),"/cruise-lines/norwegian-cruise-line/norwegian-star/cruises")</f>
        <v>/cruise-lines/norwegian-cruise-line/norwegian-star/cruises</v>
      </c>
    </row>
    <row r="376" spans="1:5" ht="13">
      <c r="A376" s="100" t="s">
        <v>1046</v>
      </c>
      <c r="B376" s="51" t="str">
        <f ca="1">IFERROR(__xludf.DUMMYFUNCTION("REGEXREPLACE(A376, ""&lt;loc&gt;"", """")"),"https://odysia-cruise-uk.client.prod.eu-west.dreamlake.io/cruise-lines/royal-caribbean/mariner-of-the-seas/cruises&lt;/loc&gt;")</f>
        <v>https://odysia-cruise-uk.client.prod.eu-west.dreamlake.io/cruise-lines/royal-caribbean/mariner-of-the-seas/cruises&lt;/loc&gt;</v>
      </c>
      <c r="C376" s="101" t="str">
        <f ca="1">IFERROR(__xludf.DUMMYFUNCTION("REGEXREPLACE(B376, ""&lt;/loc&gt;"", """")"),"https://odysia-cruise-uk.client.prod.eu-west.dreamlake.io/cruise-lines/royal-caribbean/mariner-of-the-seas/cruises")</f>
        <v>https://odysia-cruise-uk.client.prod.eu-west.dreamlake.io/cruise-lines/royal-caribbean/mariner-of-the-seas/cruises</v>
      </c>
      <c r="D376" s="51" t="s">
        <v>1047</v>
      </c>
      <c r="E376" s="51" t="str">
        <f ca="1">IFERROR(__xludf.DUMMYFUNCTION("REGEXREPLACE(D376, ""https://odysia-cruise-uk.client.prod.eu-west.dreamlake.io"", """")"),"/cruise-lines/royal-caribbean/mariner-of-the-seas/cruises")</f>
        <v>/cruise-lines/royal-caribbean/mariner-of-the-seas/cruises</v>
      </c>
    </row>
    <row r="377" spans="1:5" ht="13">
      <c r="A377" s="100" t="s">
        <v>1048</v>
      </c>
      <c r="B377" s="51" t="str">
        <f ca="1">IFERROR(__xludf.DUMMYFUNCTION("REGEXREPLACE(A377, ""&lt;loc&gt;"", """")"),"https://odysia-cruise-uk.client.prod.eu-west.dreamlake.io/cruise-lines/royal-caribbean/allure-of-the-seas/cruises&lt;/loc&gt;")</f>
        <v>https://odysia-cruise-uk.client.prod.eu-west.dreamlake.io/cruise-lines/royal-caribbean/allure-of-the-seas/cruises&lt;/loc&gt;</v>
      </c>
      <c r="C377" s="101" t="str">
        <f ca="1">IFERROR(__xludf.DUMMYFUNCTION("REGEXREPLACE(B377, ""&lt;/loc&gt;"", """")"),"https://odysia-cruise-uk.client.prod.eu-west.dreamlake.io/cruise-lines/royal-caribbean/allure-of-the-seas/cruises")</f>
        <v>https://odysia-cruise-uk.client.prod.eu-west.dreamlake.io/cruise-lines/royal-caribbean/allure-of-the-seas/cruises</v>
      </c>
      <c r="D377" s="51" t="s">
        <v>1049</v>
      </c>
      <c r="E377" s="51" t="str">
        <f ca="1">IFERROR(__xludf.DUMMYFUNCTION("REGEXREPLACE(D377, ""https://odysia-cruise-uk.client.prod.eu-west.dreamlake.io"", """")"),"/cruise-lines/royal-caribbean/allure-of-the-seas/cruises")</f>
        <v>/cruise-lines/royal-caribbean/allure-of-the-seas/cruises</v>
      </c>
    </row>
    <row r="378" spans="1:5" ht="13">
      <c r="A378" s="100" t="s">
        <v>1050</v>
      </c>
      <c r="B378" s="51" t="str">
        <f ca="1">IFERROR(__xludf.DUMMYFUNCTION("REGEXREPLACE(A378, ""&lt;loc&gt;"", """")"),"https://odysia-cruise-uk.client.prod.eu-west.dreamlake.io/cruise-lines/po-cruises/cruises&lt;/loc&gt;")</f>
        <v>https://odysia-cruise-uk.client.prod.eu-west.dreamlake.io/cruise-lines/po-cruises/cruises&lt;/loc&gt;</v>
      </c>
      <c r="C378" s="101" t="str">
        <f ca="1">IFERROR(__xludf.DUMMYFUNCTION("REGEXREPLACE(B378, ""&lt;/loc&gt;"", """")"),"https://odysia-cruise-uk.client.prod.eu-west.dreamlake.io/cruise-lines/po-cruises/cruises")</f>
        <v>https://odysia-cruise-uk.client.prod.eu-west.dreamlake.io/cruise-lines/po-cruises/cruises</v>
      </c>
      <c r="D378" s="51" t="s">
        <v>1051</v>
      </c>
      <c r="E378" s="51" t="str">
        <f ca="1">IFERROR(__xludf.DUMMYFUNCTION("REGEXREPLACE(D378, ""https://odysia-cruise-uk.client.prod.eu-west.dreamlake.io"", """")"),"/cruise-lines/po-cruises/cruises")</f>
        <v>/cruise-lines/po-cruises/cruises</v>
      </c>
    </row>
    <row r="379" spans="1:5" ht="13">
      <c r="A379" s="100" t="s">
        <v>1052</v>
      </c>
      <c r="B379" s="51" t="str">
        <f ca="1">IFERROR(__xludf.DUMMYFUNCTION("REGEXREPLACE(A379, ""&lt;loc&gt;"", """")"),"https://odysia-cruise-uk.client.prod.eu-west.dreamlake.io/cruise-lines/msc-cruises/msc-seaview/cruises&lt;/loc&gt;")</f>
        <v>https://odysia-cruise-uk.client.prod.eu-west.dreamlake.io/cruise-lines/msc-cruises/msc-seaview/cruises&lt;/loc&gt;</v>
      </c>
      <c r="C379" s="101" t="str">
        <f ca="1">IFERROR(__xludf.DUMMYFUNCTION("REGEXREPLACE(B379, ""&lt;/loc&gt;"", """")"),"https://odysia-cruise-uk.client.prod.eu-west.dreamlake.io/cruise-lines/msc-cruises/msc-seaview/cruises")</f>
        <v>https://odysia-cruise-uk.client.prod.eu-west.dreamlake.io/cruise-lines/msc-cruises/msc-seaview/cruises</v>
      </c>
      <c r="D379" s="51" t="s">
        <v>1053</v>
      </c>
      <c r="E379" s="51" t="str">
        <f ca="1">IFERROR(__xludf.DUMMYFUNCTION("REGEXREPLACE(D379, ""https://odysia-cruise-uk.client.prod.eu-west.dreamlake.io"", """")"),"/cruise-lines/msc-cruises/msc-seaview/cruises")</f>
        <v>/cruise-lines/msc-cruises/msc-seaview/cruises</v>
      </c>
    </row>
    <row r="380" spans="1:5" ht="13">
      <c r="A380" s="100" t="s">
        <v>1054</v>
      </c>
      <c r="B380" s="51" t="str">
        <f ca="1">IFERROR(__xludf.DUMMYFUNCTION("REGEXREPLACE(A380, ""&lt;loc&gt;"", """")"),"https://odysia-cruise-uk.client.prod.eu-west.dreamlake.io/cruise-lines/norwegian-cruise-line/norwegian-sky/cruises&lt;/loc&gt;")</f>
        <v>https://odysia-cruise-uk.client.prod.eu-west.dreamlake.io/cruise-lines/norwegian-cruise-line/norwegian-sky/cruises&lt;/loc&gt;</v>
      </c>
      <c r="C380" s="101" t="str">
        <f ca="1">IFERROR(__xludf.DUMMYFUNCTION("REGEXREPLACE(B380, ""&lt;/loc&gt;"", """")"),"https://odysia-cruise-uk.client.prod.eu-west.dreamlake.io/cruise-lines/norwegian-cruise-line/norwegian-sky/cruises")</f>
        <v>https://odysia-cruise-uk.client.prod.eu-west.dreamlake.io/cruise-lines/norwegian-cruise-line/norwegian-sky/cruises</v>
      </c>
      <c r="D380" s="51" t="s">
        <v>1055</v>
      </c>
      <c r="E380" s="51" t="str">
        <f ca="1">IFERROR(__xludf.DUMMYFUNCTION("REGEXREPLACE(D380, ""https://odysia-cruise-uk.client.prod.eu-west.dreamlake.io"", """")"),"/cruise-lines/norwegian-cruise-line/norwegian-sky/cruises")</f>
        <v>/cruise-lines/norwegian-cruise-line/norwegian-sky/cruises</v>
      </c>
    </row>
    <row r="381" spans="1:5" ht="13">
      <c r="A381" s="100" t="s">
        <v>1056</v>
      </c>
      <c r="B381" s="51" t="str">
        <f ca="1">IFERROR(__xludf.DUMMYFUNCTION("REGEXREPLACE(A381, ""&lt;loc&gt;"", """")"),"https://odysia-cruise-uk.client.prod.eu-west.dreamlake.io/cruise-lines/royal-caribbean/quantum-of-the-seas/cruises&lt;/loc&gt;")</f>
        <v>https://odysia-cruise-uk.client.prod.eu-west.dreamlake.io/cruise-lines/royal-caribbean/quantum-of-the-seas/cruises&lt;/loc&gt;</v>
      </c>
      <c r="C381" s="101" t="str">
        <f ca="1">IFERROR(__xludf.DUMMYFUNCTION("REGEXREPLACE(B381, ""&lt;/loc&gt;"", """")"),"https://odysia-cruise-uk.client.prod.eu-west.dreamlake.io/cruise-lines/royal-caribbean/quantum-of-the-seas/cruises")</f>
        <v>https://odysia-cruise-uk.client.prod.eu-west.dreamlake.io/cruise-lines/royal-caribbean/quantum-of-the-seas/cruises</v>
      </c>
      <c r="D381" s="51" t="s">
        <v>1057</v>
      </c>
      <c r="E381" s="51" t="str">
        <f ca="1">IFERROR(__xludf.DUMMYFUNCTION("REGEXREPLACE(D381, ""https://odysia-cruise-uk.client.prod.eu-west.dreamlake.io"", """")"),"/cruise-lines/royal-caribbean/quantum-of-the-seas/cruises")</f>
        <v>/cruise-lines/royal-caribbean/quantum-of-the-seas/cruises</v>
      </c>
    </row>
    <row r="382" spans="1:5" ht="13">
      <c r="A382" s="100" t="s">
        <v>1058</v>
      </c>
      <c r="B382" s="51" t="str">
        <f ca="1">IFERROR(__xludf.DUMMYFUNCTION("REGEXREPLACE(A382, ""&lt;loc&gt;"", """")"),"https://odysia-cruise-uk.client.prod.eu-west.dreamlake.io/cruise-calendar/south-america-cruise-dates&lt;/loc&gt;")</f>
        <v>https://odysia-cruise-uk.client.prod.eu-west.dreamlake.io/cruise-calendar/south-america-cruise-dates&lt;/loc&gt;</v>
      </c>
      <c r="C382" s="101" t="str">
        <f ca="1">IFERROR(__xludf.DUMMYFUNCTION("REGEXREPLACE(B382, ""&lt;/loc&gt;"", """")"),"https://odysia-cruise-uk.client.prod.eu-west.dreamlake.io/cruise-calendar/south-america-cruise-dates")</f>
        <v>https://odysia-cruise-uk.client.prod.eu-west.dreamlake.io/cruise-calendar/south-america-cruise-dates</v>
      </c>
    </row>
    <row r="383" spans="1:5" ht="13">
      <c r="A383" s="100" t="s">
        <v>1059</v>
      </c>
      <c r="B383" s="51" t="str">
        <f ca="1">IFERROR(__xludf.DUMMYFUNCTION("REGEXREPLACE(A383, ""&lt;loc&gt;"", """")"),"https://odysia-cruise-uk.client.prod.eu-west.dreamlake.io/cruise-lines/royal-caribbean/independence-of-the-seas/cruises&lt;/loc&gt;")</f>
        <v>https://odysia-cruise-uk.client.prod.eu-west.dreamlake.io/cruise-lines/royal-caribbean/independence-of-the-seas/cruises&lt;/loc&gt;</v>
      </c>
      <c r="C383" s="101" t="str">
        <f ca="1">IFERROR(__xludf.DUMMYFUNCTION("REGEXREPLACE(B383, ""&lt;/loc&gt;"", """")"),"https://odysia-cruise-uk.client.prod.eu-west.dreamlake.io/cruise-lines/royal-caribbean/independence-of-the-seas/cruises")</f>
        <v>https://odysia-cruise-uk.client.prod.eu-west.dreamlake.io/cruise-lines/royal-caribbean/independence-of-the-seas/cruises</v>
      </c>
      <c r="D383" s="51" t="s">
        <v>1060</v>
      </c>
      <c r="E383" s="51" t="str">
        <f ca="1">IFERROR(__xludf.DUMMYFUNCTION("REGEXREPLACE(D383, ""https://odysia-cruise-uk.client.prod.eu-west.dreamlake.io"", """")"),"/cruise-lines/royal-caribbean/independence-of-the-seas/cruises")</f>
        <v>/cruise-lines/royal-caribbean/independence-of-the-seas/cruises</v>
      </c>
    </row>
    <row r="384" spans="1:5" ht="13">
      <c r="A384" s="100" t="s">
        <v>1061</v>
      </c>
      <c r="B384" s="51" t="str">
        <f ca="1">IFERROR(__xludf.DUMMYFUNCTION("REGEXREPLACE(A384, ""&lt;loc&gt;"", """")"),"https://odysia-cruise-uk.client.prod.eu-west.dreamlake.io/cruise-lines/msc-cruises/msc-magnifica/cruises&lt;/loc&gt;")</f>
        <v>https://odysia-cruise-uk.client.prod.eu-west.dreamlake.io/cruise-lines/msc-cruises/msc-magnifica/cruises&lt;/loc&gt;</v>
      </c>
      <c r="C384" s="101" t="str">
        <f ca="1">IFERROR(__xludf.DUMMYFUNCTION("REGEXREPLACE(B384, ""&lt;/loc&gt;"", """")"),"https://odysia-cruise-uk.client.prod.eu-west.dreamlake.io/cruise-lines/msc-cruises/msc-magnifica/cruises")</f>
        <v>https://odysia-cruise-uk.client.prod.eu-west.dreamlake.io/cruise-lines/msc-cruises/msc-magnifica/cruises</v>
      </c>
      <c r="D384" s="51" t="s">
        <v>1062</v>
      </c>
      <c r="E384" s="51" t="str">
        <f ca="1">IFERROR(__xludf.DUMMYFUNCTION("REGEXREPLACE(D384, ""https://odysia-cruise-uk.client.prod.eu-west.dreamlake.io"", """")"),"/cruise-lines/msc-cruises/msc-magnifica/cruises")</f>
        <v>/cruise-lines/msc-cruises/msc-magnifica/cruises</v>
      </c>
    </row>
    <row r="385" spans="1:5" ht="13">
      <c r="A385" s="100" t="s">
        <v>1063</v>
      </c>
      <c r="B385" s="51" t="str">
        <f ca="1">IFERROR(__xludf.DUMMYFUNCTION("REGEXREPLACE(A385, ""&lt;loc&gt;"", """")"),"https://odysia-cruise-uk.client.prod.eu-west.dreamlake.io/cruise-lines/regent-seven-seas-cruises/seven-seas-splendor&lt;/loc&gt;")</f>
        <v>https://odysia-cruise-uk.client.prod.eu-west.dreamlake.io/cruise-lines/regent-seven-seas-cruises/seven-seas-splendor&lt;/loc&gt;</v>
      </c>
      <c r="C385" s="101" t="str">
        <f ca="1">IFERROR(__xludf.DUMMYFUNCTION("REGEXREPLACE(B385, ""&lt;/loc&gt;"", """")"),"https://odysia-cruise-uk.client.prod.eu-west.dreamlake.io/cruise-lines/regent-seven-seas-cruises/seven-seas-splendor")</f>
        <v>https://odysia-cruise-uk.client.prod.eu-west.dreamlake.io/cruise-lines/regent-seven-seas-cruises/seven-seas-splendor</v>
      </c>
      <c r="D385" s="51" t="s">
        <v>1064</v>
      </c>
      <c r="E385" s="51" t="str">
        <f ca="1">IFERROR(__xludf.DUMMYFUNCTION("REGEXREPLACE(D385, ""https://odysia-cruise-uk.client.prod.eu-west.dreamlake.io"", """")"),"/cruise-lines/regent-seven-seas-cruises/seven-seas-splendor")</f>
        <v>/cruise-lines/regent-seven-seas-cruises/seven-seas-splendor</v>
      </c>
    </row>
    <row r="386" spans="1:5" ht="13">
      <c r="A386" s="100" t="s">
        <v>1065</v>
      </c>
      <c r="B386" s="51" t="str">
        <f ca="1">IFERROR(__xludf.DUMMYFUNCTION("REGEXREPLACE(A386, ""&lt;loc&gt;"", """")"),"https://odysia-cruise-uk.client.prod.eu-west.dreamlake.io/cruise-lines/celebrity-cruises/celebrity-millennium&lt;/loc&gt;")</f>
        <v>https://odysia-cruise-uk.client.prod.eu-west.dreamlake.io/cruise-lines/celebrity-cruises/celebrity-millennium&lt;/loc&gt;</v>
      </c>
      <c r="C386" s="101" t="str">
        <f ca="1">IFERROR(__xludf.DUMMYFUNCTION("REGEXREPLACE(B386, ""&lt;/loc&gt;"", """")"),"https://odysia-cruise-uk.client.prod.eu-west.dreamlake.io/cruise-lines/celebrity-cruises/celebrity-millennium")</f>
        <v>https://odysia-cruise-uk.client.prod.eu-west.dreamlake.io/cruise-lines/celebrity-cruises/celebrity-millennium</v>
      </c>
      <c r="D386" s="51" t="s">
        <v>1066</v>
      </c>
      <c r="E386" s="51" t="str">
        <f ca="1">IFERROR(__xludf.DUMMYFUNCTION("REGEXREPLACE(D386, ""https://odysia-cruise-uk.client.prod.eu-west.dreamlake.io"", """")"),"/cruise-lines/celebrity-cruises/celebrity-millennium")</f>
        <v>/cruise-lines/celebrity-cruises/celebrity-millennium</v>
      </c>
    </row>
    <row r="387" spans="1:5" ht="13">
      <c r="A387" s="100" t="s">
        <v>1067</v>
      </c>
      <c r="B387" s="51" t="str">
        <f ca="1">IFERROR(__xludf.DUMMYFUNCTION("REGEXREPLACE(A387, ""&lt;loc&gt;"", """")"),"https://odysia-cruise-uk.client.prod.eu-west.dreamlake.io/cruise-lines/oceania-cruises/oceania-riviera&lt;/loc&gt;")</f>
        <v>https://odysia-cruise-uk.client.prod.eu-west.dreamlake.io/cruise-lines/oceania-cruises/oceania-riviera&lt;/loc&gt;</v>
      </c>
      <c r="C387" s="101" t="str">
        <f ca="1">IFERROR(__xludf.DUMMYFUNCTION("REGEXREPLACE(B387, ""&lt;/loc&gt;"", """")"),"https://odysia-cruise-uk.client.prod.eu-west.dreamlake.io/cruise-lines/oceania-cruises/oceania-riviera")</f>
        <v>https://odysia-cruise-uk.client.prod.eu-west.dreamlake.io/cruise-lines/oceania-cruises/oceania-riviera</v>
      </c>
      <c r="D387" s="51" t="s">
        <v>1068</v>
      </c>
      <c r="E387" s="51" t="str">
        <f ca="1">IFERROR(__xludf.DUMMYFUNCTION("REGEXREPLACE(D387, ""https://odysia-cruise-uk.client.prod.eu-west.dreamlake.io"", """")"),"/cruise-lines/oceania-cruises/oceania-riviera")</f>
        <v>/cruise-lines/oceania-cruises/oceania-riviera</v>
      </c>
    </row>
    <row r="388" spans="1:5" ht="13">
      <c r="A388" s="100" t="s">
        <v>1069</v>
      </c>
      <c r="B388" s="51" t="str">
        <f ca="1">IFERROR(__xludf.DUMMYFUNCTION("REGEXREPLACE(A388, ""&lt;loc&gt;"", """")"),"https://odysia-cruise-uk.client.prod.eu-west.dreamlake.io/cruise-lines/holland-america-line/zuiderdam&lt;/loc&gt;")</f>
        <v>https://odysia-cruise-uk.client.prod.eu-west.dreamlake.io/cruise-lines/holland-america-line/zuiderdam&lt;/loc&gt;</v>
      </c>
      <c r="C388" s="101" t="str">
        <f ca="1">IFERROR(__xludf.DUMMYFUNCTION("REGEXREPLACE(B388, ""&lt;/loc&gt;"", """")"),"https://odysia-cruise-uk.client.prod.eu-west.dreamlake.io/cruise-lines/holland-america-line/zuiderdam")</f>
        <v>https://odysia-cruise-uk.client.prod.eu-west.dreamlake.io/cruise-lines/holland-america-line/zuiderdam</v>
      </c>
      <c r="D388" s="51" t="s">
        <v>1070</v>
      </c>
      <c r="E388" s="51" t="str">
        <f ca="1">IFERROR(__xludf.DUMMYFUNCTION("REGEXREPLACE(D388, ""https://odysia-cruise-uk.client.prod.eu-west.dreamlake.io"", """")"),"/cruise-lines/holland-america-line/zuiderdam")</f>
        <v>/cruise-lines/holland-america-line/zuiderdam</v>
      </c>
    </row>
    <row r="389" spans="1:5" ht="13">
      <c r="A389" s="100" t="s">
        <v>1071</v>
      </c>
      <c r="B389" s="51" t="str">
        <f ca="1">IFERROR(__xludf.DUMMYFUNCTION("REGEXREPLACE(A389, ""&lt;loc&gt;"", """")"),"https://odysia-cruise-uk.client.prod.eu-west.dreamlake.io/cruise-lines/royal-caribbean/brilliance-of-the-seas&lt;/loc&gt;")</f>
        <v>https://odysia-cruise-uk.client.prod.eu-west.dreamlake.io/cruise-lines/royal-caribbean/brilliance-of-the-seas&lt;/loc&gt;</v>
      </c>
      <c r="C389" s="101" t="str">
        <f ca="1">IFERROR(__xludf.DUMMYFUNCTION("REGEXREPLACE(B389, ""&lt;/loc&gt;"", """")"),"https://odysia-cruise-uk.client.prod.eu-west.dreamlake.io/cruise-lines/royal-caribbean/brilliance-of-the-seas")</f>
        <v>https://odysia-cruise-uk.client.prod.eu-west.dreamlake.io/cruise-lines/royal-caribbean/brilliance-of-the-seas</v>
      </c>
      <c r="D389" s="51" t="s">
        <v>1072</v>
      </c>
      <c r="E389" s="51" t="str">
        <f ca="1">IFERROR(__xludf.DUMMYFUNCTION("REGEXREPLACE(D389, ""https://odysia-cruise-uk.client.prod.eu-west.dreamlake.io"", """")"),"/cruise-lines/royal-caribbean/brilliance-of-the-seas")</f>
        <v>/cruise-lines/royal-caribbean/brilliance-of-the-seas</v>
      </c>
    </row>
    <row r="390" spans="1:5" ht="13">
      <c r="A390" s="100" t="s">
        <v>1073</v>
      </c>
      <c r="B390" s="51" t="str">
        <f ca="1">IFERROR(__xludf.DUMMYFUNCTION("REGEXREPLACE(A390, ""&lt;loc&gt;"", """")"),"https://odysia-cruise-uk.client.prod.eu-west.dreamlake.io/cruise-lines/cunard/queen-anne&lt;/loc&gt;")</f>
        <v>https://odysia-cruise-uk.client.prod.eu-west.dreamlake.io/cruise-lines/cunard/queen-anne&lt;/loc&gt;</v>
      </c>
      <c r="C390" s="101" t="str">
        <f ca="1">IFERROR(__xludf.DUMMYFUNCTION("REGEXREPLACE(B390, ""&lt;/loc&gt;"", """")"),"https://odysia-cruise-uk.client.prod.eu-west.dreamlake.io/cruise-lines/cunard/queen-anne")</f>
        <v>https://odysia-cruise-uk.client.prod.eu-west.dreamlake.io/cruise-lines/cunard/queen-anne</v>
      </c>
      <c r="D390" s="51" t="s">
        <v>1074</v>
      </c>
      <c r="E390" s="51" t="str">
        <f ca="1">IFERROR(__xludf.DUMMYFUNCTION("REGEXREPLACE(D390, ""https://odysia-cruise-uk.client.prod.eu-west.dreamlake.io"", """")"),"/cruise-lines/cunard/queen-anne")</f>
        <v>/cruise-lines/cunard/queen-anne</v>
      </c>
    </row>
    <row r="391" spans="1:5" ht="13">
      <c r="A391" s="100" t="s">
        <v>1075</v>
      </c>
      <c r="B391" s="51" t="str">
        <f ca="1">IFERROR(__xludf.DUMMYFUNCTION("REGEXREPLACE(A391, ""&lt;loc&gt;"", """")"),"https://odysia-cruise-uk.client.prod.eu-west.dreamlake.io/destinations/scandinavia-baltic-cruises&lt;/loc&gt;")</f>
        <v>https://odysia-cruise-uk.client.prod.eu-west.dreamlake.io/destinations/scandinavia-baltic-cruises&lt;/loc&gt;</v>
      </c>
      <c r="C391" s="101" t="str">
        <f ca="1">IFERROR(__xludf.DUMMYFUNCTION("REGEXREPLACE(B391, ""&lt;/loc&gt;"", """")"),"https://odysia-cruise-uk.client.prod.eu-west.dreamlake.io/destinations/scandinavia-baltic-cruises")</f>
        <v>https://odysia-cruise-uk.client.prod.eu-west.dreamlake.io/destinations/scandinavia-baltic-cruises</v>
      </c>
    </row>
    <row r="392" spans="1:5" ht="13">
      <c r="A392" s="100" t="s">
        <v>1076</v>
      </c>
      <c r="B392" s="51" t="str">
        <f ca="1">IFERROR(__xludf.DUMMYFUNCTION("REGEXREPLACE(A392, ""&lt;loc&gt;"", """")"),"https://odysia-cruise-uk.client.prod.eu-west.dreamlake.io/cruise-lines/princess-cruises/majestic-princess/cruises&lt;/loc&gt;")</f>
        <v>https://odysia-cruise-uk.client.prod.eu-west.dreamlake.io/cruise-lines/princess-cruises/majestic-princess/cruises&lt;/loc&gt;</v>
      </c>
      <c r="C392" s="101" t="str">
        <f ca="1">IFERROR(__xludf.DUMMYFUNCTION("REGEXREPLACE(B392, ""&lt;/loc&gt;"", """")"),"https://odysia-cruise-uk.client.prod.eu-west.dreamlake.io/cruise-lines/princess-cruises/majestic-princess/cruises")</f>
        <v>https://odysia-cruise-uk.client.prod.eu-west.dreamlake.io/cruise-lines/princess-cruises/majestic-princess/cruises</v>
      </c>
      <c r="D392" s="51" t="s">
        <v>1077</v>
      </c>
      <c r="E392" s="51" t="str">
        <f ca="1">IFERROR(__xludf.DUMMYFUNCTION("REGEXREPLACE(D392, ""https://odysia-cruise-uk.client.prod.eu-west.dreamlake.io"", """")"),"/cruise-lines/princess-cruises/majestic-princess/cruises")</f>
        <v>/cruise-lines/princess-cruises/majestic-princess/cruises</v>
      </c>
    </row>
    <row r="393" spans="1:5" ht="13">
      <c r="A393" s="100" t="s">
        <v>1078</v>
      </c>
      <c r="B393" s="51" t="str">
        <f ca="1">IFERROR(__xludf.DUMMYFUNCTION("REGEXREPLACE(A393, ""&lt;loc&gt;"", """")"),"https://odysia-cruise-uk.client.prod.eu-west.dreamlake.io/cruise-lines/msc-cruises/msc-seashore/cruises&lt;/loc&gt;")</f>
        <v>https://odysia-cruise-uk.client.prod.eu-west.dreamlake.io/cruise-lines/msc-cruises/msc-seashore/cruises&lt;/loc&gt;</v>
      </c>
      <c r="C393" s="101" t="str">
        <f ca="1">IFERROR(__xludf.DUMMYFUNCTION("REGEXREPLACE(B393, ""&lt;/loc&gt;"", """")"),"https://odysia-cruise-uk.client.prod.eu-west.dreamlake.io/cruise-lines/msc-cruises/msc-seashore/cruises")</f>
        <v>https://odysia-cruise-uk.client.prod.eu-west.dreamlake.io/cruise-lines/msc-cruises/msc-seashore/cruises</v>
      </c>
      <c r="D393" s="51" t="s">
        <v>1079</v>
      </c>
      <c r="E393" s="51" t="str">
        <f ca="1">IFERROR(__xludf.DUMMYFUNCTION("REGEXREPLACE(D393, ""https://odysia-cruise-uk.client.prod.eu-west.dreamlake.io"", """")"),"/cruise-lines/msc-cruises/msc-seashore/cruises")</f>
        <v>/cruise-lines/msc-cruises/msc-seashore/cruises</v>
      </c>
    </row>
    <row r="394" spans="1:5" ht="13">
      <c r="A394" s="100" t="s">
        <v>1080</v>
      </c>
      <c r="B394" s="51" t="str">
        <f ca="1">IFERROR(__xludf.DUMMYFUNCTION("REGEXREPLACE(A394, ""&lt;loc&gt;"", """")"),"https://odysia-cruise-uk.client.prod.eu-west.dreamlake.io/cruise-lines/princess-cruises/ruby-princess&lt;/loc&gt;")</f>
        <v>https://odysia-cruise-uk.client.prod.eu-west.dreamlake.io/cruise-lines/princess-cruises/ruby-princess&lt;/loc&gt;</v>
      </c>
      <c r="C394" s="101" t="str">
        <f ca="1">IFERROR(__xludf.DUMMYFUNCTION("REGEXREPLACE(B394, ""&lt;/loc&gt;"", """")"),"https://odysia-cruise-uk.client.prod.eu-west.dreamlake.io/cruise-lines/princess-cruises/ruby-princess")</f>
        <v>https://odysia-cruise-uk.client.prod.eu-west.dreamlake.io/cruise-lines/princess-cruises/ruby-princess</v>
      </c>
      <c r="D394" s="51" t="s">
        <v>1081</v>
      </c>
      <c r="E394" s="51" t="str">
        <f ca="1">IFERROR(__xludf.DUMMYFUNCTION("REGEXREPLACE(D394, ""https://odysia-cruise-uk.client.prod.eu-west.dreamlake.io"", """")"),"/cruise-lines/princess-cruises/ruby-princess")</f>
        <v>/cruise-lines/princess-cruises/ruby-princess</v>
      </c>
    </row>
    <row r="395" spans="1:5" ht="13">
      <c r="A395" s="100" t="s">
        <v>1082</v>
      </c>
      <c r="B395" s="51" t="str">
        <f ca="1">IFERROR(__xludf.DUMMYFUNCTION("REGEXREPLACE(A395, ""&lt;loc&gt;"", """")"),"https://odysia-cruise-uk.client.prod.eu-west.dreamlake.io/cruise-lines/holland-america-line/westerdam/cruises&lt;/loc&gt;")</f>
        <v>https://odysia-cruise-uk.client.prod.eu-west.dreamlake.io/cruise-lines/holland-america-line/westerdam/cruises&lt;/loc&gt;</v>
      </c>
      <c r="C395" s="101" t="str">
        <f ca="1">IFERROR(__xludf.DUMMYFUNCTION("REGEXREPLACE(B395, ""&lt;/loc&gt;"", """")"),"https://odysia-cruise-uk.client.prod.eu-west.dreamlake.io/cruise-lines/holland-america-line/westerdam/cruises")</f>
        <v>https://odysia-cruise-uk.client.prod.eu-west.dreamlake.io/cruise-lines/holland-america-line/westerdam/cruises</v>
      </c>
      <c r="D395" s="51" t="s">
        <v>1083</v>
      </c>
      <c r="E395" s="51" t="str">
        <f ca="1">IFERROR(__xludf.DUMMYFUNCTION("REGEXREPLACE(D395, ""https://odysia-cruise-uk.client.prod.eu-west.dreamlake.io"", """")"),"/cruise-lines/holland-america-line/westerdam/cruises")</f>
        <v>/cruise-lines/holland-america-line/westerdam/cruises</v>
      </c>
    </row>
    <row r="396" spans="1:5" ht="13">
      <c r="A396" s="100" t="s">
        <v>1084</v>
      </c>
      <c r="B396" s="51" t="str">
        <f ca="1">IFERROR(__xludf.DUMMYFUNCTION("REGEXREPLACE(A396, ""&lt;loc&gt;"", """")"),"https://odysia-cruise-uk.client.prod.eu-west.dreamlake.io/cruise-lines/royal-caribbean/jewel-of-the-seas&lt;/loc&gt;")</f>
        <v>https://odysia-cruise-uk.client.prod.eu-west.dreamlake.io/cruise-lines/royal-caribbean/jewel-of-the-seas&lt;/loc&gt;</v>
      </c>
      <c r="C396" s="101" t="str">
        <f ca="1">IFERROR(__xludf.DUMMYFUNCTION("REGEXREPLACE(B396, ""&lt;/loc&gt;"", """")"),"https://odysia-cruise-uk.client.prod.eu-west.dreamlake.io/cruise-lines/royal-caribbean/jewel-of-the-seas")</f>
        <v>https://odysia-cruise-uk.client.prod.eu-west.dreamlake.io/cruise-lines/royal-caribbean/jewel-of-the-seas</v>
      </c>
      <c r="D396" s="51" t="s">
        <v>1085</v>
      </c>
      <c r="E396" s="51" t="str">
        <f ca="1">IFERROR(__xludf.DUMMYFUNCTION("REGEXREPLACE(D396, ""https://odysia-cruise-uk.client.prod.eu-west.dreamlake.io"", """")"),"/cruise-lines/royal-caribbean/jewel-of-the-seas")</f>
        <v>/cruise-lines/royal-caribbean/jewel-of-the-seas</v>
      </c>
    </row>
    <row r="397" spans="1:5" ht="13">
      <c r="A397" s="100" t="s">
        <v>1086</v>
      </c>
      <c r="B397" s="51" t="str">
        <f ca="1">IFERROR(__xludf.DUMMYFUNCTION("REGEXREPLACE(A397, ""&lt;loc&gt;"", """")"),"https://odysia-cruise-uk.client.prod.eu-west.dreamlake.io/cruise-lines/azamara/azamara-journey&lt;/loc&gt;")</f>
        <v>https://odysia-cruise-uk.client.prod.eu-west.dreamlake.io/cruise-lines/azamara/azamara-journey&lt;/loc&gt;</v>
      </c>
      <c r="C397" s="101" t="str">
        <f ca="1">IFERROR(__xludf.DUMMYFUNCTION("REGEXREPLACE(B397, ""&lt;/loc&gt;"", """")"),"https://odysia-cruise-uk.client.prod.eu-west.dreamlake.io/cruise-lines/azamara/azamara-journey")</f>
        <v>https://odysia-cruise-uk.client.prod.eu-west.dreamlake.io/cruise-lines/azamara/azamara-journey</v>
      </c>
    </row>
    <row r="398" spans="1:5" ht="13">
      <c r="A398" s="100" t="s">
        <v>1087</v>
      </c>
      <c r="B398" s="51" t="str">
        <f ca="1">IFERROR(__xludf.DUMMYFUNCTION("REGEXREPLACE(A398, ""&lt;loc&gt;"", """")"),"https://odysia-cruise-uk.client.prod.eu-west.dreamlake.io/cruise-lines/oceania-cruises/oceania-marina/cruises&lt;/loc&gt;")</f>
        <v>https://odysia-cruise-uk.client.prod.eu-west.dreamlake.io/cruise-lines/oceania-cruises/oceania-marina/cruises&lt;/loc&gt;</v>
      </c>
      <c r="C398" s="101" t="str">
        <f ca="1">IFERROR(__xludf.DUMMYFUNCTION("REGEXREPLACE(B398, ""&lt;/loc&gt;"", """")"),"https://odysia-cruise-uk.client.prod.eu-west.dreamlake.io/cruise-lines/oceania-cruises/oceania-marina/cruises")</f>
        <v>https://odysia-cruise-uk.client.prod.eu-west.dreamlake.io/cruise-lines/oceania-cruises/oceania-marina/cruises</v>
      </c>
      <c r="D398" s="51" t="s">
        <v>1088</v>
      </c>
      <c r="E398" s="51" t="str">
        <f ca="1">IFERROR(__xludf.DUMMYFUNCTION("REGEXREPLACE(D398, ""https://odysia-cruise-uk.client.prod.eu-west.dreamlake.io"", """")"),"/cruise-lines/oceania-cruises/oceania-marina/cruises")</f>
        <v>/cruise-lines/oceania-cruises/oceania-marina/cruises</v>
      </c>
    </row>
    <row r="399" spans="1:5" ht="13">
      <c r="A399" s="100" t="s">
        <v>1089</v>
      </c>
      <c r="B399" s="51" t="str">
        <f ca="1">IFERROR(__xludf.DUMMYFUNCTION("REGEXREPLACE(A399, ""&lt;loc&gt;"", """")"),"https://odysia-cruise-uk.client.prod.eu-west.dreamlake.io/cruise-lines/norwegian-cruise-line/norwegian-joy&lt;/loc&gt;")</f>
        <v>https://odysia-cruise-uk.client.prod.eu-west.dreamlake.io/cruise-lines/norwegian-cruise-line/norwegian-joy&lt;/loc&gt;</v>
      </c>
      <c r="C399" s="101" t="str">
        <f ca="1">IFERROR(__xludf.DUMMYFUNCTION("REGEXREPLACE(B399, ""&lt;/loc&gt;"", """")"),"https://odysia-cruise-uk.client.prod.eu-west.dreamlake.io/cruise-lines/norwegian-cruise-line/norwegian-joy")</f>
        <v>https://odysia-cruise-uk.client.prod.eu-west.dreamlake.io/cruise-lines/norwegian-cruise-line/norwegian-joy</v>
      </c>
      <c r="D399" s="51" t="s">
        <v>1090</v>
      </c>
      <c r="E399" s="51" t="str">
        <f ca="1">IFERROR(__xludf.DUMMYFUNCTION("REGEXREPLACE(D399, ""https://odysia-cruise-uk.client.prod.eu-west.dreamlake.io"", """")"),"/cruise-lines/norwegian-cruise-line/norwegian-joy")</f>
        <v>/cruise-lines/norwegian-cruise-line/norwegian-joy</v>
      </c>
    </row>
    <row r="400" spans="1:5" ht="13">
      <c r="A400" s="100" t="s">
        <v>1091</v>
      </c>
      <c r="B400" s="51" t="str">
        <f ca="1">IFERROR(__xludf.DUMMYFUNCTION("REGEXREPLACE(A400, ""&lt;loc&gt;"", """")"),"https://odysia-cruise-uk.client.prod.eu-west.dreamlake.io/cruise-lines/costa-cruises/costa-serena&lt;/loc&gt;")</f>
        <v>https://odysia-cruise-uk.client.prod.eu-west.dreamlake.io/cruise-lines/costa-cruises/costa-serena&lt;/loc&gt;</v>
      </c>
      <c r="C400" s="101" t="str">
        <f ca="1">IFERROR(__xludf.DUMMYFUNCTION("REGEXREPLACE(B400, ""&lt;/loc&gt;"", """")"),"https://odysia-cruise-uk.client.prod.eu-west.dreamlake.io/cruise-lines/costa-cruises/costa-serena")</f>
        <v>https://odysia-cruise-uk.client.prod.eu-west.dreamlake.io/cruise-lines/costa-cruises/costa-serena</v>
      </c>
      <c r="D400" s="51" t="s">
        <v>1092</v>
      </c>
      <c r="E400" s="51" t="str">
        <f ca="1">IFERROR(__xludf.DUMMYFUNCTION("REGEXREPLACE(D400, ""https://odysia-cruise-uk.client.prod.eu-west.dreamlake.io"", """")"),"/cruise-lines/costa-cruises/costa-serena")</f>
        <v>/cruise-lines/costa-cruises/costa-serena</v>
      </c>
    </row>
    <row r="401" spans="1:5" ht="13">
      <c r="A401" s="100" t="s">
        <v>1093</v>
      </c>
      <c r="B401" s="51" t="str">
        <f ca="1">IFERROR(__xludf.DUMMYFUNCTION("REGEXREPLACE(A401, ""&lt;loc&gt;"", """")"),"https://odysia-cruise-uk.client.prod.eu-west.dreamlake.io/cruise-lines/royal-caribbean/cruises&lt;/loc&gt;")</f>
        <v>https://odysia-cruise-uk.client.prod.eu-west.dreamlake.io/cruise-lines/royal-caribbean/cruises&lt;/loc&gt;</v>
      </c>
      <c r="C401" s="101" t="str">
        <f ca="1">IFERROR(__xludf.DUMMYFUNCTION("REGEXREPLACE(B401, ""&lt;/loc&gt;"", """")"),"https://odysia-cruise-uk.client.prod.eu-west.dreamlake.io/cruise-lines/royal-caribbean/cruises")</f>
        <v>https://odysia-cruise-uk.client.prod.eu-west.dreamlake.io/cruise-lines/royal-caribbean/cruises</v>
      </c>
      <c r="D401" s="51" t="s">
        <v>1094</v>
      </c>
      <c r="E401" s="51" t="str">
        <f ca="1">IFERROR(__xludf.DUMMYFUNCTION("REGEXREPLACE(D401, ""https://odysia-cruise-uk.client.prod.eu-west.dreamlake.io"", """")"),"/cruise-lines/royal-caribbean/cruises")</f>
        <v>/cruise-lines/royal-caribbean/cruises</v>
      </c>
    </row>
    <row r="402" spans="1:5" ht="13">
      <c r="A402" s="100" t="s">
        <v>1095</v>
      </c>
      <c r="B402" s="51" t="str">
        <f ca="1">IFERROR(__xludf.DUMMYFUNCTION("REGEXREPLACE(A402, ""&lt;loc&gt;"", """")"),"https://odysia-cruise-uk.client.prod.eu-west.dreamlake.io/cruise-lines/celebrity-cruises/celebrity-equinox/cruises&lt;/loc&gt;")</f>
        <v>https://odysia-cruise-uk.client.prod.eu-west.dreamlake.io/cruise-lines/celebrity-cruises/celebrity-equinox/cruises&lt;/loc&gt;</v>
      </c>
      <c r="C402" s="101" t="str">
        <f ca="1">IFERROR(__xludf.DUMMYFUNCTION("REGEXREPLACE(B402, ""&lt;/loc&gt;"", """")"),"https://odysia-cruise-uk.client.prod.eu-west.dreamlake.io/cruise-lines/celebrity-cruises/celebrity-equinox/cruises")</f>
        <v>https://odysia-cruise-uk.client.prod.eu-west.dreamlake.io/cruise-lines/celebrity-cruises/celebrity-equinox/cruises</v>
      </c>
      <c r="D402" s="51" t="s">
        <v>1096</v>
      </c>
      <c r="E402" s="51" t="str">
        <f ca="1">IFERROR(__xludf.DUMMYFUNCTION("REGEXREPLACE(D402, ""https://odysia-cruise-uk.client.prod.eu-west.dreamlake.io"", """")"),"/cruise-lines/celebrity-cruises/celebrity-equinox/cruises")</f>
        <v>/cruise-lines/celebrity-cruises/celebrity-equinox/cruises</v>
      </c>
    </row>
    <row r="403" spans="1:5" ht="13">
      <c r="A403" s="100" t="s">
        <v>1097</v>
      </c>
      <c r="B403" s="51" t="str">
        <f ca="1">IFERROR(__xludf.DUMMYFUNCTION("REGEXREPLACE(A403, ""&lt;loc&gt;"", """")"),"https://odysia-cruise-uk.client.prod.eu-west.dreamlake.io/cruise-lines/msc-cruises/msc-world-america&lt;/loc&gt;")</f>
        <v>https://odysia-cruise-uk.client.prod.eu-west.dreamlake.io/cruise-lines/msc-cruises/msc-world-america&lt;/loc&gt;</v>
      </c>
      <c r="C403" s="101" t="str">
        <f ca="1">IFERROR(__xludf.DUMMYFUNCTION("REGEXREPLACE(B403, ""&lt;/loc&gt;"", """")"),"https://odysia-cruise-uk.client.prod.eu-west.dreamlake.io/cruise-lines/msc-cruises/msc-world-america")</f>
        <v>https://odysia-cruise-uk.client.prod.eu-west.dreamlake.io/cruise-lines/msc-cruises/msc-world-america</v>
      </c>
      <c r="D403" s="51" t="s">
        <v>1098</v>
      </c>
      <c r="E403" s="51" t="str">
        <f ca="1">IFERROR(__xludf.DUMMYFUNCTION("REGEXREPLACE(D403, ""https://odysia-cruise-uk.client.prod.eu-west.dreamlake.io"", """")"),"/cruise-lines/msc-cruises/msc-world-america")</f>
        <v>/cruise-lines/msc-cruises/msc-world-america</v>
      </c>
    </row>
    <row r="404" spans="1:5" ht="13">
      <c r="A404" s="100" t="s">
        <v>1099</v>
      </c>
      <c r="B404" s="51" t="str">
        <f ca="1">IFERROR(__xludf.DUMMYFUNCTION("REGEXREPLACE(A404, ""&lt;loc&gt;"", """")"),"https://odysia-cruise-uk.client.prod.eu-west.dreamlake.io/cruise-lines/msc-cruises/msc-grandiosa&lt;/loc&gt;")</f>
        <v>https://odysia-cruise-uk.client.prod.eu-west.dreamlake.io/cruise-lines/msc-cruises/msc-grandiosa&lt;/loc&gt;</v>
      </c>
      <c r="C404" s="101" t="str">
        <f ca="1">IFERROR(__xludf.DUMMYFUNCTION("REGEXREPLACE(B404, ""&lt;/loc&gt;"", """")"),"https://odysia-cruise-uk.client.prod.eu-west.dreamlake.io/cruise-lines/msc-cruises/msc-grandiosa")</f>
        <v>https://odysia-cruise-uk.client.prod.eu-west.dreamlake.io/cruise-lines/msc-cruises/msc-grandiosa</v>
      </c>
      <c r="D404" s="51" t="s">
        <v>1100</v>
      </c>
      <c r="E404" s="51" t="str">
        <f ca="1">IFERROR(__xludf.DUMMYFUNCTION("REGEXREPLACE(D404, ""https://odysia-cruise-uk.client.prod.eu-west.dreamlake.io"", """")"),"/cruise-lines/msc-cruises/msc-grandiosa")</f>
        <v>/cruise-lines/msc-cruises/msc-grandiosa</v>
      </c>
    </row>
    <row r="405" spans="1:5" ht="13">
      <c r="A405" s="100" t="s">
        <v>1101</v>
      </c>
      <c r="B405" s="51" t="str">
        <f ca="1">IFERROR(__xludf.DUMMYFUNCTION("REGEXREPLACE(A405, ""&lt;loc&gt;"", """")"),"https://odysia-cruise-uk.client.prod.eu-west.dreamlake.io/cruise-lines/celebrity-cruises/celebrity-summit/cruises&lt;/loc&gt;")</f>
        <v>https://odysia-cruise-uk.client.prod.eu-west.dreamlake.io/cruise-lines/celebrity-cruises/celebrity-summit/cruises&lt;/loc&gt;</v>
      </c>
      <c r="C405" s="101" t="str">
        <f ca="1">IFERROR(__xludf.DUMMYFUNCTION("REGEXREPLACE(B405, ""&lt;/loc&gt;"", """")"),"https://odysia-cruise-uk.client.prod.eu-west.dreamlake.io/cruise-lines/celebrity-cruises/celebrity-summit/cruises")</f>
        <v>https://odysia-cruise-uk.client.prod.eu-west.dreamlake.io/cruise-lines/celebrity-cruises/celebrity-summit/cruises</v>
      </c>
      <c r="D405" s="51" t="s">
        <v>1102</v>
      </c>
      <c r="E405" s="51" t="str">
        <f ca="1">IFERROR(__xludf.DUMMYFUNCTION("REGEXREPLACE(D405, ""https://odysia-cruise-uk.client.prod.eu-west.dreamlake.io"", """")"),"/cruise-lines/celebrity-cruises/celebrity-summit/cruises")</f>
        <v>/cruise-lines/celebrity-cruises/celebrity-summit/cruises</v>
      </c>
    </row>
    <row r="406" spans="1:5" ht="13">
      <c r="A406" s="100" t="s">
        <v>1103</v>
      </c>
      <c r="B406" s="51" t="str">
        <f ca="1">IFERROR(__xludf.DUMMYFUNCTION("REGEXREPLACE(A406, ""&lt;loc&gt;"", """")"),"https://odysia-cruise-uk.client.prod.eu-west.dreamlake.io/cruise-lines/norwegian-cruise-line/norwegian-pearl/cruises&lt;/loc&gt;")</f>
        <v>https://odysia-cruise-uk.client.prod.eu-west.dreamlake.io/cruise-lines/norwegian-cruise-line/norwegian-pearl/cruises&lt;/loc&gt;</v>
      </c>
      <c r="C406" s="101" t="str">
        <f ca="1">IFERROR(__xludf.DUMMYFUNCTION("REGEXREPLACE(B406, ""&lt;/loc&gt;"", """")"),"https://odysia-cruise-uk.client.prod.eu-west.dreamlake.io/cruise-lines/norwegian-cruise-line/norwegian-pearl/cruises")</f>
        <v>https://odysia-cruise-uk.client.prod.eu-west.dreamlake.io/cruise-lines/norwegian-cruise-line/norwegian-pearl/cruises</v>
      </c>
      <c r="D406" s="51" t="s">
        <v>1104</v>
      </c>
      <c r="E406" s="51" t="str">
        <f ca="1">IFERROR(__xludf.DUMMYFUNCTION("REGEXREPLACE(D406, ""https://odysia-cruise-uk.client.prod.eu-west.dreamlake.io"", """")"),"/cruise-lines/norwegian-cruise-line/norwegian-pearl/cruises")</f>
        <v>/cruise-lines/norwegian-cruise-line/norwegian-pearl/cruises</v>
      </c>
    </row>
    <row r="407" spans="1:5" ht="13">
      <c r="A407" s="100" t="s">
        <v>973</v>
      </c>
      <c r="B407" s="51" t="str">
        <f ca="1">IFERROR(__xludf.DUMMYFUNCTION("REGEXREPLACE(A407, ""&lt;loc&gt;"", """")"),"https://odysia-cruise-uk.client.prod.eu-west.dreamlake.io/cruises&lt;/loc&gt;")</f>
        <v>https://odysia-cruise-uk.client.prod.eu-west.dreamlake.io/cruises&lt;/loc&gt;</v>
      </c>
      <c r="C407" s="101" t="str">
        <f ca="1">IFERROR(__xludf.DUMMYFUNCTION("REGEXREPLACE(B407, ""&lt;/loc&gt;"", """")"),"https://odysia-cruise-uk.client.prod.eu-west.dreamlake.io/cruises")</f>
        <v>https://odysia-cruise-uk.client.prod.eu-west.dreamlake.io/cruises</v>
      </c>
    </row>
    <row r="408" spans="1:5" ht="13">
      <c r="A408" s="100" t="s">
        <v>1105</v>
      </c>
      <c r="B408" s="51" t="str">
        <f ca="1">IFERROR(__xludf.DUMMYFUNCTION("REGEXREPLACE(A408, ""&lt;loc&gt;"", """")"),"https://odysia-cruise-uk.client.prod.eu-west.dreamlake.io/cruise-lines/princess-cruises/royal-princess&lt;/loc&gt;")</f>
        <v>https://odysia-cruise-uk.client.prod.eu-west.dreamlake.io/cruise-lines/princess-cruises/royal-princess&lt;/loc&gt;</v>
      </c>
      <c r="C408" s="101" t="str">
        <f ca="1">IFERROR(__xludf.DUMMYFUNCTION("REGEXREPLACE(B408, ""&lt;/loc&gt;"", """")"),"https://odysia-cruise-uk.client.prod.eu-west.dreamlake.io/cruise-lines/princess-cruises/royal-princess")</f>
        <v>https://odysia-cruise-uk.client.prod.eu-west.dreamlake.io/cruise-lines/princess-cruises/royal-princess</v>
      </c>
      <c r="D408" s="51" t="s">
        <v>1106</v>
      </c>
      <c r="E408" s="51" t="str">
        <f ca="1">IFERROR(__xludf.DUMMYFUNCTION("REGEXREPLACE(D408, ""https://odysia-cruise-uk.client.prod.eu-west.dreamlake.io"", """")"),"/cruise-lines/princess-cruises/royal-princess")</f>
        <v>/cruise-lines/princess-cruises/royal-princess</v>
      </c>
    </row>
    <row r="409" spans="1:5" ht="13">
      <c r="A409" s="100" t="s">
        <v>1107</v>
      </c>
      <c r="B409" s="51" t="str">
        <f ca="1">IFERROR(__xludf.DUMMYFUNCTION("REGEXREPLACE(A409, ""&lt;loc&gt;"", """")"),"https://odysia-cruise-uk.client.prod.eu-west.dreamlake.io/cruise-lines/virgin-voyages/brilliant-lady&lt;/loc&gt;")</f>
        <v>https://odysia-cruise-uk.client.prod.eu-west.dreamlake.io/cruise-lines/virgin-voyages/brilliant-lady&lt;/loc&gt;</v>
      </c>
      <c r="C409" s="101" t="str">
        <f ca="1">IFERROR(__xludf.DUMMYFUNCTION("REGEXREPLACE(B409, ""&lt;/loc&gt;"", """")"),"https://odysia-cruise-uk.client.prod.eu-west.dreamlake.io/cruise-lines/virgin-voyages/brilliant-lady")</f>
        <v>https://odysia-cruise-uk.client.prod.eu-west.dreamlake.io/cruise-lines/virgin-voyages/brilliant-lady</v>
      </c>
      <c r="D409" s="51" t="s">
        <v>1108</v>
      </c>
      <c r="E409" s="51" t="str">
        <f ca="1">IFERROR(__xludf.DUMMYFUNCTION("REGEXREPLACE(D409, ""https://odysia-cruise-uk.client.prod.eu-west.dreamlake.io"", """")"),"/cruise-lines/virgin-voyages/brilliant-lady")</f>
        <v>/cruise-lines/virgin-voyages/brilliant-lady</v>
      </c>
    </row>
    <row r="410" spans="1:5" ht="13">
      <c r="A410" s="100" t="s">
        <v>1109</v>
      </c>
      <c r="B410" s="51" t="str">
        <f ca="1">IFERROR(__xludf.DUMMYFUNCTION("REGEXREPLACE(A410, ""&lt;loc&gt;"", """")"),"https://odysia-cruise-uk.client.prod.eu-west.dreamlake.io/cruise-lines/royal-caribbean/wonder-of-the-seas&lt;/loc&gt;")</f>
        <v>https://odysia-cruise-uk.client.prod.eu-west.dreamlake.io/cruise-lines/royal-caribbean/wonder-of-the-seas&lt;/loc&gt;</v>
      </c>
      <c r="C410" s="101" t="str">
        <f ca="1">IFERROR(__xludf.DUMMYFUNCTION("REGEXREPLACE(B410, ""&lt;/loc&gt;"", """")"),"https://odysia-cruise-uk.client.prod.eu-west.dreamlake.io/cruise-lines/royal-caribbean/wonder-of-the-seas")</f>
        <v>https://odysia-cruise-uk.client.prod.eu-west.dreamlake.io/cruise-lines/royal-caribbean/wonder-of-the-seas</v>
      </c>
      <c r="D410" s="51" t="s">
        <v>1110</v>
      </c>
      <c r="E410" s="51" t="str">
        <f ca="1">IFERROR(__xludf.DUMMYFUNCTION("REGEXREPLACE(D410, ""https://odysia-cruise-uk.client.prod.eu-west.dreamlake.io"", """")"),"/cruise-lines/royal-caribbean/wonder-of-the-seas")</f>
        <v>/cruise-lines/royal-caribbean/wonder-of-the-seas</v>
      </c>
    </row>
    <row r="411" spans="1:5" ht="13">
      <c r="A411" s="100" t="s">
        <v>1111</v>
      </c>
      <c r="B411" s="51" t="str">
        <f ca="1">IFERROR(__xludf.DUMMYFUNCTION("REGEXREPLACE(A411, ""&lt;loc&gt;"", """")"),"https://odysia-cruise-uk.client.prod.eu-west.dreamlake.io/cruise-lines/azamara/azamara-pursuit&lt;/loc&gt;")</f>
        <v>https://odysia-cruise-uk.client.prod.eu-west.dreamlake.io/cruise-lines/azamara/azamara-pursuit&lt;/loc&gt;</v>
      </c>
      <c r="C411" s="101" t="str">
        <f ca="1">IFERROR(__xludf.DUMMYFUNCTION("REGEXREPLACE(B411, ""&lt;/loc&gt;"", """")"),"https://odysia-cruise-uk.client.prod.eu-west.dreamlake.io/cruise-lines/azamara/azamara-pursuit")</f>
        <v>https://odysia-cruise-uk.client.prod.eu-west.dreamlake.io/cruise-lines/azamara/azamara-pursuit</v>
      </c>
    </row>
    <row r="412" spans="1:5" ht="13">
      <c r="A412" s="100" t="s">
        <v>1112</v>
      </c>
      <c r="B412" s="51" t="str">
        <f ca="1">IFERROR(__xludf.DUMMYFUNCTION("REGEXREPLACE(A412, ""&lt;loc&gt;"", """")"),"https://odysia-cruise-uk.client.prod.eu-west.dreamlake.io/cruise-lines/po-cruises&lt;/loc&gt;")</f>
        <v>https://odysia-cruise-uk.client.prod.eu-west.dreamlake.io/cruise-lines/po-cruises&lt;/loc&gt;</v>
      </c>
      <c r="C412" s="101" t="str">
        <f ca="1">IFERROR(__xludf.DUMMYFUNCTION("REGEXREPLACE(B412, ""&lt;/loc&gt;"", """")"),"https://odysia-cruise-uk.client.prod.eu-west.dreamlake.io/cruise-lines/po-cruises")</f>
        <v>https://odysia-cruise-uk.client.prod.eu-west.dreamlake.io/cruise-lines/po-cruises</v>
      </c>
      <c r="D412" s="51" t="s">
        <v>1113</v>
      </c>
      <c r="E412" s="51" t="str">
        <f ca="1">IFERROR(__xludf.DUMMYFUNCTION("REGEXREPLACE(D412, ""https://odysia-cruise-uk.client.prod.eu-west.dreamlake.io"", """")"),"/cruise-lines/po-cruises")</f>
        <v>/cruise-lines/po-cruises</v>
      </c>
    </row>
    <row r="413" spans="1:5" ht="13">
      <c r="A413" s="100" t="s">
        <v>1114</v>
      </c>
      <c r="B413" s="51" t="str">
        <f ca="1">IFERROR(__xludf.DUMMYFUNCTION("REGEXREPLACE(A413, ""&lt;loc&gt;"", """")"),"https://odysia-cruise-uk.client.prod.eu-west.dreamlake.io/cruise-lines/seabourn/seabourn-encore/cruises&lt;/loc&gt;")</f>
        <v>https://odysia-cruise-uk.client.prod.eu-west.dreamlake.io/cruise-lines/seabourn/seabourn-encore/cruises&lt;/loc&gt;</v>
      </c>
      <c r="C413" s="101" t="str">
        <f ca="1">IFERROR(__xludf.DUMMYFUNCTION("REGEXREPLACE(B413, ""&lt;/loc&gt;"", """")"),"https://odysia-cruise-uk.client.prod.eu-west.dreamlake.io/cruise-lines/seabourn/seabourn-encore/cruises")</f>
        <v>https://odysia-cruise-uk.client.prod.eu-west.dreamlake.io/cruise-lines/seabourn/seabourn-encore/cruises</v>
      </c>
      <c r="D413" s="51" t="s">
        <v>1115</v>
      </c>
      <c r="E413" s="51" t="str">
        <f ca="1">IFERROR(__xludf.DUMMYFUNCTION("REGEXREPLACE(D413, ""https://odysia-cruise-uk.client.prod.eu-west.dreamlake.io"", """")"),"/cruise-lines/seabourn/seabourn-encore/cruises")</f>
        <v>/cruise-lines/seabourn/seabourn-encore/cruises</v>
      </c>
    </row>
    <row r="414" spans="1:5" ht="13">
      <c r="A414" s="100" t="s">
        <v>1116</v>
      </c>
      <c r="B414" s="51" t="str">
        <f ca="1">IFERROR(__xludf.DUMMYFUNCTION("REGEXREPLACE(A414, ""&lt;loc&gt;"", """")"),"https://odysia-cruise-uk.client.prod.eu-west.dreamlake.io/cruise-lines/regent-seven-seas-cruises/seven-seas-navigator&lt;/loc&gt;")</f>
        <v>https://odysia-cruise-uk.client.prod.eu-west.dreamlake.io/cruise-lines/regent-seven-seas-cruises/seven-seas-navigator&lt;/loc&gt;</v>
      </c>
      <c r="C414" s="101" t="str">
        <f ca="1">IFERROR(__xludf.DUMMYFUNCTION("REGEXREPLACE(B414, ""&lt;/loc&gt;"", """")"),"https://odysia-cruise-uk.client.prod.eu-west.dreamlake.io/cruise-lines/regent-seven-seas-cruises/seven-seas-navigator")</f>
        <v>https://odysia-cruise-uk.client.prod.eu-west.dreamlake.io/cruise-lines/regent-seven-seas-cruises/seven-seas-navigator</v>
      </c>
      <c r="D414" s="51" t="s">
        <v>1117</v>
      </c>
      <c r="E414" s="51" t="str">
        <f ca="1">IFERROR(__xludf.DUMMYFUNCTION("REGEXREPLACE(D414, ""https://odysia-cruise-uk.client.prod.eu-west.dreamlake.io"", """")"),"/cruise-lines/regent-seven-seas-cruises/seven-seas-navigator")</f>
        <v>/cruise-lines/regent-seven-seas-cruises/seven-seas-navigator</v>
      </c>
    </row>
    <row r="415" spans="1:5" ht="13">
      <c r="A415" s="100" t="s">
        <v>1118</v>
      </c>
      <c r="B415" s="51" t="str">
        <f ca="1">IFERROR(__xludf.DUMMYFUNCTION("REGEXREPLACE(A415, ""&lt;loc&gt;"", """")"),"https://odysia-cruise-uk.client.prod.eu-west.dreamlake.io/cruise-deals&lt;/loc&gt;")</f>
        <v>https://odysia-cruise-uk.client.prod.eu-west.dreamlake.io/cruise-deals&lt;/loc&gt;</v>
      </c>
      <c r="C415" s="101" t="str">
        <f ca="1">IFERROR(__xludf.DUMMYFUNCTION("REGEXREPLACE(B415, ""&lt;/loc&gt;"", """")"),"https://odysia-cruise-uk.client.prod.eu-west.dreamlake.io/cruise-deals")</f>
        <v>https://odysia-cruise-uk.client.prod.eu-west.dreamlake.io/cruise-deals</v>
      </c>
      <c r="D415" s="51" t="s">
        <v>1119</v>
      </c>
    </row>
    <row r="416" spans="1:5" ht="13">
      <c r="A416" s="100" t="s">
        <v>1120</v>
      </c>
      <c r="B416" s="51" t="str">
        <f ca="1">IFERROR(__xludf.DUMMYFUNCTION("REGEXREPLACE(A416, ""&lt;loc&gt;"", """")"),"https://odysia-cruise-uk.client.prod.eu-west.dreamlake.io/cruise-lines/princess-cruises/enchanted-princess/cruises&lt;/loc&gt;")</f>
        <v>https://odysia-cruise-uk.client.prod.eu-west.dreamlake.io/cruise-lines/princess-cruises/enchanted-princess/cruises&lt;/loc&gt;</v>
      </c>
      <c r="C416" s="101" t="str">
        <f ca="1">IFERROR(__xludf.DUMMYFUNCTION("REGEXREPLACE(B416, ""&lt;/loc&gt;"", """")"),"https://odysia-cruise-uk.client.prod.eu-west.dreamlake.io/cruise-lines/princess-cruises/enchanted-princess/cruises")</f>
        <v>https://odysia-cruise-uk.client.prod.eu-west.dreamlake.io/cruise-lines/princess-cruises/enchanted-princess/cruises</v>
      </c>
      <c r="D416" s="51" t="s">
        <v>1121</v>
      </c>
      <c r="E416" s="51" t="str">
        <f ca="1">IFERROR(__xludf.DUMMYFUNCTION("REGEXREPLACE(D416, ""https://odysia-cruise-uk.client.prod.eu-west.dreamlake.io"", """")"),"/cruise-lines/princess-cruises/enchanted-princess/cruises")</f>
        <v>/cruise-lines/princess-cruises/enchanted-princess/cruises</v>
      </c>
    </row>
    <row r="417" spans="1:5" ht="13">
      <c r="A417" s="100" t="s">
        <v>1122</v>
      </c>
      <c r="B417" s="51" t="str">
        <f ca="1">IFERROR(__xludf.DUMMYFUNCTION("REGEXREPLACE(A417, ""&lt;loc&gt;"", """")"),"https://odysia-cruise-uk.client.prod.eu-west.dreamlake.io/cruise-lines/royal-caribbean/harmony-of-the-seas&lt;/loc&gt;")</f>
        <v>https://odysia-cruise-uk.client.prod.eu-west.dreamlake.io/cruise-lines/royal-caribbean/harmony-of-the-seas&lt;/loc&gt;</v>
      </c>
      <c r="C417" s="101" t="str">
        <f ca="1">IFERROR(__xludf.DUMMYFUNCTION("REGEXREPLACE(B417, ""&lt;/loc&gt;"", """")"),"https://odysia-cruise-uk.client.prod.eu-west.dreamlake.io/cruise-lines/royal-caribbean/harmony-of-the-seas")</f>
        <v>https://odysia-cruise-uk.client.prod.eu-west.dreamlake.io/cruise-lines/royal-caribbean/harmony-of-the-seas</v>
      </c>
      <c r="D417" s="51" t="s">
        <v>1123</v>
      </c>
      <c r="E417" s="51" t="str">
        <f ca="1">IFERROR(__xludf.DUMMYFUNCTION("REGEXREPLACE(D417, ""https://odysia-cruise-uk.client.prod.eu-west.dreamlake.io"", """")"),"/cruise-lines/royal-caribbean/harmony-of-the-seas")</f>
        <v>/cruise-lines/royal-caribbean/harmony-of-the-seas</v>
      </c>
    </row>
    <row r="418" spans="1:5" ht="13">
      <c r="A418" s="100" t="s">
        <v>1124</v>
      </c>
      <c r="B418" s="51" t="str">
        <f ca="1">IFERROR(__xludf.DUMMYFUNCTION("REGEXREPLACE(A418, ""&lt;loc&gt;"", """")"),"https://odysia-cruise-uk.client.prod.eu-west.dreamlake.io/destinations/world-cruise&lt;/loc&gt;")</f>
        <v>https://odysia-cruise-uk.client.prod.eu-west.dreamlake.io/destinations/world-cruise&lt;/loc&gt;</v>
      </c>
      <c r="C418" s="101" t="str">
        <f ca="1">IFERROR(__xludf.DUMMYFUNCTION("REGEXREPLACE(B418, ""&lt;/loc&gt;"", """")"),"https://odysia-cruise-uk.client.prod.eu-west.dreamlake.io/destinations/world-cruise")</f>
        <v>https://odysia-cruise-uk.client.prod.eu-west.dreamlake.io/destinations/world-cruise</v>
      </c>
    </row>
    <row r="419" spans="1:5" ht="13">
      <c r="A419" s="100" t="s">
        <v>1125</v>
      </c>
      <c r="B419" s="51" t="str">
        <f ca="1">IFERROR(__xludf.DUMMYFUNCTION("REGEXREPLACE(A419, ""&lt;loc&gt;"", """")"),"https://odysia-cruise-uk.client.prod.eu-west.dreamlake.io/cruise-lines/princess-cruises/cruises&lt;/loc&gt;")</f>
        <v>https://odysia-cruise-uk.client.prod.eu-west.dreamlake.io/cruise-lines/princess-cruises/cruises&lt;/loc&gt;</v>
      </c>
      <c r="C419" s="101" t="str">
        <f ca="1">IFERROR(__xludf.DUMMYFUNCTION("REGEXREPLACE(B419, ""&lt;/loc&gt;"", """")"),"https://odysia-cruise-uk.client.prod.eu-west.dreamlake.io/cruise-lines/princess-cruises/cruises")</f>
        <v>https://odysia-cruise-uk.client.prod.eu-west.dreamlake.io/cruise-lines/princess-cruises/cruises</v>
      </c>
      <c r="D419" s="51" t="s">
        <v>1126</v>
      </c>
      <c r="E419" s="51" t="str">
        <f ca="1">IFERROR(__xludf.DUMMYFUNCTION("REGEXREPLACE(D419, ""https://odysia-cruise-uk.client.prod.eu-west.dreamlake.io"", """")"),"/cruise-lines/princess-cruises/cruises")</f>
        <v>/cruise-lines/princess-cruises/cruises</v>
      </c>
    </row>
    <row r="420" spans="1:5" ht="13">
      <c r="A420" s="100" t="s">
        <v>1127</v>
      </c>
      <c r="B420" s="51" t="str">
        <f ca="1">IFERROR(__xludf.DUMMYFUNCTION("REGEXREPLACE(A420, ""&lt;loc&gt;"", """")"),"https://odysia-cruise-uk.client.prod.eu-west.dreamlake.io/cruise-lines/msc-cruises/msc-lirica/cruises&lt;/loc&gt;")</f>
        <v>https://odysia-cruise-uk.client.prod.eu-west.dreamlake.io/cruise-lines/msc-cruises/msc-lirica/cruises&lt;/loc&gt;</v>
      </c>
      <c r="C420" s="101" t="str">
        <f ca="1">IFERROR(__xludf.DUMMYFUNCTION("REGEXREPLACE(B420, ""&lt;/loc&gt;"", """")"),"https://odysia-cruise-uk.client.prod.eu-west.dreamlake.io/cruise-lines/msc-cruises/msc-lirica/cruises")</f>
        <v>https://odysia-cruise-uk.client.prod.eu-west.dreamlake.io/cruise-lines/msc-cruises/msc-lirica/cruises</v>
      </c>
      <c r="D420" s="51" t="s">
        <v>1128</v>
      </c>
      <c r="E420" s="51" t="str">
        <f ca="1">IFERROR(__xludf.DUMMYFUNCTION("REGEXREPLACE(D420, ""https://odysia-cruise-uk.client.prod.eu-west.dreamlake.io"", """")"),"/cruise-lines/msc-cruises/msc-lirica/cruises")</f>
        <v>/cruise-lines/msc-cruises/msc-lirica/cruises</v>
      </c>
    </row>
    <row r="421" spans="1:5" ht="13">
      <c r="A421" s="100" t="s">
        <v>1129</v>
      </c>
      <c r="B421" s="51" t="str">
        <f ca="1">IFERROR(__xludf.DUMMYFUNCTION("REGEXREPLACE(A421, ""&lt;loc&gt;"", """")"),"https://odysia-cruise-uk.client.prod.eu-west.dreamlake.io/cruise-lines/msc-cruises/msc-world-america/cruises&lt;/loc&gt;")</f>
        <v>https://odysia-cruise-uk.client.prod.eu-west.dreamlake.io/cruise-lines/msc-cruises/msc-world-america/cruises&lt;/loc&gt;</v>
      </c>
      <c r="C421" s="101" t="str">
        <f ca="1">IFERROR(__xludf.DUMMYFUNCTION("REGEXREPLACE(B421, ""&lt;/loc&gt;"", """")"),"https://odysia-cruise-uk.client.prod.eu-west.dreamlake.io/cruise-lines/msc-cruises/msc-world-america/cruises")</f>
        <v>https://odysia-cruise-uk.client.prod.eu-west.dreamlake.io/cruise-lines/msc-cruises/msc-world-america/cruises</v>
      </c>
      <c r="D421" s="51" t="s">
        <v>1130</v>
      </c>
      <c r="E421" s="51" t="str">
        <f ca="1">IFERROR(__xludf.DUMMYFUNCTION("REGEXREPLACE(D421, ""https://odysia-cruise-uk.client.prod.eu-west.dreamlake.io"", """")"),"/cruise-lines/msc-cruises/msc-world-america/cruises")</f>
        <v>/cruise-lines/msc-cruises/msc-world-america/cruises</v>
      </c>
    </row>
    <row r="422" spans="1:5" ht="13">
      <c r="A422" s="100" t="s">
        <v>1131</v>
      </c>
      <c r="B422" s="51" t="str">
        <f ca="1">IFERROR(__xludf.DUMMYFUNCTION("REGEXREPLACE(A422, ""&lt;loc&gt;"", """")"),"https://odysia-cruise-uk.client.prod.eu-west.dreamlake.io/cruise-lines/holland-america-line/westerdam&lt;/loc&gt;")</f>
        <v>https://odysia-cruise-uk.client.prod.eu-west.dreamlake.io/cruise-lines/holland-america-line/westerdam&lt;/loc&gt;</v>
      </c>
      <c r="C422" s="101" t="str">
        <f ca="1">IFERROR(__xludf.DUMMYFUNCTION("REGEXREPLACE(B422, ""&lt;/loc&gt;"", """")"),"https://odysia-cruise-uk.client.prod.eu-west.dreamlake.io/cruise-lines/holland-america-line/westerdam")</f>
        <v>https://odysia-cruise-uk.client.prod.eu-west.dreamlake.io/cruise-lines/holland-america-line/westerdam</v>
      </c>
      <c r="D422" s="51" t="s">
        <v>1132</v>
      </c>
      <c r="E422" s="51" t="str">
        <f ca="1">IFERROR(__xludf.DUMMYFUNCTION("REGEXREPLACE(D422, ""https://odysia-cruise-uk.client.prod.eu-west.dreamlake.io"", """")"),"/cruise-lines/holland-america-line/westerdam")</f>
        <v>/cruise-lines/holland-america-line/westerdam</v>
      </c>
    </row>
    <row r="423" spans="1:5" ht="13">
      <c r="A423" s="100" t="s">
        <v>1133</v>
      </c>
      <c r="B423" s="51" t="str">
        <f ca="1">IFERROR(__xludf.DUMMYFUNCTION("REGEXREPLACE(A423, ""&lt;loc&gt;"", """")"),"https://odysia-cruise-uk.client.prod.eu-west.dreamlake.io/cruise-lines/seabourn/seabourn-pursuit&lt;/loc&gt;")</f>
        <v>https://odysia-cruise-uk.client.prod.eu-west.dreamlake.io/cruise-lines/seabourn/seabourn-pursuit&lt;/loc&gt;</v>
      </c>
      <c r="C423" s="101" t="str">
        <f ca="1">IFERROR(__xludf.DUMMYFUNCTION("REGEXREPLACE(B423, ""&lt;/loc&gt;"", """")"),"https://odysia-cruise-uk.client.prod.eu-west.dreamlake.io/cruise-lines/seabourn/seabourn-pursuit")</f>
        <v>https://odysia-cruise-uk.client.prod.eu-west.dreamlake.io/cruise-lines/seabourn/seabourn-pursuit</v>
      </c>
      <c r="D423" s="51" t="s">
        <v>1134</v>
      </c>
      <c r="E423" s="51" t="str">
        <f ca="1">IFERROR(__xludf.DUMMYFUNCTION("REGEXREPLACE(D423, ""https://odysia-cruise-uk.client.prod.eu-west.dreamlake.io"", """")"),"/cruise-lines/seabourn/seabourn-pursuit")</f>
        <v>/cruise-lines/seabourn/seabourn-pursuit</v>
      </c>
    </row>
    <row r="424" spans="1:5" ht="13">
      <c r="A424" s="100" t="s">
        <v>1135</v>
      </c>
      <c r="B424" s="51" t="str">
        <f ca="1">IFERROR(__xludf.DUMMYFUNCTION("REGEXREPLACE(A424, ""&lt;loc&gt;"", """")"),"https://odysia-cruise-uk.client.prod.eu-west.dreamlake.io/cruise-lines/explora-journeys/explora-ii/cruises&lt;/loc&gt;")</f>
        <v>https://odysia-cruise-uk.client.prod.eu-west.dreamlake.io/cruise-lines/explora-journeys/explora-ii/cruises&lt;/loc&gt;</v>
      </c>
      <c r="C424" s="101" t="str">
        <f ca="1">IFERROR(__xludf.DUMMYFUNCTION("REGEXREPLACE(B424, ""&lt;/loc&gt;"", """")"),"https://odysia-cruise-uk.client.prod.eu-west.dreamlake.io/cruise-lines/explora-journeys/explora-ii/cruises")</f>
        <v>https://odysia-cruise-uk.client.prod.eu-west.dreamlake.io/cruise-lines/explora-journeys/explora-ii/cruises</v>
      </c>
      <c r="D424" s="51" t="s">
        <v>1136</v>
      </c>
      <c r="E424" s="51" t="str">
        <f ca="1">IFERROR(__xludf.DUMMYFUNCTION("REGEXREPLACE(D424, ""https://odysia-cruise-uk.client.prod.eu-west.dreamlake.io"", """")"),"/cruise-lines/explora-journeys/explora-ii/cruises")</f>
        <v>/cruise-lines/explora-journeys/explora-ii/cruises</v>
      </c>
    </row>
    <row r="425" spans="1:5" ht="13">
      <c r="A425" s="100" t="s">
        <v>1137</v>
      </c>
      <c r="B425" s="51" t="str">
        <f ca="1">IFERROR(__xludf.DUMMYFUNCTION("REGEXREPLACE(A425, ""&lt;loc&gt;"", """")"),"https://odysia-cruise-uk.client.prod.eu-west.dreamlake.io/cruise-lines/holland-america-line/oosterdam&lt;/loc&gt;")</f>
        <v>https://odysia-cruise-uk.client.prod.eu-west.dreamlake.io/cruise-lines/holland-america-line/oosterdam&lt;/loc&gt;</v>
      </c>
      <c r="C425" s="101" t="str">
        <f ca="1">IFERROR(__xludf.DUMMYFUNCTION("REGEXREPLACE(B425, ""&lt;/loc&gt;"", """")"),"https://odysia-cruise-uk.client.prod.eu-west.dreamlake.io/cruise-lines/holland-america-line/oosterdam")</f>
        <v>https://odysia-cruise-uk.client.prod.eu-west.dreamlake.io/cruise-lines/holland-america-line/oosterdam</v>
      </c>
      <c r="D425" s="51" t="s">
        <v>1138</v>
      </c>
      <c r="E425" s="51" t="str">
        <f ca="1">IFERROR(__xludf.DUMMYFUNCTION("REGEXREPLACE(D425, ""https://odysia-cruise-uk.client.prod.eu-west.dreamlake.io"", """")"),"/cruise-lines/holland-america-line/oosterdam")</f>
        <v>/cruise-lines/holland-america-line/oosterdam</v>
      </c>
    </row>
    <row r="426" spans="1:5" ht="13">
      <c r="A426" s="100" t="s">
        <v>1139</v>
      </c>
      <c r="B426" s="51" t="str">
        <f ca="1">IFERROR(__xludf.DUMMYFUNCTION("REGEXREPLACE(A426, ""&lt;loc&gt;"", """")"),"https://odysia-cruise-uk.client.prod.eu-west.dreamlake.io/destinations/far-east-cruises&lt;/loc&gt;")</f>
        <v>https://odysia-cruise-uk.client.prod.eu-west.dreamlake.io/destinations/far-east-cruises&lt;/loc&gt;</v>
      </c>
      <c r="C426" s="101" t="str">
        <f ca="1">IFERROR(__xludf.DUMMYFUNCTION("REGEXREPLACE(B426, ""&lt;/loc&gt;"", """")"),"https://odysia-cruise-uk.client.prod.eu-west.dreamlake.io/destinations/far-east-cruises")</f>
        <v>https://odysia-cruise-uk.client.prod.eu-west.dreamlake.io/destinations/far-east-cruises</v>
      </c>
    </row>
    <row r="427" spans="1:5" ht="13">
      <c r="A427" s="100" t="s">
        <v>1140</v>
      </c>
      <c r="B427" s="51" t="str">
        <f ca="1">IFERROR(__xludf.DUMMYFUNCTION("REGEXREPLACE(A427, ""&lt;loc&gt;"", """")"),"https://odysia-cruise-uk.client.prod.eu-west.dreamlake.io/cruise-lines/costa-cruises/costa-fortuna&lt;/loc&gt;")</f>
        <v>https://odysia-cruise-uk.client.prod.eu-west.dreamlake.io/cruise-lines/costa-cruises/costa-fortuna&lt;/loc&gt;</v>
      </c>
      <c r="C427" s="101" t="str">
        <f ca="1">IFERROR(__xludf.DUMMYFUNCTION("REGEXREPLACE(B427, ""&lt;/loc&gt;"", """")"),"https://odysia-cruise-uk.client.prod.eu-west.dreamlake.io/cruise-lines/costa-cruises/costa-fortuna")</f>
        <v>https://odysia-cruise-uk.client.prod.eu-west.dreamlake.io/cruise-lines/costa-cruises/costa-fortuna</v>
      </c>
      <c r="D427" s="51" t="s">
        <v>1141</v>
      </c>
      <c r="E427" s="51" t="str">
        <f ca="1">IFERROR(__xludf.DUMMYFUNCTION("REGEXREPLACE(D427, ""https://odysia-cruise-uk.client.prod.eu-west.dreamlake.io"", """")"),"/cruise-lines/costa-cruises/costa-fortuna")</f>
        <v>/cruise-lines/costa-cruises/costa-fortuna</v>
      </c>
    </row>
  </sheetData>
  <autoFilter ref="A1:C427" xr:uid="{00000000-0009-0000-0000-00000E000000}"/>
  <hyperlinks>
    <hyperlink ref="D8" r:id="rId1" xr:uid="{00000000-0004-0000-0E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X43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93.5" customWidth="1"/>
  </cols>
  <sheetData>
    <row r="1" spans="1:24" ht="15.75" customHeight="1">
      <c r="A1" s="102" t="s">
        <v>234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 spans="1:24" ht="15.75" customHeight="1">
      <c r="A2" s="103" t="s">
        <v>1142</v>
      </c>
    </row>
    <row r="3" spans="1:24" ht="15.75" customHeight="1">
      <c r="A3" s="103" t="s">
        <v>1143</v>
      </c>
    </row>
    <row r="4" spans="1:24" ht="15.75" customHeight="1">
      <c r="A4" s="103" t="s">
        <v>1144</v>
      </c>
    </row>
    <row r="5" spans="1:24" ht="15.75" customHeight="1">
      <c r="A5" s="103" t="s">
        <v>1145</v>
      </c>
    </row>
    <row r="6" spans="1:24" ht="15.75" customHeight="1">
      <c r="A6" s="103" t="s">
        <v>1146</v>
      </c>
    </row>
    <row r="7" spans="1:24" ht="15.75" customHeight="1">
      <c r="A7" s="103" t="s">
        <v>1147</v>
      </c>
    </row>
    <row r="8" spans="1:24" ht="15.75" customHeight="1">
      <c r="A8" s="103" t="s">
        <v>1148</v>
      </c>
    </row>
    <row r="9" spans="1:24" ht="15.75" customHeight="1">
      <c r="A9" s="103" t="s">
        <v>1149</v>
      </c>
    </row>
    <row r="10" spans="1:24" ht="15.75" customHeight="1">
      <c r="A10" s="104" t="s">
        <v>1150</v>
      </c>
    </row>
    <row r="11" spans="1:24" ht="15.75" customHeight="1">
      <c r="A11" s="104" t="s">
        <v>1151</v>
      </c>
    </row>
    <row r="12" spans="1:24" ht="15.75" customHeight="1">
      <c r="A12" s="104" t="s">
        <v>1152</v>
      </c>
    </row>
    <row r="13" spans="1:24" ht="15.75" customHeight="1">
      <c r="A13" s="104" t="s">
        <v>1153</v>
      </c>
    </row>
    <row r="14" spans="1:24" ht="15.75" customHeight="1">
      <c r="A14" s="104" t="s">
        <v>1154</v>
      </c>
    </row>
    <row r="15" spans="1:24" ht="15.75" customHeight="1">
      <c r="A15" s="104" t="s">
        <v>1155</v>
      </c>
    </row>
    <row r="16" spans="1:24" ht="15.75" customHeight="1">
      <c r="A16" s="104" t="s">
        <v>1156</v>
      </c>
    </row>
    <row r="17" spans="1:1" ht="15.75" customHeight="1">
      <c r="A17" s="104" t="s">
        <v>1157</v>
      </c>
    </row>
    <row r="18" spans="1:1" ht="15.75" customHeight="1">
      <c r="A18" s="103" t="s">
        <v>1158</v>
      </c>
    </row>
    <row r="19" spans="1:1" ht="15.75" customHeight="1">
      <c r="A19" s="103" t="s">
        <v>1159</v>
      </c>
    </row>
    <row r="20" spans="1:1" ht="15.75" customHeight="1">
      <c r="A20" s="103" t="s">
        <v>1160</v>
      </c>
    </row>
    <row r="21" spans="1:1" ht="15.75" customHeight="1">
      <c r="A21" s="103" t="s">
        <v>1161</v>
      </c>
    </row>
    <row r="22" spans="1:1" ht="15.75" customHeight="1">
      <c r="A22" s="103" t="s">
        <v>1162</v>
      </c>
    </row>
    <row r="23" spans="1:1" ht="15.75" customHeight="1">
      <c r="A23" s="103" t="s">
        <v>1163</v>
      </c>
    </row>
    <row r="24" spans="1:1" ht="15.75" customHeight="1">
      <c r="A24" s="103" t="s">
        <v>1164</v>
      </c>
    </row>
    <row r="25" spans="1:1" ht="15.75" customHeight="1">
      <c r="A25" s="103" t="s">
        <v>1165</v>
      </c>
    </row>
    <row r="26" spans="1:1" ht="15.75" customHeight="1">
      <c r="A26" s="103" t="s">
        <v>1166</v>
      </c>
    </row>
    <row r="27" spans="1:1" ht="15.75" customHeight="1">
      <c r="A27" s="103" t="s">
        <v>1167</v>
      </c>
    </row>
    <row r="28" spans="1:1" ht="15.75" customHeight="1">
      <c r="A28" s="103" t="s">
        <v>1168</v>
      </c>
    </row>
    <row r="29" spans="1:1" ht="15.75" customHeight="1">
      <c r="A29" s="103" t="s">
        <v>1169</v>
      </c>
    </row>
    <row r="30" spans="1:1" ht="15.75" customHeight="1">
      <c r="A30" s="103" t="s">
        <v>1170</v>
      </c>
    </row>
    <row r="31" spans="1:1" ht="15.75" customHeight="1">
      <c r="A31" s="103" t="s">
        <v>1171</v>
      </c>
    </row>
    <row r="32" spans="1:1" ht="15.75" customHeight="1">
      <c r="A32" s="103" t="s">
        <v>1172</v>
      </c>
    </row>
    <row r="33" spans="1:1" ht="15.75" customHeight="1">
      <c r="A33" s="103" t="s">
        <v>1173</v>
      </c>
    </row>
    <row r="34" spans="1:1" ht="15.75" customHeight="1">
      <c r="A34" s="103" t="s">
        <v>1174</v>
      </c>
    </row>
    <row r="35" spans="1:1" ht="15.75" customHeight="1">
      <c r="A35" s="103" t="s">
        <v>1175</v>
      </c>
    </row>
    <row r="36" spans="1:1" ht="15.75" customHeight="1">
      <c r="A36" s="103" t="s">
        <v>1176</v>
      </c>
    </row>
    <row r="37" spans="1:1" ht="15.75" customHeight="1">
      <c r="A37" s="103" t="s">
        <v>1177</v>
      </c>
    </row>
    <row r="38" spans="1:1" ht="15.75" customHeight="1">
      <c r="A38" s="103" t="s">
        <v>1178</v>
      </c>
    </row>
    <row r="39" spans="1:1" ht="15.75" customHeight="1">
      <c r="A39" s="103" t="s">
        <v>1179</v>
      </c>
    </row>
    <row r="40" spans="1:1" ht="15.75" customHeight="1">
      <c r="A40" s="103" t="s">
        <v>1180</v>
      </c>
    </row>
    <row r="41" spans="1:1" ht="15.75" customHeight="1">
      <c r="A41" s="103" t="s">
        <v>1181</v>
      </c>
    </row>
    <row r="42" spans="1:1" ht="15.75" customHeight="1">
      <c r="A42" s="103" t="s">
        <v>1182</v>
      </c>
    </row>
    <row r="43" spans="1:1" ht="15.75" customHeight="1">
      <c r="A43" s="103" t="s">
        <v>1183</v>
      </c>
    </row>
    <row r="44" spans="1:1" ht="15.75" customHeight="1">
      <c r="A44" s="103" t="s">
        <v>1184</v>
      </c>
    </row>
    <row r="45" spans="1:1" ht="15.75" customHeight="1">
      <c r="A45" s="103" t="s">
        <v>1185</v>
      </c>
    </row>
    <row r="46" spans="1:1" ht="15.75" customHeight="1">
      <c r="A46" s="103" t="s">
        <v>1186</v>
      </c>
    </row>
    <row r="47" spans="1:1" ht="15.75" customHeight="1">
      <c r="A47" s="103" t="s">
        <v>1187</v>
      </c>
    </row>
    <row r="48" spans="1:1" ht="15.75" customHeight="1">
      <c r="A48" s="103" t="s">
        <v>1188</v>
      </c>
    </row>
    <row r="49" spans="1:1" ht="15.75" customHeight="1">
      <c r="A49" s="103" t="s">
        <v>1189</v>
      </c>
    </row>
    <row r="50" spans="1:1" ht="15.75" customHeight="1">
      <c r="A50" s="103" t="s">
        <v>1190</v>
      </c>
    </row>
    <row r="51" spans="1:1" ht="15.75" customHeight="1">
      <c r="A51" s="103" t="s">
        <v>1191</v>
      </c>
    </row>
    <row r="52" spans="1:1" ht="15.75" customHeight="1">
      <c r="A52" s="103" t="s">
        <v>1192</v>
      </c>
    </row>
    <row r="53" spans="1:1" ht="15.75" customHeight="1">
      <c r="A53" s="103" t="s">
        <v>1193</v>
      </c>
    </row>
    <row r="54" spans="1:1" ht="15.75" customHeight="1">
      <c r="A54" s="103" t="s">
        <v>1194</v>
      </c>
    </row>
    <row r="55" spans="1:1" ht="15.75" customHeight="1">
      <c r="A55" s="103" t="s">
        <v>1195</v>
      </c>
    </row>
    <row r="56" spans="1:1" ht="15.75" customHeight="1">
      <c r="A56" s="103" t="s">
        <v>1196</v>
      </c>
    </row>
    <row r="57" spans="1:1" ht="15.75" customHeight="1">
      <c r="A57" s="103" t="s">
        <v>1197</v>
      </c>
    </row>
    <row r="58" spans="1:1" ht="15.75" customHeight="1">
      <c r="A58" s="103" t="s">
        <v>1198</v>
      </c>
    </row>
    <row r="59" spans="1:1" ht="15.75" customHeight="1">
      <c r="A59" s="103" t="s">
        <v>1199</v>
      </c>
    </row>
    <row r="60" spans="1:1" ht="15.75" customHeight="1">
      <c r="A60" s="103" t="s">
        <v>1200</v>
      </c>
    </row>
    <row r="61" spans="1:1" ht="13">
      <c r="A61" s="103" t="s">
        <v>1201</v>
      </c>
    </row>
    <row r="62" spans="1:1" ht="13">
      <c r="A62" s="103" t="s">
        <v>1202</v>
      </c>
    </row>
    <row r="63" spans="1:1" ht="13">
      <c r="A63" s="103" t="s">
        <v>1203</v>
      </c>
    </row>
    <row r="64" spans="1:1" ht="13">
      <c r="A64" s="103" t="s">
        <v>1204</v>
      </c>
    </row>
    <row r="65" spans="1:1" ht="13">
      <c r="A65" s="103" t="s">
        <v>1205</v>
      </c>
    </row>
    <row r="66" spans="1:1" ht="13">
      <c r="A66" s="103" t="s">
        <v>1206</v>
      </c>
    </row>
    <row r="67" spans="1:1" ht="13">
      <c r="A67" s="103" t="s">
        <v>1207</v>
      </c>
    </row>
    <row r="68" spans="1:1" ht="13">
      <c r="A68" s="103" t="s">
        <v>1208</v>
      </c>
    </row>
    <row r="69" spans="1:1" ht="13">
      <c r="A69" s="103" t="s">
        <v>1209</v>
      </c>
    </row>
    <row r="70" spans="1:1" ht="13">
      <c r="A70" s="103" t="s">
        <v>1210</v>
      </c>
    </row>
    <row r="71" spans="1:1" ht="13">
      <c r="A71" s="103" t="s">
        <v>1211</v>
      </c>
    </row>
    <row r="72" spans="1:1" ht="13">
      <c r="A72" s="103" t="s">
        <v>1212</v>
      </c>
    </row>
    <row r="73" spans="1:1" ht="13">
      <c r="A73" s="103" t="s">
        <v>1213</v>
      </c>
    </row>
    <row r="74" spans="1:1" ht="13">
      <c r="A74" s="103" t="s">
        <v>1214</v>
      </c>
    </row>
    <row r="75" spans="1:1" ht="13">
      <c r="A75" s="103" t="s">
        <v>1215</v>
      </c>
    </row>
    <row r="76" spans="1:1" ht="13">
      <c r="A76" s="103" t="s">
        <v>1216</v>
      </c>
    </row>
    <row r="77" spans="1:1" ht="13">
      <c r="A77" s="103" t="s">
        <v>1217</v>
      </c>
    </row>
    <row r="78" spans="1:1" ht="13">
      <c r="A78" s="103" t="s">
        <v>1218</v>
      </c>
    </row>
    <row r="79" spans="1:1" ht="13">
      <c r="A79" s="103" t="s">
        <v>1219</v>
      </c>
    </row>
    <row r="80" spans="1:1" ht="13">
      <c r="A80" s="103" t="s">
        <v>1220</v>
      </c>
    </row>
    <row r="81" spans="1:1" ht="13">
      <c r="A81" s="103" t="s">
        <v>1221</v>
      </c>
    </row>
    <row r="82" spans="1:1" ht="13">
      <c r="A82" s="103" t="s">
        <v>1222</v>
      </c>
    </row>
    <row r="83" spans="1:1" ht="13">
      <c r="A83" s="103" t="s">
        <v>1223</v>
      </c>
    </row>
    <row r="84" spans="1:1" ht="13">
      <c r="A84" s="103" t="s">
        <v>1224</v>
      </c>
    </row>
    <row r="85" spans="1:1" ht="13">
      <c r="A85" s="103" t="s">
        <v>1225</v>
      </c>
    </row>
    <row r="86" spans="1:1" ht="13">
      <c r="A86" s="103" t="s">
        <v>1226</v>
      </c>
    </row>
    <row r="87" spans="1:1" ht="13">
      <c r="A87" s="103" t="s">
        <v>1227</v>
      </c>
    </row>
    <row r="88" spans="1:1" ht="13">
      <c r="A88" s="103" t="s">
        <v>1228</v>
      </c>
    </row>
    <row r="89" spans="1:1" ht="13">
      <c r="A89" s="103" t="s">
        <v>1229</v>
      </c>
    </row>
    <row r="90" spans="1:1" ht="13">
      <c r="A90" s="103" t="s">
        <v>1230</v>
      </c>
    </row>
    <row r="91" spans="1:1" ht="13">
      <c r="A91" s="103" t="s">
        <v>1231</v>
      </c>
    </row>
    <row r="92" spans="1:1" ht="13">
      <c r="A92" s="103" t="s">
        <v>1232</v>
      </c>
    </row>
    <row r="93" spans="1:1" ht="13">
      <c r="A93" s="103" t="s">
        <v>1233</v>
      </c>
    </row>
    <row r="94" spans="1:1" ht="13">
      <c r="A94" s="103" t="s">
        <v>1234</v>
      </c>
    </row>
    <row r="95" spans="1:1" ht="13">
      <c r="A95" s="103" t="s">
        <v>1235</v>
      </c>
    </row>
    <row r="96" spans="1:1" ht="13">
      <c r="A96" s="103" t="s">
        <v>1236</v>
      </c>
    </row>
    <row r="97" spans="1:1" ht="13">
      <c r="A97" s="103" t="s">
        <v>1237</v>
      </c>
    </row>
    <row r="98" spans="1:1" ht="13">
      <c r="A98" s="103" t="s">
        <v>1238</v>
      </c>
    </row>
    <row r="99" spans="1:1" ht="13">
      <c r="A99" s="103" t="s">
        <v>1239</v>
      </c>
    </row>
    <row r="100" spans="1:1" ht="13">
      <c r="A100" s="103" t="s">
        <v>1240</v>
      </c>
    </row>
    <row r="101" spans="1:1" ht="13">
      <c r="A101" s="103" t="s">
        <v>1241</v>
      </c>
    </row>
    <row r="102" spans="1:1" ht="13">
      <c r="A102" s="103" t="s">
        <v>1242</v>
      </c>
    </row>
    <row r="103" spans="1:1" ht="13">
      <c r="A103" s="103" t="s">
        <v>1243</v>
      </c>
    </row>
    <row r="104" spans="1:1" ht="13">
      <c r="A104" s="103" t="s">
        <v>1244</v>
      </c>
    </row>
    <row r="105" spans="1:1" ht="13">
      <c r="A105" s="103" t="s">
        <v>1245</v>
      </c>
    </row>
    <row r="106" spans="1:1" ht="13">
      <c r="A106" s="103" t="s">
        <v>1246</v>
      </c>
    </row>
    <row r="107" spans="1:1" ht="13">
      <c r="A107" s="103" t="s">
        <v>1247</v>
      </c>
    </row>
    <row r="108" spans="1:1" ht="13">
      <c r="A108" s="103" t="s">
        <v>1248</v>
      </c>
    </row>
    <row r="109" spans="1:1" ht="13">
      <c r="A109" s="103" t="s">
        <v>1249</v>
      </c>
    </row>
    <row r="110" spans="1:1" ht="13">
      <c r="A110" s="103" t="s">
        <v>1250</v>
      </c>
    </row>
    <row r="111" spans="1:1" ht="13">
      <c r="A111" s="103" t="s">
        <v>1251</v>
      </c>
    </row>
    <row r="112" spans="1:1" ht="13">
      <c r="A112" s="103" t="s">
        <v>1252</v>
      </c>
    </row>
    <row r="113" spans="1:1" ht="13">
      <c r="A113" s="103" t="s">
        <v>1253</v>
      </c>
    </row>
    <row r="114" spans="1:1" ht="13">
      <c r="A114" s="103" t="s">
        <v>1254</v>
      </c>
    </row>
    <row r="115" spans="1:1" ht="13">
      <c r="A115" s="103" t="s">
        <v>1255</v>
      </c>
    </row>
    <row r="116" spans="1:1" ht="13">
      <c r="A116" s="103" t="s">
        <v>1256</v>
      </c>
    </row>
    <row r="117" spans="1:1" ht="13">
      <c r="A117" s="103" t="s">
        <v>1257</v>
      </c>
    </row>
    <row r="118" spans="1:1" ht="13">
      <c r="A118" s="103" t="s">
        <v>1258</v>
      </c>
    </row>
    <row r="119" spans="1:1" ht="13">
      <c r="A119" s="103" t="s">
        <v>1259</v>
      </c>
    </row>
    <row r="120" spans="1:1" ht="13">
      <c r="A120" s="103" t="s">
        <v>1260</v>
      </c>
    </row>
    <row r="121" spans="1:1" ht="13">
      <c r="A121" s="103" t="s">
        <v>1261</v>
      </c>
    </row>
    <row r="122" spans="1:1" ht="13">
      <c r="A122" s="103" t="s">
        <v>1262</v>
      </c>
    </row>
    <row r="123" spans="1:1" ht="13">
      <c r="A123" s="103" t="s">
        <v>1263</v>
      </c>
    </row>
    <row r="124" spans="1:1" ht="13">
      <c r="A124" s="103" t="s">
        <v>1264</v>
      </c>
    </row>
    <row r="125" spans="1:1" ht="13">
      <c r="A125" s="103" t="s">
        <v>1265</v>
      </c>
    </row>
    <row r="126" spans="1:1" ht="13">
      <c r="A126" s="103" t="s">
        <v>1266</v>
      </c>
    </row>
    <row r="127" spans="1:1" ht="13">
      <c r="A127" s="103" t="s">
        <v>1267</v>
      </c>
    </row>
    <row r="128" spans="1:1" ht="13">
      <c r="A128" s="103" t="s">
        <v>1268</v>
      </c>
    </row>
    <row r="129" spans="1:1" ht="13">
      <c r="A129" s="103" t="s">
        <v>1269</v>
      </c>
    </row>
    <row r="130" spans="1:1" ht="13">
      <c r="A130" s="103" t="s">
        <v>1270</v>
      </c>
    </row>
    <row r="131" spans="1:1" ht="13">
      <c r="A131" s="103" t="s">
        <v>1271</v>
      </c>
    </row>
    <row r="132" spans="1:1" ht="13">
      <c r="A132" s="103" t="s">
        <v>1272</v>
      </c>
    </row>
    <row r="133" spans="1:1" ht="13">
      <c r="A133" s="103" t="s">
        <v>1273</v>
      </c>
    </row>
    <row r="134" spans="1:1" ht="13">
      <c r="A134" s="103" t="s">
        <v>1274</v>
      </c>
    </row>
    <row r="135" spans="1:1" ht="13">
      <c r="A135" s="103" t="s">
        <v>1275</v>
      </c>
    </row>
    <row r="136" spans="1:1" ht="13">
      <c r="A136" s="103" t="s">
        <v>1276</v>
      </c>
    </row>
    <row r="137" spans="1:1" ht="13">
      <c r="A137" s="103" t="s">
        <v>1277</v>
      </c>
    </row>
    <row r="138" spans="1:1" ht="13">
      <c r="A138" s="103" t="s">
        <v>1278</v>
      </c>
    </row>
    <row r="139" spans="1:1" ht="13">
      <c r="A139" s="103" t="s">
        <v>1279</v>
      </c>
    </row>
    <row r="140" spans="1:1" ht="13">
      <c r="A140" s="103" t="s">
        <v>1280</v>
      </c>
    </row>
    <row r="141" spans="1:1" ht="13">
      <c r="A141" s="103" t="s">
        <v>1281</v>
      </c>
    </row>
    <row r="142" spans="1:1" ht="13">
      <c r="A142" s="103" t="s">
        <v>1282</v>
      </c>
    </row>
    <row r="143" spans="1:1" ht="13">
      <c r="A143" s="103" t="s">
        <v>1283</v>
      </c>
    </row>
    <row r="144" spans="1:1" ht="13">
      <c r="A144" s="103" t="s">
        <v>1284</v>
      </c>
    </row>
    <row r="145" spans="1:1" ht="13">
      <c r="A145" s="103" t="s">
        <v>1285</v>
      </c>
    </row>
    <row r="146" spans="1:1" ht="13">
      <c r="A146" s="103" t="s">
        <v>1286</v>
      </c>
    </row>
    <row r="147" spans="1:1" ht="13">
      <c r="A147" s="103" t="s">
        <v>1287</v>
      </c>
    </row>
    <row r="148" spans="1:1" ht="13">
      <c r="A148" s="103" t="s">
        <v>1288</v>
      </c>
    </row>
    <row r="149" spans="1:1" ht="13">
      <c r="A149" s="103" t="s">
        <v>1289</v>
      </c>
    </row>
    <row r="150" spans="1:1" ht="13">
      <c r="A150" s="103" t="s">
        <v>1290</v>
      </c>
    </row>
    <row r="151" spans="1:1" ht="13">
      <c r="A151" s="103" t="s">
        <v>1291</v>
      </c>
    </row>
    <row r="152" spans="1:1" ht="13">
      <c r="A152" s="103" t="s">
        <v>1292</v>
      </c>
    </row>
    <row r="153" spans="1:1" ht="13">
      <c r="A153" s="103" t="s">
        <v>1293</v>
      </c>
    </row>
    <row r="154" spans="1:1" ht="13">
      <c r="A154" s="103" t="s">
        <v>1294</v>
      </c>
    </row>
    <row r="155" spans="1:1" ht="13">
      <c r="A155" s="103" t="s">
        <v>1295</v>
      </c>
    </row>
    <row r="156" spans="1:1" ht="13">
      <c r="A156" s="103" t="s">
        <v>1296</v>
      </c>
    </row>
    <row r="157" spans="1:1" ht="13">
      <c r="A157" s="103" t="s">
        <v>1297</v>
      </c>
    </row>
    <row r="158" spans="1:1" ht="13">
      <c r="A158" s="103" t="s">
        <v>1298</v>
      </c>
    </row>
    <row r="159" spans="1:1" ht="13">
      <c r="A159" s="103" t="s">
        <v>1299</v>
      </c>
    </row>
    <row r="160" spans="1:1" ht="13">
      <c r="A160" s="103" t="s">
        <v>1300</v>
      </c>
    </row>
    <row r="161" spans="1:1" ht="13">
      <c r="A161" s="103" t="s">
        <v>1301</v>
      </c>
    </row>
    <row r="162" spans="1:1" ht="13">
      <c r="A162" s="103" t="s">
        <v>1302</v>
      </c>
    </row>
    <row r="163" spans="1:1" ht="13">
      <c r="A163" s="103" t="s">
        <v>1303</v>
      </c>
    </row>
    <row r="164" spans="1:1" ht="13">
      <c r="A164" s="103" t="s">
        <v>1304</v>
      </c>
    </row>
    <row r="165" spans="1:1" ht="13">
      <c r="A165" s="103" t="s">
        <v>1305</v>
      </c>
    </row>
    <row r="166" spans="1:1" ht="13">
      <c r="A166" s="103" t="s">
        <v>1306</v>
      </c>
    </row>
    <row r="167" spans="1:1" ht="13">
      <c r="A167" s="103" t="s">
        <v>1307</v>
      </c>
    </row>
    <row r="168" spans="1:1" ht="13">
      <c r="A168" s="103" t="s">
        <v>1308</v>
      </c>
    </row>
    <row r="169" spans="1:1" ht="13">
      <c r="A169" s="103" t="s">
        <v>1309</v>
      </c>
    </row>
    <row r="170" spans="1:1" ht="13">
      <c r="A170" s="103" t="s">
        <v>1310</v>
      </c>
    </row>
    <row r="171" spans="1:1" ht="13">
      <c r="A171" s="103" t="s">
        <v>1311</v>
      </c>
    </row>
    <row r="172" spans="1:1" ht="13">
      <c r="A172" s="103" t="s">
        <v>1312</v>
      </c>
    </row>
    <row r="173" spans="1:1" ht="13">
      <c r="A173" s="103" t="s">
        <v>1313</v>
      </c>
    </row>
    <row r="174" spans="1:1" ht="13">
      <c r="A174" s="103" t="s">
        <v>1314</v>
      </c>
    </row>
    <row r="175" spans="1:1" ht="13">
      <c r="A175" s="103" t="s">
        <v>1315</v>
      </c>
    </row>
    <row r="176" spans="1:1" ht="13">
      <c r="A176" s="103" t="s">
        <v>1316</v>
      </c>
    </row>
    <row r="177" spans="1:1" ht="13">
      <c r="A177" s="103" t="s">
        <v>1317</v>
      </c>
    </row>
    <row r="178" spans="1:1" ht="13">
      <c r="A178" s="103" t="s">
        <v>1318</v>
      </c>
    </row>
    <row r="179" spans="1:1" ht="13">
      <c r="A179" s="103" t="s">
        <v>1319</v>
      </c>
    </row>
    <row r="180" spans="1:1" ht="13">
      <c r="A180" s="103" t="s">
        <v>1320</v>
      </c>
    </row>
    <row r="181" spans="1:1" ht="13">
      <c r="A181" s="103" t="s">
        <v>1321</v>
      </c>
    </row>
    <row r="182" spans="1:1" ht="13">
      <c r="A182" s="103" t="s">
        <v>1322</v>
      </c>
    </row>
    <row r="183" spans="1:1" ht="13">
      <c r="A183" s="103" t="s">
        <v>1323</v>
      </c>
    </row>
    <row r="184" spans="1:1" ht="13">
      <c r="A184" s="103" t="s">
        <v>1324</v>
      </c>
    </row>
    <row r="185" spans="1:1" ht="13">
      <c r="A185" s="103" t="s">
        <v>1325</v>
      </c>
    </row>
    <row r="186" spans="1:1" ht="13">
      <c r="A186" s="103" t="s">
        <v>1326</v>
      </c>
    </row>
    <row r="187" spans="1:1" ht="13">
      <c r="A187" s="103" t="s">
        <v>1327</v>
      </c>
    </row>
    <row r="188" spans="1:1" ht="13">
      <c r="A188" s="103" t="s">
        <v>1328</v>
      </c>
    </row>
    <row r="189" spans="1:1" ht="13">
      <c r="A189" s="103" t="s">
        <v>1329</v>
      </c>
    </row>
    <row r="190" spans="1:1" ht="13">
      <c r="A190" s="103" t="s">
        <v>1330</v>
      </c>
    </row>
    <row r="191" spans="1:1" ht="13">
      <c r="A191" s="103" t="s">
        <v>1331</v>
      </c>
    </row>
    <row r="192" spans="1:1" ht="13">
      <c r="A192" s="103" t="s">
        <v>1332</v>
      </c>
    </row>
    <row r="193" spans="1:1" ht="13">
      <c r="A193" s="103" t="s">
        <v>1333</v>
      </c>
    </row>
    <row r="194" spans="1:1" ht="13">
      <c r="A194" s="103" t="s">
        <v>1334</v>
      </c>
    </row>
    <row r="195" spans="1:1" ht="13">
      <c r="A195" s="103" t="s">
        <v>1335</v>
      </c>
    </row>
    <row r="196" spans="1:1" ht="13">
      <c r="A196" s="103" t="s">
        <v>1336</v>
      </c>
    </row>
    <row r="197" spans="1:1" ht="13">
      <c r="A197" s="103" t="s">
        <v>1337</v>
      </c>
    </row>
    <row r="198" spans="1:1" ht="13">
      <c r="A198" s="103" t="s">
        <v>1338</v>
      </c>
    </row>
    <row r="199" spans="1:1" ht="13">
      <c r="A199" s="103" t="s">
        <v>1339</v>
      </c>
    </row>
    <row r="200" spans="1:1" ht="13">
      <c r="A200" s="103" t="s">
        <v>1340</v>
      </c>
    </row>
    <row r="201" spans="1:1" ht="13">
      <c r="A201" s="103" t="s">
        <v>1341</v>
      </c>
    </row>
    <row r="202" spans="1:1" ht="13">
      <c r="A202" s="103" t="s">
        <v>1342</v>
      </c>
    </row>
    <row r="203" spans="1:1" ht="13">
      <c r="A203" s="103" t="s">
        <v>1343</v>
      </c>
    </row>
    <row r="204" spans="1:1" ht="13">
      <c r="A204" s="103" t="s">
        <v>1344</v>
      </c>
    </row>
    <row r="205" spans="1:1" ht="13">
      <c r="A205" s="103" t="s">
        <v>1345</v>
      </c>
    </row>
    <row r="206" spans="1:1" ht="13">
      <c r="A206" s="103" t="s">
        <v>1346</v>
      </c>
    </row>
    <row r="207" spans="1:1" ht="13">
      <c r="A207" s="103" t="s">
        <v>1347</v>
      </c>
    </row>
    <row r="208" spans="1:1" ht="13">
      <c r="A208" s="103" t="s">
        <v>1348</v>
      </c>
    </row>
    <row r="209" spans="1:1" ht="13">
      <c r="A209" s="103" t="s">
        <v>1349</v>
      </c>
    </row>
    <row r="210" spans="1:1" ht="13">
      <c r="A210" s="103" t="s">
        <v>1350</v>
      </c>
    </row>
    <row r="211" spans="1:1" ht="13">
      <c r="A211" s="103" t="s">
        <v>1351</v>
      </c>
    </row>
    <row r="212" spans="1:1" ht="13">
      <c r="A212" s="103" t="s">
        <v>1352</v>
      </c>
    </row>
    <row r="213" spans="1:1" ht="13">
      <c r="A213" s="103" t="s">
        <v>1353</v>
      </c>
    </row>
    <row r="214" spans="1:1" ht="13">
      <c r="A214" s="103" t="s">
        <v>1354</v>
      </c>
    </row>
    <row r="215" spans="1:1" ht="13">
      <c r="A215" s="103" t="s">
        <v>1355</v>
      </c>
    </row>
    <row r="216" spans="1:1" ht="13">
      <c r="A216" s="103" t="s">
        <v>1356</v>
      </c>
    </row>
    <row r="217" spans="1:1" ht="13">
      <c r="A217" s="103" t="s">
        <v>1357</v>
      </c>
    </row>
    <row r="218" spans="1:1" ht="13">
      <c r="A218" s="103" t="s">
        <v>1358</v>
      </c>
    </row>
    <row r="219" spans="1:1" ht="13">
      <c r="A219" s="103" t="s">
        <v>1359</v>
      </c>
    </row>
    <row r="220" spans="1:1" ht="13">
      <c r="A220" s="103" t="s">
        <v>1360</v>
      </c>
    </row>
    <row r="221" spans="1:1" ht="13">
      <c r="A221" s="103" t="s">
        <v>1361</v>
      </c>
    </row>
    <row r="222" spans="1:1" ht="13">
      <c r="A222" s="103" t="s">
        <v>1362</v>
      </c>
    </row>
    <row r="223" spans="1:1" ht="13">
      <c r="A223" s="103" t="s">
        <v>1363</v>
      </c>
    </row>
    <row r="224" spans="1:1" ht="13">
      <c r="A224" s="103" t="s">
        <v>1364</v>
      </c>
    </row>
    <row r="225" spans="1:1" ht="13">
      <c r="A225" s="103" t="s">
        <v>1365</v>
      </c>
    </row>
    <row r="226" spans="1:1" ht="13">
      <c r="A226" s="103" t="s">
        <v>1366</v>
      </c>
    </row>
    <row r="227" spans="1:1" ht="13">
      <c r="A227" s="103" t="s">
        <v>1367</v>
      </c>
    </row>
    <row r="228" spans="1:1" ht="13">
      <c r="A228" s="103" t="s">
        <v>1368</v>
      </c>
    </row>
    <row r="229" spans="1:1" ht="13">
      <c r="A229" s="103" t="s">
        <v>1369</v>
      </c>
    </row>
    <row r="230" spans="1:1" ht="13">
      <c r="A230" s="103" t="s">
        <v>1370</v>
      </c>
    </row>
    <row r="231" spans="1:1" ht="13">
      <c r="A231" s="103" t="s">
        <v>1371</v>
      </c>
    </row>
    <row r="232" spans="1:1" ht="13">
      <c r="A232" s="103" t="s">
        <v>1372</v>
      </c>
    </row>
    <row r="233" spans="1:1" ht="13">
      <c r="A233" s="103" t="s">
        <v>1373</v>
      </c>
    </row>
    <row r="234" spans="1:1" ht="13">
      <c r="A234" s="103" t="s">
        <v>1374</v>
      </c>
    </row>
    <row r="235" spans="1:1" ht="13">
      <c r="A235" s="103" t="s">
        <v>1375</v>
      </c>
    </row>
    <row r="236" spans="1:1" ht="13">
      <c r="A236" s="103" t="s">
        <v>1376</v>
      </c>
    </row>
    <row r="237" spans="1:1" ht="13">
      <c r="A237" s="103" t="s">
        <v>1377</v>
      </c>
    </row>
    <row r="238" spans="1:1" ht="13">
      <c r="A238" s="103" t="s">
        <v>1378</v>
      </c>
    </row>
    <row r="239" spans="1:1" ht="13">
      <c r="A239" s="103" t="s">
        <v>1379</v>
      </c>
    </row>
    <row r="240" spans="1:1" ht="13">
      <c r="A240" s="103" t="s">
        <v>1380</v>
      </c>
    </row>
    <row r="241" spans="1:1" ht="13">
      <c r="A241" s="103" t="s">
        <v>1381</v>
      </c>
    </row>
    <row r="242" spans="1:1" ht="13">
      <c r="A242" s="103" t="s">
        <v>1382</v>
      </c>
    </row>
    <row r="243" spans="1:1" ht="13">
      <c r="A243" s="103" t="s">
        <v>1383</v>
      </c>
    </row>
    <row r="244" spans="1:1" ht="13">
      <c r="A244" s="103" t="s">
        <v>1384</v>
      </c>
    </row>
    <row r="245" spans="1:1" ht="13">
      <c r="A245" s="103" t="s">
        <v>1385</v>
      </c>
    </row>
    <row r="246" spans="1:1" ht="13">
      <c r="A246" s="103" t="s">
        <v>1386</v>
      </c>
    </row>
    <row r="247" spans="1:1" ht="13">
      <c r="A247" s="103" t="s">
        <v>1387</v>
      </c>
    </row>
    <row r="248" spans="1:1" ht="13">
      <c r="A248" s="103" t="s">
        <v>1388</v>
      </c>
    </row>
    <row r="249" spans="1:1" ht="13">
      <c r="A249" s="103" t="s">
        <v>1389</v>
      </c>
    </row>
    <row r="250" spans="1:1" ht="13">
      <c r="A250" s="103" t="s">
        <v>1390</v>
      </c>
    </row>
    <row r="251" spans="1:1" ht="13">
      <c r="A251" s="103" t="s">
        <v>1391</v>
      </c>
    </row>
    <row r="252" spans="1:1" ht="13">
      <c r="A252" s="103" t="s">
        <v>1392</v>
      </c>
    </row>
    <row r="253" spans="1:1" ht="13">
      <c r="A253" s="103" t="s">
        <v>1393</v>
      </c>
    </row>
    <row r="254" spans="1:1" ht="13">
      <c r="A254" s="103" t="s">
        <v>1394</v>
      </c>
    </row>
    <row r="255" spans="1:1" ht="13">
      <c r="A255" s="103" t="s">
        <v>1395</v>
      </c>
    </row>
    <row r="256" spans="1:1" ht="13">
      <c r="A256" s="103" t="s">
        <v>1396</v>
      </c>
    </row>
    <row r="257" spans="1:1" ht="13">
      <c r="A257" s="103" t="s">
        <v>1397</v>
      </c>
    </row>
    <row r="258" spans="1:1" ht="13">
      <c r="A258" s="103" t="s">
        <v>1398</v>
      </c>
    </row>
    <row r="259" spans="1:1" ht="13">
      <c r="A259" s="103" t="s">
        <v>1399</v>
      </c>
    </row>
    <row r="260" spans="1:1" ht="13">
      <c r="A260" s="103" t="s">
        <v>1400</v>
      </c>
    </row>
    <row r="261" spans="1:1" ht="13">
      <c r="A261" s="103" t="s">
        <v>1401</v>
      </c>
    </row>
    <row r="262" spans="1:1" ht="13">
      <c r="A262" s="103" t="s">
        <v>1402</v>
      </c>
    </row>
    <row r="263" spans="1:1" ht="13">
      <c r="A263" s="103" t="s">
        <v>1403</v>
      </c>
    </row>
    <row r="264" spans="1:1" ht="13">
      <c r="A264" s="103" t="s">
        <v>1404</v>
      </c>
    </row>
    <row r="265" spans="1:1" ht="13">
      <c r="A265" s="103" t="s">
        <v>1405</v>
      </c>
    </row>
    <row r="266" spans="1:1" ht="13">
      <c r="A266" s="103" t="s">
        <v>1406</v>
      </c>
    </row>
    <row r="267" spans="1:1" ht="13">
      <c r="A267" s="103" t="s">
        <v>1407</v>
      </c>
    </row>
    <row r="268" spans="1:1" ht="13">
      <c r="A268" s="103" t="s">
        <v>1408</v>
      </c>
    </row>
    <row r="269" spans="1:1" ht="13">
      <c r="A269" s="103" t="s">
        <v>1409</v>
      </c>
    </row>
    <row r="270" spans="1:1" ht="13">
      <c r="A270" s="103" t="s">
        <v>1410</v>
      </c>
    </row>
    <row r="271" spans="1:1" ht="13">
      <c r="A271" s="103" t="s">
        <v>1411</v>
      </c>
    </row>
    <row r="272" spans="1:1" ht="13">
      <c r="A272" s="103" t="s">
        <v>1412</v>
      </c>
    </row>
    <row r="273" spans="1:1" ht="13">
      <c r="A273" s="103" t="s">
        <v>1413</v>
      </c>
    </row>
    <row r="274" spans="1:1" ht="13">
      <c r="A274" s="103" t="s">
        <v>1414</v>
      </c>
    </row>
    <row r="275" spans="1:1" ht="13">
      <c r="A275" s="103" t="s">
        <v>1415</v>
      </c>
    </row>
    <row r="276" spans="1:1" ht="13">
      <c r="A276" s="103" t="s">
        <v>1416</v>
      </c>
    </row>
    <row r="277" spans="1:1" ht="13">
      <c r="A277" s="103" t="s">
        <v>1417</v>
      </c>
    </row>
    <row r="278" spans="1:1" ht="13">
      <c r="A278" s="103" t="s">
        <v>1418</v>
      </c>
    </row>
    <row r="279" spans="1:1" ht="13">
      <c r="A279" s="103" t="s">
        <v>1419</v>
      </c>
    </row>
    <row r="280" spans="1:1" ht="13">
      <c r="A280" s="103" t="s">
        <v>1420</v>
      </c>
    </row>
    <row r="281" spans="1:1" ht="13">
      <c r="A281" s="103" t="s">
        <v>1421</v>
      </c>
    </row>
    <row r="282" spans="1:1" ht="13">
      <c r="A282" s="103" t="s">
        <v>1422</v>
      </c>
    </row>
    <row r="283" spans="1:1" ht="13">
      <c r="A283" s="103" t="s">
        <v>1423</v>
      </c>
    </row>
    <row r="284" spans="1:1" ht="13">
      <c r="A284" s="103" t="s">
        <v>1424</v>
      </c>
    </row>
    <row r="285" spans="1:1" ht="13">
      <c r="A285" s="103" t="s">
        <v>1425</v>
      </c>
    </row>
    <row r="286" spans="1:1" ht="13">
      <c r="A286" s="103" t="s">
        <v>1426</v>
      </c>
    </row>
    <row r="287" spans="1:1" ht="13">
      <c r="A287" s="103" t="s">
        <v>1427</v>
      </c>
    </row>
    <row r="288" spans="1:1" ht="13">
      <c r="A288" s="103" t="s">
        <v>1428</v>
      </c>
    </row>
    <row r="289" spans="1:1" ht="13">
      <c r="A289" s="103" t="s">
        <v>1429</v>
      </c>
    </row>
    <row r="290" spans="1:1" ht="13">
      <c r="A290" s="103" t="s">
        <v>1430</v>
      </c>
    </row>
    <row r="291" spans="1:1" ht="13">
      <c r="A291" s="103" t="s">
        <v>1431</v>
      </c>
    </row>
    <row r="292" spans="1:1" ht="13">
      <c r="A292" s="103" t="s">
        <v>1432</v>
      </c>
    </row>
    <row r="293" spans="1:1" ht="13">
      <c r="A293" s="103" t="s">
        <v>1433</v>
      </c>
    </row>
    <row r="294" spans="1:1" ht="13">
      <c r="A294" s="103" t="s">
        <v>1434</v>
      </c>
    </row>
    <row r="295" spans="1:1" ht="13">
      <c r="A295" s="103" t="s">
        <v>1435</v>
      </c>
    </row>
    <row r="296" spans="1:1" ht="13">
      <c r="A296" s="103" t="s">
        <v>1436</v>
      </c>
    </row>
    <row r="297" spans="1:1" ht="13">
      <c r="A297" s="103" t="s">
        <v>1437</v>
      </c>
    </row>
    <row r="298" spans="1:1" ht="13">
      <c r="A298" s="103" t="s">
        <v>1438</v>
      </c>
    </row>
    <row r="299" spans="1:1" ht="13">
      <c r="A299" s="103" t="s">
        <v>1439</v>
      </c>
    </row>
    <row r="300" spans="1:1" ht="13">
      <c r="A300" s="103" t="s">
        <v>1440</v>
      </c>
    </row>
    <row r="301" spans="1:1" ht="13">
      <c r="A301" s="103" t="s">
        <v>1441</v>
      </c>
    </row>
    <row r="302" spans="1:1" ht="13">
      <c r="A302" s="103" t="s">
        <v>1442</v>
      </c>
    </row>
    <row r="303" spans="1:1" ht="13">
      <c r="A303" s="103" t="s">
        <v>1443</v>
      </c>
    </row>
    <row r="304" spans="1:1" ht="13">
      <c r="A304" s="103" t="s">
        <v>1444</v>
      </c>
    </row>
    <row r="305" spans="1:1" ht="13">
      <c r="A305" s="103" t="s">
        <v>1445</v>
      </c>
    </row>
    <row r="306" spans="1:1" ht="13">
      <c r="A306" s="103" t="s">
        <v>1446</v>
      </c>
    </row>
    <row r="307" spans="1:1" ht="13">
      <c r="A307" s="103" t="s">
        <v>1447</v>
      </c>
    </row>
    <row r="308" spans="1:1" ht="13">
      <c r="A308" s="103" t="s">
        <v>1448</v>
      </c>
    </row>
    <row r="309" spans="1:1" ht="13">
      <c r="A309" s="103" t="s">
        <v>1449</v>
      </c>
    </row>
    <row r="310" spans="1:1" ht="13">
      <c r="A310" s="103" t="s">
        <v>1450</v>
      </c>
    </row>
    <row r="311" spans="1:1" ht="13">
      <c r="A311" s="103" t="s">
        <v>1451</v>
      </c>
    </row>
    <row r="312" spans="1:1" ht="13">
      <c r="A312" s="103" t="s">
        <v>1452</v>
      </c>
    </row>
    <row r="313" spans="1:1" ht="13">
      <c r="A313" s="103" t="s">
        <v>1453</v>
      </c>
    </row>
    <row r="314" spans="1:1" ht="13">
      <c r="A314" s="103" t="s">
        <v>1454</v>
      </c>
    </row>
    <row r="315" spans="1:1" ht="13">
      <c r="A315" s="103" t="s">
        <v>1455</v>
      </c>
    </row>
    <row r="316" spans="1:1" ht="13">
      <c r="A316" s="103" t="s">
        <v>1456</v>
      </c>
    </row>
    <row r="317" spans="1:1" ht="13">
      <c r="A317" s="103" t="s">
        <v>1457</v>
      </c>
    </row>
    <row r="318" spans="1:1" ht="13">
      <c r="A318" s="103" t="s">
        <v>1458</v>
      </c>
    </row>
    <row r="319" spans="1:1" ht="13">
      <c r="A319" s="103" t="s">
        <v>1459</v>
      </c>
    </row>
    <row r="320" spans="1:1" ht="13">
      <c r="A320" s="103" t="s">
        <v>1460</v>
      </c>
    </row>
    <row r="321" spans="1:1" ht="13">
      <c r="A321" s="103" t="s">
        <v>1461</v>
      </c>
    </row>
    <row r="322" spans="1:1" ht="13">
      <c r="A322" s="103" t="s">
        <v>1462</v>
      </c>
    </row>
    <row r="323" spans="1:1" ht="13">
      <c r="A323" s="103" t="s">
        <v>1463</v>
      </c>
    </row>
    <row r="324" spans="1:1" ht="13">
      <c r="A324" s="103" t="s">
        <v>1464</v>
      </c>
    </row>
    <row r="325" spans="1:1" ht="13">
      <c r="A325" s="103" t="s">
        <v>1465</v>
      </c>
    </row>
    <row r="326" spans="1:1" ht="13">
      <c r="A326" s="103" t="s">
        <v>1466</v>
      </c>
    </row>
    <row r="327" spans="1:1" ht="13">
      <c r="A327" s="103" t="s">
        <v>1467</v>
      </c>
    </row>
    <row r="328" spans="1:1" ht="13">
      <c r="A328" s="103" t="s">
        <v>1468</v>
      </c>
    </row>
    <row r="329" spans="1:1" ht="13">
      <c r="A329" s="103" t="s">
        <v>1469</v>
      </c>
    </row>
    <row r="330" spans="1:1" ht="13">
      <c r="A330" s="103" t="s">
        <v>1470</v>
      </c>
    </row>
    <row r="331" spans="1:1" ht="13">
      <c r="A331" s="103" t="s">
        <v>1471</v>
      </c>
    </row>
    <row r="332" spans="1:1" ht="13">
      <c r="A332" s="103" t="s">
        <v>1472</v>
      </c>
    </row>
    <row r="333" spans="1:1" ht="13">
      <c r="A333" s="103" t="s">
        <v>1473</v>
      </c>
    </row>
    <row r="334" spans="1:1" ht="13">
      <c r="A334" s="103" t="s">
        <v>1474</v>
      </c>
    </row>
    <row r="335" spans="1:1" ht="13">
      <c r="A335" s="103" t="s">
        <v>1475</v>
      </c>
    </row>
    <row r="336" spans="1:1" ht="13">
      <c r="A336" s="103" t="s">
        <v>1476</v>
      </c>
    </row>
    <row r="337" spans="1:1" ht="13">
      <c r="A337" s="103" t="s">
        <v>1477</v>
      </c>
    </row>
    <row r="338" spans="1:1" ht="13">
      <c r="A338" s="103" t="s">
        <v>1478</v>
      </c>
    </row>
    <row r="339" spans="1:1" ht="13">
      <c r="A339" s="103" t="s">
        <v>1479</v>
      </c>
    </row>
    <row r="340" spans="1:1" ht="13">
      <c r="A340" s="103" t="s">
        <v>1480</v>
      </c>
    </row>
    <row r="341" spans="1:1" ht="13">
      <c r="A341" s="103" t="s">
        <v>1481</v>
      </c>
    </row>
    <row r="342" spans="1:1" ht="13">
      <c r="A342" s="103" t="s">
        <v>1482</v>
      </c>
    </row>
    <row r="343" spans="1:1" ht="13">
      <c r="A343" s="103" t="s">
        <v>1483</v>
      </c>
    </row>
    <row r="344" spans="1:1" ht="13">
      <c r="A344" s="103" t="s">
        <v>1484</v>
      </c>
    </row>
    <row r="345" spans="1:1" ht="13">
      <c r="A345" s="103" t="s">
        <v>1485</v>
      </c>
    </row>
    <row r="346" spans="1:1" ht="13">
      <c r="A346" s="103" t="s">
        <v>1486</v>
      </c>
    </row>
    <row r="347" spans="1:1" ht="13">
      <c r="A347" s="103" t="s">
        <v>1487</v>
      </c>
    </row>
    <row r="348" spans="1:1" ht="13">
      <c r="A348" s="103" t="s">
        <v>1488</v>
      </c>
    </row>
    <row r="349" spans="1:1" ht="13">
      <c r="A349" s="103" t="s">
        <v>1489</v>
      </c>
    </row>
    <row r="350" spans="1:1" ht="13">
      <c r="A350" s="103" t="s">
        <v>1490</v>
      </c>
    </row>
    <row r="351" spans="1:1" ht="13">
      <c r="A351" s="103" t="s">
        <v>1491</v>
      </c>
    </row>
    <row r="352" spans="1:1" ht="13">
      <c r="A352" s="103" t="s">
        <v>1492</v>
      </c>
    </row>
    <row r="353" spans="1:1" ht="13">
      <c r="A353" s="103" t="s">
        <v>1493</v>
      </c>
    </row>
    <row r="354" spans="1:1" ht="13">
      <c r="A354" s="103" t="s">
        <v>1494</v>
      </c>
    </row>
    <row r="355" spans="1:1" ht="13">
      <c r="A355" s="103" t="s">
        <v>1495</v>
      </c>
    </row>
    <row r="356" spans="1:1" ht="13">
      <c r="A356" s="103" t="s">
        <v>1496</v>
      </c>
    </row>
    <row r="357" spans="1:1" ht="13">
      <c r="A357" s="103" t="s">
        <v>1497</v>
      </c>
    </row>
    <row r="358" spans="1:1" ht="13">
      <c r="A358" s="103" t="s">
        <v>1498</v>
      </c>
    </row>
    <row r="359" spans="1:1" ht="13">
      <c r="A359" s="103" t="s">
        <v>1499</v>
      </c>
    </row>
    <row r="360" spans="1:1" ht="13">
      <c r="A360" s="103" t="s">
        <v>1500</v>
      </c>
    </row>
    <row r="361" spans="1:1" ht="13">
      <c r="A361" s="103" t="s">
        <v>1501</v>
      </c>
    </row>
    <row r="362" spans="1:1" ht="13">
      <c r="A362" s="103" t="s">
        <v>1502</v>
      </c>
    </row>
    <row r="363" spans="1:1" ht="13">
      <c r="A363" s="103" t="s">
        <v>1503</v>
      </c>
    </row>
    <row r="364" spans="1:1" ht="13">
      <c r="A364" s="103" t="s">
        <v>1504</v>
      </c>
    </row>
    <row r="365" spans="1:1" ht="13">
      <c r="A365" s="103" t="s">
        <v>1505</v>
      </c>
    </row>
    <row r="366" spans="1:1" ht="13">
      <c r="A366" s="103" t="s">
        <v>1506</v>
      </c>
    </row>
    <row r="367" spans="1:1" ht="13">
      <c r="A367" s="103" t="s">
        <v>1507</v>
      </c>
    </row>
    <row r="368" spans="1:1" ht="13">
      <c r="A368" s="103" t="s">
        <v>1508</v>
      </c>
    </row>
    <row r="369" spans="1:1" ht="13">
      <c r="A369" s="103" t="s">
        <v>1509</v>
      </c>
    </row>
    <row r="370" spans="1:1" ht="13">
      <c r="A370" s="103" t="s">
        <v>1510</v>
      </c>
    </row>
    <row r="371" spans="1:1" ht="13">
      <c r="A371" s="103" t="s">
        <v>1511</v>
      </c>
    </row>
    <row r="372" spans="1:1" ht="13">
      <c r="A372" s="103" t="s">
        <v>1512</v>
      </c>
    </row>
    <row r="373" spans="1:1" ht="13">
      <c r="A373" s="103" t="s">
        <v>1513</v>
      </c>
    </row>
    <row r="374" spans="1:1" ht="13">
      <c r="A374" s="103" t="s">
        <v>1514</v>
      </c>
    </row>
    <row r="375" spans="1:1" ht="13">
      <c r="A375" s="103" t="s">
        <v>1515</v>
      </c>
    </row>
    <row r="376" spans="1:1" ht="13">
      <c r="A376" s="103" t="s">
        <v>1516</v>
      </c>
    </row>
    <row r="377" spans="1:1" ht="13">
      <c r="A377" s="103" t="s">
        <v>1517</v>
      </c>
    </row>
    <row r="378" spans="1:1" ht="13">
      <c r="A378" s="103" t="s">
        <v>1518</v>
      </c>
    </row>
    <row r="379" spans="1:1" ht="13">
      <c r="A379" s="103" t="s">
        <v>1519</v>
      </c>
    </row>
    <row r="380" spans="1:1" ht="13">
      <c r="A380" s="103" t="s">
        <v>1520</v>
      </c>
    </row>
    <row r="381" spans="1:1" ht="13">
      <c r="A381" s="103" t="s">
        <v>1521</v>
      </c>
    </row>
    <row r="382" spans="1:1" ht="13">
      <c r="A382" s="103" t="s">
        <v>1522</v>
      </c>
    </row>
    <row r="383" spans="1:1" ht="13">
      <c r="A383" s="103" t="s">
        <v>1523</v>
      </c>
    </row>
    <row r="384" spans="1:1" ht="13">
      <c r="A384" s="103" t="s">
        <v>1524</v>
      </c>
    </row>
    <row r="385" spans="1:1" ht="13">
      <c r="A385" s="103" t="s">
        <v>1525</v>
      </c>
    </row>
    <row r="386" spans="1:1" ht="13">
      <c r="A386" s="103" t="s">
        <v>1526</v>
      </c>
    </row>
    <row r="387" spans="1:1" ht="13">
      <c r="A387" s="103" t="s">
        <v>1527</v>
      </c>
    </row>
    <row r="388" spans="1:1" ht="13">
      <c r="A388" s="103" t="s">
        <v>1528</v>
      </c>
    </row>
    <row r="389" spans="1:1" ht="13">
      <c r="A389" s="103" t="s">
        <v>1529</v>
      </c>
    </row>
    <row r="390" spans="1:1" ht="13">
      <c r="A390" s="103" t="s">
        <v>1530</v>
      </c>
    </row>
    <row r="391" spans="1:1" ht="13">
      <c r="A391" s="103" t="s">
        <v>1531</v>
      </c>
    </row>
    <row r="392" spans="1:1" ht="13">
      <c r="A392" s="103" t="s">
        <v>1532</v>
      </c>
    </row>
    <row r="393" spans="1:1" ht="13">
      <c r="A393" s="103" t="s">
        <v>1533</v>
      </c>
    </row>
    <row r="394" spans="1:1" ht="13">
      <c r="A394" s="103" t="s">
        <v>1534</v>
      </c>
    </row>
    <row r="395" spans="1:1" ht="13">
      <c r="A395" s="103" t="s">
        <v>1535</v>
      </c>
    </row>
    <row r="396" spans="1:1" ht="13">
      <c r="A396" s="103" t="s">
        <v>1536</v>
      </c>
    </row>
    <row r="397" spans="1:1" ht="13">
      <c r="A397" s="103" t="s">
        <v>1537</v>
      </c>
    </row>
    <row r="398" spans="1:1" ht="13">
      <c r="A398" s="103" t="s">
        <v>1538</v>
      </c>
    </row>
    <row r="399" spans="1:1" ht="13">
      <c r="A399" s="103" t="s">
        <v>1539</v>
      </c>
    </row>
    <row r="400" spans="1:1" ht="13">
      <c r="A400" s="103" t="s">
        <v>1540</v>
      </c>
    </row>
    <row r="401" spans="1:1" ht="13">
      <c r="A401" s="103" t="s">
        <v>1541</v>
      </c>
    </row>
    <row r="402" spans="1:1" ht="13">
      <c r="A402" s="103" t="s">
        <v>1542</v>
      </c>
    </row>
    <row r="403" spans="1:1" ht="13">
      <c r="A403" s="103" t="s">
        <v>1543</v>
      </c>
    </row>
    <row r="404" spans="1:1" ht="13">
      <c r="A404" s="103" t="s">
        <v>1544</v>
      </c>
    </row>
    <row r="405" spans="1:1" ht="13">
      <c r="A405" s="103" t="s">
        <v>1545</v>
      </c>
    </row>
    <row r="406" spans="1:1" ht="13">
      <c r="A406" s="103" t="s">
        <v>1546</v>
      </c>
    </row>
    <row r="407" spans="1:1" ht="13">
      <c r="A407" s="103" t="s">
        <v>1547</v>
      </c>
    </row>
    <row r="408" spans="1:1" ht="13">
      <c r="A408" s="103" t="s">
        <v>1548</v>
      </c>
    </row>
    <row r="409" spans="1:1" ht="13">
      <c r="A409" s="103" t="s">
        <v>1549</v>
      </c>
    </row>
    <row r="410" spans="1:1" ht="13">
      <c r="A410" s="103" t="s">
        <v>1550</v>
      </c>
    </row>
    <row r="411" spans="1:1" ht="13">
      <c r="A411" s="103" t="s">
        <v>1551</v>
      </c>
    </row>
    <row r="412" spans="1:1" ht="13">
      <c r="A412" s="103" t="s">
        <v>1552</v>
      </c>
    </row>
    <row r="413" spans="1:1" ht="13">
      <c r="A413" s="103" t="s">
        <v>1553</v>
      </c>
    </row>
    <row r="414" spans="1:1" ht="13">
      <c r="A414" s="103" t="s">
        <v>1554</v>
      </c>
    </row>
    <row r="415" spans="1:1" ht="13">
      <c r="A415" s="103" t="s">
        <v>1555</v>
      </c>
    </row>
    <row r="416" spans="1:1" ht="13">
      <c r="A416" s="103" t="s">
        <v>1556</v>
      </c>
    </row>
    <row r="417" spans="1:1" ht="13">
      <c r="A417" s="103" t="s">
        <v>1557</v>
      </c>
    </row>
    <row r="418" spans="1:1" ht="13">
      <c r="A418" s="103" t="s">
        <v>1558</v>
      </c>
    </row>
    <row r="419" spans="1:1" ht="13">
      <c r="A419" s="103" t="s">
        <v>1559</v>
      </c>
    </row>
    <row r="420" spans="1:1" ht="13">
      <c r="A420" s="103" t="s">
        <v>1560</v>
      </c>
    </row>
    <row r="421" spans="1:1" ht="13">
      <c r="A421" s="103" t="s">
        <v>1561</v>
      </c>
    </row>
    <row r="422" spans="1:1" ht="13">
      <c r="A422" s="103" t="s">
        <v>1562</v>
      </c>
    </row>
    <row r="423" spans="1:1" ht="13">
      <c r="A423" s="103" t="s">
        <v>1563</v>
      </c>
    </row>
    <row r="424" spans="1:1" ht="13">
      <c r="A424" s="103" t="s">
        <v>1564</v>
      </c>
    </row>
    <row r="425" spans="1:1" ht="13">
      <c r="A425" s="103" t="s">
        <v>1565</v>
      </c>
    </row>
    <row r="426" spans="1:1" ht="13">
      <c r="A426" s="103" t="s">
        <v>1566</v>
      </c>
    </row>
    <row r="427" spans="1:1" ht="13">
      <c r="A427" s="103" t="s">
        <v>1567</v>
      </c>
    </row>
    <row r="428" spans="1:1" ht="13">
      <c r="A428" s="103" t="s">
        <v>1568</v>
      </c>
    </row>
    <row r="429" spans="1:1" ht="13">
      <c r="A429" s="103" t="s">
        <v>1569</v>
      </c>
    </row>
    <row r="430" spans="1:1" ht="13">
      <c r="A430" s="103" t="s">
        <v>1570</v>
      </c>
    </row>
    <row r="431" spans="1:1" ht="13">
      <c r="A431" s="103" t="s">
        <v>1571</v>
      </c>
    </row>
    <row r="432" spans="1:1" ht="13">
      <c r="A432" s="103" t="s">
        <v>1572</v>
      </c>
    </row>
    <row r="433" spans="1:1" ht="13">
      <c r="A433" s="103" t="s">
        <v>1573</v>
      </c>
    </row>
    <row r="434" spans="1:1" ht="13">
      <c r="A434" s="103" t="s">
        <v>1574</v>
      </c>
    </row>
    <row r="435" spans="1:1" ht="13">
      <c r="A435" s="103" t="s">
        <v>1575</v>
      </c>
    </row>
  </sheetData>
  <autoFilter ref="A1:A435" xr:uid="{00000000-0009-0000-0000-00000F000000}"/>
  <hyperlinks>
    <hyperlink ref="A2" r:id="rId1" xr:uid="{00000000-0004-0000-0F00-000000000000}"/>
    <hyperlink ref="A3" r:id="rId2" xr:uid="{00000000-0004-0000-0F00-000001000000}"/>
    <hyperlink ref="A4" r:id="rId3" xr:uid="{00000000-0004-0000-0F00-000002000000}"/>
    <hyperlink ref="A5" r:id="rId4" xr:uid="{00000000-0004-0000-0F00-000003000000}"/>
    <hyperlink ref="A6" r:id="rId5" xr:uid="{00000000-0004-0000-0F00-000004000000}"/>
    <hyperlink ref="A7" r:id="rId6" xr:uid="{00000000-0004-0000-0F00-000005000000}"/>
    <hyperlink ref="A8" r:id="rId7" xr:uid="{00000000-0004-0000-0F00-000006000000}"/>
    <hyperlink ref="A9" r:id="rId8" xr:uid="{00000000-0004-0000-0F00-000007000000}"/>
    <hyperlink ref="A10" r:id="rId9" xr:uid="{00000000-0004-0000-0F00-000008000000}"/>
    <hyperlink ref="A11" r:id="rId10" xr:uid="{00000000-0004-0000-0F00-000009000000}"/>
    <hyperlink ref="A12" r:id="rId11" xr:uid="{00000000-0004-0000-0F00-00000A000000}"/>
    <hyperlink ref="A13" r:id="rId12" xr:uid="{00000000-0004-0000-0F00-00000B000000}"/>
    <hyperlink ref="A14" r:id="rId13" xr:uid="{00000000-0004-0000-0F00-00000C000000}"/>
    <hyperlink ref="A15" r:id="rId14" xr:uid="{00000000-0004-0000-0F00-00000D000000}"/>
    <hyperlink ref="A16" r:id="rId15" xr:uid="{00000000-0004-0000-0F00-00000E000000}"/>
    <hyperlink ref="A17" r:id="rId16" xr:uid="{00000000-0004-0000-0F00-00000F000000}"/>
    <hyperlink ref="A18" r:id="rId17" xr:uid="{00000000-0004-0000-0F00-000010000000}"/>
    <hyperlink ref="A19" r:id="rId18" xr:uid="{00000000-0004-0000-0F00-000011000000}"/>
    <hyperlink ref="A20" r:id="rId19" xr:uid="{00000000-0004-0000-0F00-000012000000}"/>
    <hyperlink ref="A21" r:id="rId20" xr:uid="{00000000-0004-0000-0F00-000013000000}"/>
    <hyperlink ref="A22" r:id="rId21" xr:uid="{00000000-0004-0000-0F00-000014000000}"/>
    <hyperlink ref="A23" r:id="rId22" xr:uid="{00000000-0004-0000-0F00-000015000000}"/>
    <hyperlink ref="A24" r:id="rId23" xr:uid="{00000000-0004-0000-0F00-000016000000}"/>
    <hyperlink ref="A25" r:id="rId24" xr:uid="{00000000-0004-0000-0F00-000017000000}"/>
    <hyperlink ref="A26" r:id="rId25" xr:uid="{00000000-0004-0000-0F00-000018000000}"/>
    <hyperlink ref="A27" r:id="rId26" xr:uid="{00000000-0004-0000-0F00-000019000000}"/>
    <hyperlink ref="A28" r:id="rId27" xr:uid="{00000000-0004-0000-0F00-00001A000000}"/>
    <hyperlink ref="A29" r:id="rId28" xr:uid="{00000000-0004-0000-0F00-00001B000000}"/>
    <hyperlink ref="A30" r:id="rId29" xr:uid="{00000000-0004-0000-0F00-00001C000000}"/>
    <hyperlink ref="A31" r:id="rId30" xr:uid="{00000000-0004-0000-0F00-00001D000000}"/>
    <hyperlink ref="A32" r:id="rId31" xr:uid="{00000000-0004-0000-0F00-00001E000000}"/>
    <hyperlink ref="A33" r:id="rId32" xr:uid="{00000000-0004-0000-0F00-00001F000000}"/>
    <hyperlink ref="A34" r:id="rId33" xr:uid="{00000000-0004-0000-0F00-000020000000}"/>
    <hyperlink ref="A35" r:id="rId34" xr:uid="{00000000-0004-0000-0F00-000021000000}"/>
    <hyperlink ref="A36" r:id="rId35" xr:uid="{00000000-0004-0000-0F00-000022000000}"/>
    <hyperlink ref="A37" r:id="rId36" xr:uid="{00000000-0004-0000-0F00-000023000000}"/>
    <hyperlink ref="A38" r:id="rId37" xr:uid="{00000000-0004-0000-0F00-000024000000}"/>
    <hyperlink ref="A39" r:id="rId38" xr:uid="{00000000-0004-0000-0F00-000025000000}"/>
    <hyperlink ref="A40" r:id="rId39" xr:uid="{00000000-0004-0000-0F00-000026000000}"/>
    <hyperlink ref="A41" r:id="rId40" xr:uid="{00000000-0004-0000-0F00-000027000000}"/>
    <hyperlink ref="A42" r:id="rId41" xr:uid="{00000000-0004-0000-0F00-000028000000}"/>
    <hyperlink ref="A43" r:id="rId42" xr:uid="{00000000-0004-0000-0F00-000029000000}"/>
    <hyperlink ref="A44" r:id="rId43" xr:uid="{00000000-0004-0000-0F00-00002A000000}"/>
    <hyperlink ref="A45" r:id="rId44" xr:uid="{00000000-0004-0000-0F00-00002B000000}"/>
    <hyperlink ref="A46" r:id="rId45" xr:uid="{00000000-0004-0000-0F00-00002C000000}"/>
    <hyperlink ref="A47" r:id="rId46" xr:uid="{00000000-0004-0000-0F00-00002D000000}"/>
    <hyperlink ref="A48" r:id="rId47" xr:uid="{00000000-0004-0000-0F00-00002E000000}"/>
    <hyperlink ref="A49" r:id="rId48" xr:uid="{00000000-0004-0000-0F00-00002F000000}"/>
    <hyperlink ref="A50" r:id="rId49" xr:uid="{00000000-0004-0000-0F00-000030000000}"/>
    <hyperlink ref="A51" r:id="rId50" xr:uid="{00000000-0004-0000-0F00-000031000000}"/>
    <hyperlink ref="A52" r:id="rId51" xr:uid="{00000000-0004-0000-0F00-000032000000}"/>
    <hyperlink ref="A53" r:id="rId52" xr:uid="{00000000-0004-0000-0F00-000033000000}"/>
    <hyperlink ref="A54" r:id="rId53" xr:uid="{00000000-0004-0000-0F00-000034000000}"/>
    <hyperlink ref="A55" r:id="rId54" xr:uid="{00000000-0004-0000-0F00-000035000000}"/>
    <hyperlink ref="A56" r:id="rId55" xr:uid="{00000000-0004-0000-0F00-000036000000}"/>
    <hyperlink ref="A57" r:id="rId56" xr:uid="{00000000-0004-0000-0F00-000037000000}"/>
    <hyperlink ref="A58" r:id="rId57" xr:uid="{00000000-0004-0000-0F00-000038000000}"/>
    <hyperlink ref="A59" r:id="rId58" xr:uid="{00000000-0004-0000-0F00-000039000000}"/>
    <hyperlink ref="A60" r:id="rId59" xr:uid="{00000000-0004-0000-0F00-00003A000000}"/>
    <hyperlink ref="A61" r:id="rId60" xr:uid="{00000000-0004-0000-0F00-00003B000000}"/>
    <hyperlink ref="A62" r:id="rId61" xr:uid="{00000000-0004-0000-0F00-00003C000000}"/>
    <hyperlink ref="A63" r:id="rId62" xr:uid="{00000000-0004-0000-0F00-00003D000000}"/>
    <hyperlink ref="A64" r:id="rId63" xr:uid="{00000000-0004-0000-0F00-00003E000000}"/>
    <hyperlink ref="A65" r:id="rId64" xr:uid="{00000000-0004-0000-0F00-00003F000000}"/>
    <hyperlink ref="A66" r:id="rId65" xr:uid="{00000000-0004-0000-0F00-000040000000}"/>
    <hyperlink ref="A67" r:id="rId66" xr:uid="{00000000-0004-0000-0F00-000041000000}"/>
    <hyperlink ref="A68" r:id="rId67" xr:uid="{00000000-0004-0000-0F00-000042000000}"/>
    <hyperlink ref="A69" r:id="rId68" xr:uid="{00000000-0004-0000-0F00-000043000000}"/>
    <hyperlink ref="A70" r:id="rId69" xr:uid="{00000000-0004-0000-0F00-000044000000}"/>
    <hyperlink ref="A71" r:id="rId70" xr:uid="{00000000-0004-0000-0F00-000045000000}"/>
    <hyperlink ref="A72" r:id="rId71" xr:uid="{00000000-0004-0000-0F00-000046000000}"/>
    <hyperlink ref="A73" r:id="rId72" xr:uid="{00000000-0004-0000-0F00-000047000000}"/>
    <hyperlink ref="A74" r:id="rId73" xr:uid="{00000000-0004-0000-0F00-000048000000}"/>
    <hyperlink ref="A75" r:id="rId74" xr:uid="{00000000-0004-0000-0F00-000049000000}"/>
    <hyperlink ref="A76" r:id="rId75" xr:uid="{00000000-0004-0000-0F00-00004A000000}"/>
    <hyperlink ref="A77" r:id="rId76" xr:uid="{00000000-0004-0000-0F00-00004B000000}"/>
    <hyperlink ref="A78" r:id="rId77" xr:uid="{00000000-0004-0000-0F00-00004C000000}"/>
    <hyperlink ref="A79" r:id="rId78" xr:uid="{00000000-0004-0000-0F00-00004D000000}"/>
    <hyperlink ref="A80" r:id="rId79" xr:uid="{00000000-0004-0000-0F00-00004E000000}"/>
    <hyperlink ref="A81" r:id="rId80" xr:uid="{00000000-0004-0000-0F00-00004F000000}"/>
    <hyperlink ref="A82" r:id="rId81" xr:uid="{00000000-0004-0000-0F00-000050000000}"/>
    <hyperlink ref="A83" r:id="rId82" xr:uid="{00000000-0004-0000-0F00-000051000000}"/>
    <hyperlink ref="A84" r:id="rId83" xr:uid="{00000000-0004-0000-0F00-000052000000}"/>
    <hyperlink ref="A85" r:id="rId84" xr:uid="{00000000-0004-0000-0F00-000053000000}"/>
    <hyperlink ref="A86" r:id="rId85" xr:uid="{00000000-0004-0000-0F00-000054000000}"/>
    <hyperlink ref="A87" r:id="rId86" xr:uid="{00000000-0004-0000-0F00-000055000000}"/>
    <hyperlink ref="A88" r:id="rId87" xr:uid="{00000000-0004-0000-0F00-000056000000}"/>
    <hyperlink ref="A89" r:id="rId88" xr:uid="{00000000-0004-0000-0F00-000057000000}"/>
    <hyperlink ref="A90" r:id="rId89" xr:uid="{00000000-0004-0000-0F00-000058000000}"/>
    <hyperlink ref="A91" r:id="rId90" xr:uid="{00000000-0004-0000-0F00-000059000000}"/>
    <hyperlink ref="A92" r:id="rId91" xr:uid="{00000000-0004-0000-0F00-00005A000000}"/>
    <hyperlink ref="A93" r:id="rId92" xr:uid="{00000000-0004-0000-0F00-00005B000000}"/>
    <hyperlink ref="A94" r:id="rId93" xr:uid="{00000000-0004-0000-0F00-00005C000000}"/>
    <hyperlink ref="A95" r:id="rId94" xr:uid="{00000000-0004-0000-0F00-00005D000000}"/>
    <hyperlink ref="A96" r:id="rId95" xr:uid="{00000000-0004-0000-0F00-00005E000000}"/>
    <hyperlink ref="A97" r:id="rId96" xr:uid="{00000000-0004-0000-0F00-00005F000000}"/>
    <hyperlink ref="A98" r:id="rId97" xr:uid="{00000000-0004-0000-0F00-000060000000}"/>
    <hyperlink ref="A99" r:id="rId98" xr:uid="{00000000-0004-0000-0F00-000061000000}"/>
    <hyperlink ref="A100" r:id="rId99" xr:uid="{00000000-0004-0000-0F00-000062000000}"/>
    <hyperlink ref="A101" r:id="rId100" xr:uid="{00000000-0004-0000-0F00-000063000000}"/>
    <hyperlink ref="A102" r:id="rId101" xr:uid="{00000000-0004-0000-0F00-000064000000}"/>
    <hyperlink ref="A103" r:id="rId102" xr:uid="{00000000-0004-0000-0F00-000065000000}"/>
    <hyperlink ref="A104" r:id="rId103" xr:uid="{00000000-0004-0000-0F00-000066000000}"/>
    <hyperlink ref="A105" r:id="rId104" xr:uid="{00000000-0004-0000-0F00-000067000000}"/>
    <hyperlink ref="A106" r:id="rId105" xr:uid="{00000000-0004-0000-0F00-000068000000}"/>
    <hyperlink ref="A107" r:id="rId106" xr:uid="{00000000-0004-0000-0F00-000069000000}"/>
    <hyperlink ref="A108" r:id="rId107" xr:uid="{00000000-0004-0000-0F00-00006A000000}"/>
    <hyperlink ref="A109" r:id="rId108" xr:uid="{00000000-0004-0000-0F00-00006B000000}"/>
    <hyperlink ref="A110" r:id="rId109" xr:uid="{00000000-0004-0000-0F00-00006C000000}"/>
    <hyperlink ref="A111" r:id="rId110" xr:uid="{00000000-0004-0000-0F00-00006D000000}"/>
    <hyperlink ref="A112" r:id="rId111" xr:uid="{00000000-0004-0000-0F00-00006E000000}"/>
    <hyperlink ref="A113" r:id="rId112" xr:uid="{00000000-0004-0000-0F00-00006F000000}"/>
    <hyperlink ref="A114" r:id="rId113" xr:uid="{00000000-0004-0000-0F00-000070000000}"/>
    <hyperlink ref="A115" r:id="rId114" xr:uid="{00000000-0004-0000-0F00-000071000000}"/>
    <hyperlink ref="A116" r:id="rId115" xr:uid="{00000000-0004-0000-0F00-000072000000}"/>
    <hyperlink ref="A117" r:id="rId116" xr:uid="{00000000-0004-0000-0F00-000073000000}"/>
    <hyperlink ref="A118" r:id="rId117" xr:uid="{00000000-0004-0000-0F00-000074000000}"/>
    <hyperlink ref="A119" r:id="rId118" xr:uid="{00000000-0004-0000-0F00-000075000000}"/>
    <hyperlink ref="A120" r:id="rId119" xr:uid="{00000000-0004-0000-0F00-000076000000}"/>
    <hyperlink ref="A121" r:id="rId120" xr:uid="{00000000-0004-0000-0F00-000077000000}"/>
    <hyperlink ref="A122" r:id="rId121" xr:uid="{00000000-0004-0000-0F00-000078000000}"/>
    <hyperlink ref="A123" r:id="rId122" xr:uid="{00000000-0004-0000-0F00-000079000000}"/>
    <hyperlink ref="A124" r:id="rId123" xr:uid="{00000000-0004-0000-0F00-00007A000000}"/>
    <hyperlink ref="A125" r:id="rId124" xr:uid="{00000000-0004-0000-0F00-00007B000000}"/>
    <hyperlink ref="A126" r:id="rId125" xr:uid="{00000000-0004-0000-0F00-00007C000000}"/>
    <hyperlink ref="A127" r:id="rId126" xr:uid="{00000000-0004-0000-0F00-00007D000000}"/>
    <hyperlink ref="A128" r:id="rId127" xr:uid="{00000000-0004-0000-0F00-00007E000000}"/>
    <hyperlink ref="A129" r:id="rId128" xr:uid="{00000000-0004-0000-0F00-00007F000000}"/>
    <hyperlink ref="A130" r:id="rId129" xr:uid="{00000000-0004-0000-0F00-000080000000}"/>
    <hyperlink ref="A131" r:id="rId130" xr:uid="{00000000-0004-0000-0F00-000081000000}"/>
    <hyperlink ref="A132" r:id="rId131" xr:uid="{00000000-0004-0000-0F00-000082000000}"/>
    <hyperlink ref="A133" r:id="rId132" xr:uid="{00000000-0004-0000-0F00-000083000000}"/>
    <hyperlink ref="A134" r:id="rId133" xr:uid="{00000000-0004-0000-0F00-000084000000}"/>
    <hyperlink ref="A135" r:id="rId134" xr:uid="{00000000-0004-0000-0F00-000085000000}"/>
    <hyperlink ref="A136" r:id="rId135" xr:uid="{00000000-0004-0000-0F00-000086000000}"/>
    <hyperlink ref="A137" r:id="rId136" xr:uid="{00000000-0004-0000-0F00-000087000000}"/>
    <hyperlink ref="A138" r:id="rId137" xr:uid="{00000000-0004-0000-0F00-000088000000}"/>
    <hyperlink ref="A139" r:id="rId138" xr:uid="{00000000-0004-0000-0F00-000089000000}"/>
    <hyperlink ref="A140" r:id="rId139" xr:uid="{00000000-0004-0000-0F00-00008A000000}"/>
    <hyperlink ref="A141" r:id="rId140" xr:uid="{00000000-0004-0000-0F00-00008B000000}"/>
    <hyperlink ref="A142" r:id="rId141" xr:uid="{00000000-0004-0000-0F00-00008C000000}"/>
    <hyperlink ref="A143" r:id="rId142" xr:uid="{00000000-0004-0000-0F00-00008D000000}"/>
    <hyperlink ref="A144" r:id="rId143" xr:uid="{00000000-0004-0000-0F00-00008E000000}"/>
    <hyperlink ref="A145" r:id="rId144" xr:uid="{00000000-0004-0000-0F00-00008F000000}"/>
    <hyperlink ref="A146" r:id="rId145" xr:uid="{00000000-0004-0000-0F00-000090000000}"/>
    <hyperlink ref="A147" r:id="rId146" xr:uid="{00000000-0004-0000-0F00-000091000000}"/>
    <hyperlink ref="A148" r:id="rId147" xr:uid="{00000000-0004-0000-0F00-000092000000}"/>
    <hyperlink ref="A149" r:id="rId148" xr:uid="{00000000-0004-0000-0F00-000093000000}"/>
    <hyperlink ref="A150" r:id="rId149" xr:uid="{00000000-0004-0000-0F00-000094000000}"/>
    <hyperlink ref="A151" r:id="rId150" xr:uid="{00000000-0004-0000-0F00-000095000000}"/>
    <hyperlink ref="A152" r:id="rId151" xr:uid="{00000000-0004-0000-0F00-000096000000}"/>
    <hyperlink ref="A153" r:id="rId152" xr:uid="{00000000-0004-0000-0F00-000097000000}"/>
    <hyperlink ref="A154" r:id="rId153" xr:uid="{00000000-0004-0000-0F00-000098000000}"/>
    <hyperlink ref="A155" r:id="rId154" xr:uid="{00000000-0004-0000-0F00-000099000000}"/>
    <hyperlink ref="A156" r:id="rId155" xr:uid="{00000000-0004-0000-0F00-00009A000000}"/>
    <hyperlink ref="A157" r:id="rId156" xr:uid="{00000000-0004-0000-0F00-00009B000000}"/>
    <hyperlink ref="A158" r:id="rId157" xr:uid="{00000000-0004-0000-0F00-00009C000000}"/>
    <hyperlink ref="A159" r:id="rId158" xr:uid="{00000000-0004-0000-0F00-00009D000000}"/>
    <hyperlink ref="A160" r:id="rId159" xr:uid="{00000000-0004-0000-0F00-00009E000000}"/>
    <hyperlink ref="A161" r:id="rId160" xr:uid="{00000000-0004-0000-0F00-00009F000000}"/>
    <hyperlink ref="A162" r:id="rId161" xr:uid="{00000000-0004-0000-0F00-0000A0000000}"/>
    <hyperlink ref="A163" r:id="rId162" xr:uid="{00000000-0004-0000-0F00-0000A1000000}"/>
    <hyperlink ref="A164" r:id="rId163" xr:uid="{00000000-0004-0000-0F00-0000A2000000}"/>
    <hyperlink ref="A165" r:id="rId164" xr:uid="{00000000-0004-0000-0F00-0000A3000000}"/>
    <hyperlink ref="A166" r:id="rId165" xr:uid="{00000000-0004-0000-0F00-0000A4000000}"/>
    <hyperlink ref="A167" r:id="rId166" xr:uid="{00000000-0004-0000-0F00-0000A5000000}"/>
    <hyperlink ref="A168" r:id="rId167" xr:uid="{00000000-0004-0000-0F00-0000A6000000}"/>
    <hyperlink ref="A169" r:id="rId168" xr:uid="{00000000-0004-0000-0F00-0000A7000000}"/>
    <hyperlink ref="A170" r:id="rId169" xr:uid="{00000000-0004-0000-0F00-0000A8000000}"/>
    <hyperlink ref="A171" r:id="rId170" xr:uid="{00000000-0004-0000-0F00-0000A9000000}"/>
    <hyperlink ref="A172" r:id="rId171" xr:uid="{00000000-0004-0000-0F00-0000AA000000}"/>
    <hyperlink ref="A173" r:id="rId172" xr:uid="{00000000-0004-0000-0F00-0000AB000000}"/>
    <hyperlink ref="A174" r:id="rId173" xr:uid="{00000000-0004-0000-0F00-0000AC000000}"/>
    <hyperlink ref="A175" r:id="rId174" xr:uid="{00000000-0004-0000-0F00-0000AD000000}"/>
    <hyperlink ref="A176" r:id="rId175" xr:uid="{00000000-0004-0000-0F00-0000AE000000}"/>
    <hyperlink ref="A177" r:id="rId176" xr:uid="{00000000-0004-0000-0F00-0000AF000000}"/>
    <hyperlink ref="A178" r:id="rId177" xr:uid="{00000000-0004-0000-0F00-0000B0000000}"/>
    <hyperlink ref="A179" r:id="rId178" xr:uid="{00000000-0004-0000-0F00-0000B1000000}"/>
    <hyperlink ref="A180" r:id="rId179" xr:uid="{00000000-0004-0000-0F00-0000B2000000}"/>
    <hyperlink ref="A181" r:id="rId180" xr:uid="{00000000-0004-0000-0F00-0000B3000000}"/>
    <hyperlink ref="A182" r:id="rId181" xr:uid="{00000000-0004-0000-0F00-0000B4000000}"/>
    <hyperlink ref="A183" r:id="rId182" xr:uid="{00000000-0004-0000-0F00-0000B5000000}"/>
    <hyperlink ref="A184" r:id="rId183" xr:uid="{00000000-0004-0000-0F00-0000B6000000}"/>
    <hyperlink ref="A185" r:id="rId184" xr:uid="{00000000-0004-0000-0F00-0000B7000000}"/>
    <hyperlink ref="A186" r:id="rId185" xr:uid="{00000000-0004-0000-0F00-0000B8000000}"/>
    <hyperlink ref="A187" r:id="rId186" xr:uid="{00000000-0004-0000-0F00-0000B9000000}"/>
    <hyperlink ref="A188" r:id="rId187" xr:uid="{00000000-0004-0000-0F00-0000BA000000}"/>
    <hyperlink ref="A189" r:id="rId188" xr:uid="{00000000-0004-0000-0F00-0000BB000000}"/>
    <hyperlink ref="A190" r:id="rId189" xr:uid="{00000000-0004-0000-0F00-0000BC000000}"/>
    <hyperlink ref="A191" r:id="rId190" xr:uid="{00000000-0004-0000-0F00-0000BD000000}"/>
    <hyperlink ref="A192" r:id="rId191" xr:uid="{00000000-0004-0000-0F00-0000BE000000}"/>
    <hyperlink ref="A193" r:id="rId192" xr:uid="{00000000-0004-0000-0F00-0000BF000000}"/>
    <hyperlink ref="A194" r:id="rId193" xr:uid="{00000000-0004-0000-0F00-0000C0000000}"/>
    <hyperlink ref="A195" r:id="rId194" xr:uid="{00000000-0004-0000-0F00-0000C1000000}"/>
    <hyperlink ref="A196" r:id="rId195" xr:uid="{00000000-0004-0000-0F00-0000C2000000}"/>
    <hyperlink ref="A197" r:id="rId196" xr:uid="{00000000-0004-0000-0F00-0000C3000000}"/>
    <hyperlink ref="A198" r:id="rId197" xr:uid="{00000000-0004-0000-0F00-0000C4000000}"/>
    <hyperlink ref="A199" r:id="rId198" xr:uid="{00000000-0004-0000-0F00-0000C5000000}"/>
    <hyperlink ref="A200" r:id="rId199" xr:uid="{00000000-0004-0000-0F00-0000C6000000}"/>
    <hyperlink ref="A201" r:id="rId200" xr:uid="{00000000-0004-0000-0F00-0000C7000000}"/>
    <hyperlink ref="A202" r:id="rId201" xr:uid="{00000000-0004-0000-0F00-0000C8000000}"/>
    <hyperlink ref="A203" r:id="rId202" xr:uid="{00000000-0004-0000-0F00-0000C9000000}"/>
    <hyperlink ref="A204" r:id="rId203" xr:uid="{00000000-0004-0000-0F00-0000CA000000}"/>
    <hyperlink ref="A205" r:id="rId204" xr:uid="{00000000-0004-0000-0F00-0000CB000000}"/>
    <hyperlink ref="A206" r:id="rId205" xr:uid="{00000000-0004-0000-0F00-0000CC000000}"/>
    <hyperlink ref="A207" r:id="rId206" xr:uid="{00000000-0004-0000-0F00-0000CD000000}"/>
    <hyperlink ref="A208" r:id="rId207" xr:uid="{00000000-0004-0000-0F00-0000CE000000}"/>
    <hyperlink ref="A209" r:id="rId208" xr:uid="{00000000-0004-0000-0F00-0000CF000000}"/>
    <hyperlink ref="A210" r:id="rId209" xr:uid="{00000000-0004-0000-0F00-0000D0000000}"/>
    <hyperlink ref="A211" r:id="rId210" xr:uid="{00000000-0004-0000-0F00-0000D1000000}"/>
    <hyperlink ref="A212" r:id="rId211" xr:uid="{00000000-0004-0000-0F00-0000D2000000}"/>
    <hyperlink ref="A213" r:id="rId212" xr:uid="{00000000-0004-0000-0F00-0000D3000000}"/>
    <hyperlink ref="A214" r:id="rId213" xr:uid="{00000000-0004-0000-0F00-0000D4000000}"/>
    <hyperlink ref="A215" r:id="rId214" xr:uid="{00000000-0004-0000-0F00-0000D5000000}"/>
    <hyperlink ref="A216" r:id="rId215" xr:uid="{00000000-0004-0000-0F00-0000D6000000}"/>
    <hyperlink ref="A217" r:id="rId216" xr:uid="{00000000-0004-0000-0F00-0000D7000000}"/>
    <hyperlink ref="A218" r:id="rId217" xr:uid="{00000000-0004-0000-0F00-0000D8000000}"/>
    <hyperlink ref="A219" r:id="rId218" xr:uid="{00000000-0004-0000-0F00-0000D9000000}"/>
    <hyperlink ref="A220" r:id="rId219" xr:uid="{00000000-0004-0000-0F00-0000DA000000}"/>
    <hyperlink ref="A221" r:id="rId220" xr:uid="{00000000-0004-0000-0F00-0000DB000000}"/>
    <hyperlink ref="A222" r:id="rId221" xr:uid="{00000000-0004-0000-0F00-0000DC000000}"/>
    <hyperlink ref="A223" r:id="rId222" xr:uid="{00000000-0004-0000-0F00-0000DD000000}"/>
    <hyperlink ref="A224" r:id="rId223" xr:uid="{00000000-0004-0000-0F00-0000DE000000}"/>
    <hyperlink ref="A225" r:id="rId224" xr:uid="{00000000-0004-0000-0F00-0000DF000000}"/>
    <hyperlink ref="A226" r:id="rId225" xr:uid="{00000000-0004-0000-0F00-0000E0000000}"/>
    <hyperlink ref="A227" r:id="rId226" xr:uid="{00000000-0004-0000-0F00-0000E1000000}"/>
    <hyperlink ref="A228" r:id="rId227" xr:uid="{00000000-0004-0000-0F00-0000E2000000}"/>
    <hyperlink ref="A229" r:id="rId228" xr:uid="{00000000-0004-0000-0F00-0000E3000000}"/>
    <hyperlink ref="A230" r:id="rId229" xr:uid="{00000000-0004-0000-0F00-0000E4000000}"/>
    <hyperlink ref="A231" r:id="rId230" xr:uid="{00000000-0004-0000-0F00-0000E5000000}"/>
    <hyperlink ref="A232" r:id="rId231" xr:uid="{00000000-0004-0000-0F00-0000E6000000}"/>
    <hyperlink ref="A233" r:id="rId232" xr:uid="{00000000-0004-0000-0F00-0000E7000000}"/>
    <hyperlink ref="A234" r:id="rId233" xr:uid="{00000000-0004-0000-0F00-0000E8000000}"/>
    <hyperlink ref="A235" r:id="rId234" xr:uid="{00000000-0004-0000-0F00-0000E9000000}"/>
    <hyperlink ref="A236" r:id="rId235" xr:uid="{00000000-0004-0000-0F00-0000EA000000}"/>
    <hyperlink ref="A237" r:id="rId236" xr:uid="{00000000-0004-0000-0F00-0000EB000000}"/>
    <hyperlink ref="A238" r:id="rId237" xr:uid="{00000000-0004-0000-0F00-0000EC000000}"/>
    <hyperlink ref="A239" r:id="rId238" xr:uid="{00000000-0004-0000-0F00-0000ED000000}"/>
    <hyperlink ref="A240" r:id="rId239" xr:uid="{00000000-0004-0000-0F00-0000EE000000}"/>
    <hyperlink ref="A241" r:id="rId240" xr:uid="{00000000-0004-0000-0F00-0000EF000000}"/>
    <hyperlink ref="A242" r:id="rId241" xr:uid="{00000000-0004-0000-0F00-0000F0000000}"/>
    <hyperlink ref="A243" r:id="rId242" xr:uid="{00000000-0004-0000-0F00-0000F1000000}"/>
    <hyperlink ref="A244" r:id="rId243" xr:uid="{00000000-0004-0000-0F00-0000F2000000}"/>
    <hyperlink ref="A245" r:id="rId244" xr:uid="{00000000-0004-0000-0F00-0000F3000000}"/>
    <hyperlink ref="A246" r:id="rId245" xr:uid="{00000000-0004-0000-0F00-0000F4000000}"/>
    <hyperlink ref="A247" r:id="rId246" xr:uid="{00000000-0004-0000-0F00-0000F5000000}"/>
    <hyperlink ref="A248" r:id="rId247" xr:uid="{00000000-0004-0000-0F00-0000F6000000}"/>
    <hyperlink ref="A249" r:id="rId248" xr:uid="{00000000-0004-0000-0F00-0000F7000000}"/>
    <hyperlink ref="A250" r:id="rId249" xr:uid="{00000000-0004-0000-0F00-0000F8000000}"/>
    <hyperlink ref="A251" r:id="rId250" xr:uid="{00000000-0004-0000-0F00-0000F9000000}"/>
    <hyperlink ref="A252" r:id="rId251" xr:uid="{00000000-0004-0000-0F00-0000FA000000}"/>
    <hyperlink ref="A253" r:id="rId252" xr:uid="{00000000-0004-0000-0F00-0000FB000000}"/>
    <hyperlink ref="A254" r:id="rId253" xr:uid="{00000000-0004-0000-0F00-0000FC000000}"/>
    <hyperlink ref="A255" r:id="rId254" xr:uid="{00000000-0004-0000-0F00-0000FD000000}"/>
    <hyperlink ref="A256" r:id="rId255" xr:uid="{00000000-0004-0000-0F00-0000FE000000}"/>
    <hyperlink ref="A257" r:id="rId256" xr:uid="{00000000-0004-0000-0F00-0000FF000000}"/>
    <hyperlink ref="A258" r:id="rId257" xr:uid="{00000000-0004-0000-0F00-000000010000}"/>
    <hyperlink ref="A259" r:id="rId258" xr:uid="{00000000-0004-0000-0F00-000001010000}"/>
    <hyperlink ref="A260" r:id="rId259" xr:uid="{00000000-0004-0000-0F00-000002010000}"/>
    <hyperlink ref="A261" r:id="rId260" xr:uid="{00000000-0004-0000-0F00-000003010000}"/>
    <hyperlink ref="A262" r:id="rId261" xr:uid="{00000000-0004-0000-0F00-000004010000}"/>
    <hyperlink ref="A263" r:id="rId262" xr:uid="{00000000-0004-0000-0F00-000005010000}"/>
    <hyperlink ref="A264" r:id="rId263" xr:uid="{00000000-0004-0000-0F00-000006010000}"/>
    <hyperlink ref="A265" r:id="rId264" xr:uid="{00000000-0004-0000-0F00-000007010000}"/>
    <hyperlink ref="A266" r:id="rId265" xr:uid="{00000000-0004-0000-0F00-000008010000}"/>
    <hyperlink ref="A267" r:id="rId266" xr:uid="{00000000-0004-0000-0F00-000009010000}"/>
    <hyperlink ref="A268" r:id="rId267" xr:uid="{00000000-0004-0000-0F00-00000A010000}"/>
    <hyperlink ref="A269" r:id="rId268" xr:uid="{00000000-0004-0000-0F00-00000B010000}"/>
    <hyperlink ref="A270" r:id="rId269" xr:uid="{00000000-0004-0000-0F00-00000C010000}"/>
    <hyperlink ref="A271" r:id="rId270" xr:uid="{00000000-0004-0000-0F00-00000D010000}"/>
    <hyperlink ref="A272" r:id="rId271" xr:uid="{00000000-0004-0000-0F00-00000E010000}"/>
    <hyperlink ref="A273" r:id="rId272" xr:uid="{00000000-0004-0000-0F00-00000F010000}"/>
    <hyperlink ref="A274" r:id="rId273" xr:uid="{00000000-0004-0000-0F00-000010010000}"/>
    <hyperlink ref="A275" r:id="rId274" xr:uid="{00000000-0004-0000-0F00-000011010000}"/>
    <hyperlink ref="A276" r:id="rId275" xr:uid="{00000000-0004-0000-0F00-000012010000}"/>
    <hyperlink ref="A277" r:id="rId276" xr:uid="{00000000-0004-0000-0F00-000013010000}"/>
    <hyperlink ref="A278" r:id="rId277" xr:uid="{00000000-0004-0000-0F00-000014010000}"/>
    <hyperlink ref="A279" r:id="rId278" xr:uid="{00000000-0004-0000-0F00-000015010000}"/>
    <hyperlink ref="A280" r:id="rId279" xr:uid="{00000000-0004-0000-0F00-000016010000}"/>
    <hyperlink ref="A281" r:id="rId280" xr:uid="{00000000-0004-0000-0F00-000017010000}"/>
    <hyperlink ref="A282" r:id="rId281" xr:uid="{00000000-0004-0000-0F00-000018010000}"/>
    <hyperlink ref="A283" r:id="rId282" xr:uid="{00000000-0004-0000-0F00-000019010000}"/>
    <hyperlink ref="A284" r:id="rId283" xr:uid="{00000000-0004-0000-0F00-00001A010000}"/>
    <hyperlink ref="A285" r:id="rId284" xr:uid="{00000000-0004-0000-0F00-00001B010000}"/>
    <hyperlink ref="A286" r:id="rId285" xr:uid="{00000000-0004-0000-0F00-00001C010000}"/>
    <hyperlink ref="A287" r:id="rId286" xr:uid="{00000000-0004-0000-0F00-00001D010000}"/>
    <hyperlink ref="A288" r:id="rId287" xr:uid="{00000000-0004-0000-0F00-00001E010000}"/>
    <hyperlink ref="A289" r:id="rId288" xr:uid="{00000000-0004-0000-0F00-00001F010000}"/>
    <hyperlink ref="A290" r:id="rId289" xr:uid="{00000000-0004-0000-0F00-000020010000}"/>
    <hyperlink ref="A291" r:id="rId290" xr:uid="{00000000-0004-0000-0F00-000021010000}"/>
    <hyperlink ref="A292" r:id="rId291" xr:uid="{00000000-0004-0000-0F00-000022010000}"/>
    <hyperlink ref="A293" r:id="rId292" xr:uid="{00000000-0004-0000-0F00-000023010000}"/>
    <hyperlink ref="A294" r:id="rId293" xr:uid="{00000000-0004-0000-0F00-000024010000}"/>
    <hyperlink ref="A295" r:id="rId294" xr:uid="{00000000-0004-0000-0F00-000025010000}"/>
    <hyperlink ref="A296" r:id="rId295" xr:uid="{00000000-0004-0000-0F00-000026010000}"/>
    <hyperlink ref="A297" r:id="rId296" xr:uid="{00000000-0004-0000-0F00-000027010000}"/>
    <hyperlink ref="A298" r:id="rId297" xr:uid="{00000000-0004-0000-0F00-000028010000}"/>
    <hyperlink ref="A299" r:id="rId298" xr:uid="{00000000-0004-0000-0F00-000029010000}"/>
    <hyperlink ref="A300" r:id="rId299" xr:uid="{00000000-0004-0000-0F00-00002A010000}"/>
    <hyperlink ref="A301" r:id="rId300" xr:uid="{00000000-0004-0000-0F00-00002B010000}"/>
    <hyperlink ref="A302" r:id="rId301" xr:uid="{00000000-0004-0000-0F00-00002C010000}"/>
    <hyperlink ref="A303" r:id="rId302" xr:uid="{00000000-0004-0000-0F00-00002D010000}"/>
    <hyperlink ref="A304" r:id="rId303" xr:uid="{00000000-0004-0000-0F00-00002E010000}"/>
    <hyperlink ref="A305" r:id="rId304" xr:uid="{00000000-0004-0000-0F00-00002F010000}"/>
    <hyperlink ref="A306" r:id="rId305" xr:uid="{00000000-0004-0000-0F00-000030010000}"/>
    <hyperlink ref="A307" r:id="rId306" xr:uid="{00000000-0004-0000-0F00-000031010000}"/>
    <hyperlink ref="A308" r:id="rId307" xr:uid="{00000000-0004-0000-0F00-000032010000}"/>
    <hyperlink ref="A309" r:id="rId308" xr:uid="{00000000-0004-0000-0F00-000033010000}"/>
    <hyperlink ref="A310" r:id="rId309" xr:uid="{00000000-0004-0000-0F00-000034010000}"/>
    <hyperlink ref="A311" r:id="rId310" xr:uid="{00000000-0004-0000-0F00-000035010000}"/>
    <hyperlink ref="A312" r:id="rId311" xr:uid="{00000000-0004-0000-0F00-000036010000}"/>
    <hyperlink ref="A313" r:id="rId312" xr:uid="{00000000-0004-0000-0F00-000037010000}"/>
    <hyperlink ref="A314" r:id="rId313" xr:uid="{00000000-0004-0000-0F00-000038010000}"/>
    <hyperlink ref="A315" r:id="rId314" xr:uid="{00000000-0004-0000-0F00-000039010000}"/>
    <hyperlink ref="A316" r:id="rId315" xr:uid="{00000000-0004-0000-0F00-00003A010000}"/>
    <hyperlink ref="A317" r:id="rId316" xr:uid="{00000000-0004-0000-0F00-00003B010000}"/>
    <hyperlink ref="A318" r:id="rId317" xr:uid="{00000000-0004-0000-0F00-00003C010000}"/>
    <hyperlink ref="A319" r:id="rId318" xr:uid="{00000000-0004-0000-0F00-00003D010000}"/>
    <hyperlink ref="A320" r:id="rId319" xr:uid="{00000000-0004-0000-0F00-00003E010000}"/>
    <hyperlink ref="A321" r:id="rId320" xr:uid="{00000000-0004-0000-0F00-00003F010000}"/>
    <hyperlink ref="A322" r:id="rId321" xr:uid="{00000000-0004-0000-0F00-000040010000}"/>
    <hyperlink ref="A323" r:id="rId322" xr:uid="{00000000-0004-0000-0F00-000041010000}"/>
    <hyperlink ref="A324" r:id="rId323" xr:uid="{00000000-0004-0000-0F00-000042010000}"/>
    <hyperlink ref="A325" r:id="rId324" xr:uid="{00000000-0004-0000-0F00-000043010000}"/>
    <hyperlink ref="A326" r:id="rId325" xr:uid="{00000000-0004-0000-0F00-000044010000}"/>
    <hyperlink ref="A327" r:id="rId326" xr:uid="{00000000-0004-0000-0F00-000045010000}"/>
    <hyperlink ref="A328" r:id="rId327" xr:uid="{00000000-0004-0000-0F00-000046010000}"/>
    <hyperlink ref="A329" r:id="rId328" xr:uid="{00000000-0004-0000-0F00-000047010000}"/>
    <hyperlink ref="A330" r:id="rId329" xr:uid="{00000000-0004-0000-0F00-000048010000}"/>
    <hyperlink ref="A331" r:id="rId330" xr:uid="{00000000-0004-0000-0F00-000049010000}"/>
    <hyperlink ref="A332" r:id="rId331" xr:uid="{00000000-0004-0000-0F00-00004A010000}"/>
    <hyperlink ref="A333" r:id="rId332" xr:uid="{00000000-0004-0000-0F00-00004B010000}"/>
    <hyperlink ref="A334" r:id="rId333" xr:uid="{00000000-0004-0000-0F00-00004C010000}"/>
    <hyperlink ref="A335" r:id="rId334" xr:uid="{00000000-0004-0000-0F00-00004D010000}"/>
    <hyperlink ref="A336" r:id="rId335" xr:uid="{00000000-0004-0000-0F00-00004E010000}"/>
    <hyperlink ref="A337" r:id="rId336" xr:uid="{00000000-0004-0000-0F00-00004F010000}"/>
    <hyperlink ref="A338" r:id="rId337" xr:uid="{00000000-0004-0000-0F00-000050010000}"/>
    <hyperlink ref="A339" r:id="rId338" xr:uid="{00000000-0004-0000-0F00-000051010000}"/>
    <hyperlink ref="A340" r:id="rId339" xr:uid="{00000000-0004-0000-0F00-000052010000}"/>
    <hyperlink ref="A341" r:id="rId340" xr:uid="{00000000-0004-0000-0F00-000053010000}"/>
    <hyperlink ref="A342" r:id="rId341" xr:uid="{00000000-0004-0000-0F00-000054010000}"/>
    <hyperlink ref="A343" r:id="rId342" xr:uid="{00000000-0004-0000-0F00-000055010000}"/>
    <hyperlink ref="A344" r:id="rId343" xr:uid="{00000000-0004-0000-0F00-000056010000}"/>
    <hyperlink ref="A345" r:id="rId344" xr:uid="{00000000-0004-0000-0F00-000057010000}"/>
    <hyperlink ref="A346" r:id="rId345" xr:uid="{00000000-0004-0000-0F00-000058010000}"/>
    <hyperlink ref="A347" r:id="rId346" xr:uid="{00000000-0004-0000-0F00-000059010000}"/>
    <hyperlink ref="A348" r:id="rId347" xr:uid="{00000000-0004-0000-0F00-00005A010000}"/>
    <hyperlink ref="A349" r:id="rId348" xr:uid="{00000000-0004-0000-0F00-00005B010000}"/>
    <hyperlink ref="A350" r:id="rId349" xr:uid="{00000000-0004-0000-0F00-00005C010000}"/>
    <hyperlink ref="A351" r:id="rId350" xr:uid="{00000000-0004-0000-0F00-00005D010000}"/>
    <hyperlink ref="A352" r:id="rId351" xr:uid="{00000000-0004-0000-0F00-00005E010000}"/>
    <hyperlink ref="A353" r:id="rId352" xr:uid="{00000000-0004-0000-0F00-00005F010000}"/>
    <hyperlink ref="A354" r:id="rId353" xr:uid="{00000000-0004-0000-0F00-000060010000}"/>
    <hyperlink ref="A355" r:id="rId354" xr:uid="{00000000-0004-0000-0F00-000061010000}"/>
    <hyperlink ref="A356" r:id="rId355" xr:uid="{00000000-0004-0000-0F00-000062010000}"/>
    <hyperlink ref="A357" r:id="rId356" xr:uid="{00000000-0004-0000-0F00-000063010000}"/>
    <hyperlink ref="A358" r:id="rId357" xr:uid="{00000000-0004-0000-0F00-000064010000}"/>
    <hyperlink ref="A359" r:id="rId358" xr:uid="{00000000-0004-0000-0F00-000065010000}"/>
    <hyperlink ref="A360" r:id="rId359" xr:uid="{00000000-0004-0000-0F00-000066010000}"/>
    <hyperlink ref="A361" r:id="rId360" xr:uid="{00000000-0004-0000-0F00-000067010000}"/>
    <hyperlink ref="A362" r:id="rId361" xr:uid="{00000000-0004-0000-0F00-000068010000}"/>
    <hyperlink ref="A363" r:id="rId362" xr:uid="{00000000-0004-0000-0F00-000069010000}"/>
    <hyperlink ref="A364" r:id="rId363" xr:uid="{00000000-0004-0000-0F00-00006A010000}"/>
    <hyperlink ref="A365" r:id="rId364" xr:uid="{00000000-0004-0000-0F00-00006B010000}"/>
    <hyperlink ref="A366" r:id="rId365" xr:uid="{00000000-0004-0000-0F00-00006C010000}"/>
    <hyperlink ref="A367" r:id="rId366" xr:uid="{00000000-0004-0000-0F00-00006D010000}"/>
    <hyperlink ref="A368" r:id="rId367" xr:uid="{00000000-0004-0000-0F00-00006E010000}"/>
    <hyperlink ref="A369" r:id="rId368" xr:uid="{00000000-0004-0000-0F00-00006F010000}"/>
    <hyperlink ref="A370" r:id="rId369" xr:uid="{00000000-0004-0000-0F00-000070010000}"/>
    <hyperlink ref="A371" r:id="rId370" xr:uid="{00000000-0004-0000-0F00-000071010000}"/>
    <hyperlink ref="A372" r:id="rId371" xr:uid="{00000000-0004-0000-0F00-000072010000}"/>
    <hyperlink ref="A373" r:id="rId372" xr:uid="{00000000-0004-0000-0F00-000073010000}"/>
    <hyperlink ref="A374" r:id="rId373" xr:uid="{00000000-0004-0000-0F00-000074010000}"/>
    <hyperlink ref="A375" r:id="rId374" xr:uid="{00000000-0004-0000-0F00-000075010000}"/>
    <hyperlink ref="A376" r:id="rId375" xr:uid="{00000000-0004-0000-0F00-000076010000}"/>
    <hyperlink ref="A377" r:id="rId376" xr:uid="{00000000-0004-0000-0F00-000077010000}"/>
    <hyperlink ref="A378" r:id="rId377" xr:uid="{00000000-0004-0000-0F00-000078010000}"/>
    <hyperlink ref="A379" r:id="rId378" xr:uid="{00000000-0004-0000-0F00-000079010000}"/>
    <hyperlink ref="A380" r:id="rId379" xr:uid="{00000000-0004-0000-0F00-00007A010000}"/>
    <hyperlink ref="A381" r:id="rId380" xr:uid="{00000000-0004-0000-0F00-00007B010000}"/>
    <hyperlink ref="A382" r:id="rId381" xr:uid="{00000000-0004-0000-0F00-00007C010000}"/>
    <hyperlink ref="A383" r:id="rId382" xr:uid="{00000000-0004-0000-0F00-00007D010000}"/>
    <hyperlink ref="A384" r:id="rId383" xr:uid="{00000000-0004-0000-0F00-00007E010000}"/>
    <hyperlink ref="A385" r:id="rId384" xr:uid="{00000000-0004-0000-0F00-00007F010000}"/>
    <hyperlink ref="A386" r:id="rId385" xr:uid="{00000000-0004-0000-0F00-000080010000}"/>
    <hyperlink ref="A387" r:id="rId386" xr:uid="{00000000-0004-0000-0F00-000081010000}"/>
    <hyperlink ref="A388" r:id="rId387" xr:uid="{00000000-0004-0000-0F00-000082010000}"/>
    <hyperlink ref="A389" r:id="rId388" xr:uid="{00000000-0004-0000-0F00-000083010000}"/>
    <hyperlink ref="A390" r:id="rId389" xr:uid="{00000000-0004-0000-0F00-000084010000}"/>
    <hyperlink ref="A391" r:id="rId390" xr:uid="{00000000-0004-0000-0F00-000085010000}"/>
    <hyperlink ref="A392" r:id="rId391" xr:uid="{00000000-0004-0000-0F00-000086010000}"/>
    <hyperlink ref="A393" r:id="rId392" xr:uid="{00000000-0004-0000-0F00-000087010000}"/>
    <hyperlink ref="A394" r:id="rId393" xr:uid="{00000000-0004-0000-0F00-000088010000}"/>
    <hyperlink ref="A395" r:id="rId394" xr:uid="{00000000-0004-0000-0F00-000089010000}"/>
    <hyperlink ref="A396" r:id="rId395" xr:uid="{00000000-0004-0000-0F00-00008A010000}"/>
    <hyperlink ref="A397" r:id="rId396" xr:uid="{00000000-0004-0000-0F00-00008B010000}"/>
    <hyperlink ref="A398" r:id="rId397" xr:uid="{00000000-0004-0000-0F00-00008C010000}"/>
    <hyperlink ref="A399" r:id="rId398" xr:uid="{00000000-0004-0000-0F00-00008D010000}"/>
    <hyperlink ref="A400" r:id="rId399" xr:uid="{00000000-0004-0000-0F00-00008E010000}"/>
    <hyperlink ref="A401" r:id="rId400" xr:uid="{00000000-0004-0000-0F00-00008F010000}"/>
    <hyperlink ref="A402" r:id="rId401" xr:uid="{00000000-0004-0000-0F00-000090010000}"/>
    <hyperlink ref="A403" r:id="rId402" xr:uid="{00000000-0004-0000-0F00-000091010000}"/>
    <hyperlink ref="A404" r:id="rId403" xr:uid="{00000000-0004-0000-0F00-000092010000}"/>
    <hyperlink ref="A405" r:id="rId404" xr:uid="{00000000-0004-0000-0F00-000093010000}"/>
    <hyperlink ref="A406" r:id="rId405" xr:uid="{00000000-0004-0000-0F00-000094010000}"/>
    <hyperlink ref="A407" r:id="rId406" xr:uid="{00000000-0004-0000-0F00-000095010000}"/>
    <hyperlink ref="A408" r:id="rId407" xr:uid="{00000000-0004-0000-0F00-000096010000}"/>
    <hyperlink ref="A409" r:id="rId408" xr:uid="{00000000-0004-0000-0F00-000097010000}"/>
    <hyperlink ref="A410" r:id="rId409" xr:uid="{00000000-0004-0000-0F00-000098010000}"/>
    <hyperlink ref="A411" r:id="rId410" xr:uid="{00000000-0004-0000-0F00-000099010000}"/>
    <hyperlink ref="A412" r:id="rId411" xr:uid="{00000000-0004-0000-0F00-00009A010000}"/>
    <hyperlink ref="A413" r:id="rId412" xr:uid="{00000000-0004-0000-0F00-00009B010000}"/>
    <hyperlink ref="A414" r:id="rId413" xr:uid="{00000000-0004-0000-0F00-00009C010000}"/>
    <hyperlink ref="A415" r:id="rId414" xr:uid="{00000000-0004-0000-0F00-00009D010000}"/>
    <hyperlink ref="A416" r:id="rId415" xr:uid="{00000000-0004-0000-0F00-00009E010000}"/>
    <hyperlink ref="A417" r:id="rId416" xr:uid="{00000000-0004-0000-0F00-00009F010000}"/>
    <hyperlink ref="A418" r:id="rId417" xr:uid="{00000000-0004-0000-0F00-0000A0010000}"/>
    <hyperlink ref="A419" r:id="rId418" xr:uid="{00000000-0004-0000-0F00-0000A1010000}"/>
    <hyperlink ref="A420" r:id="rId419" xr:uid="{00000000-0004-0000-0F00-0000A2010000}"/>
    <hyperlink ref="A421" r:id="rId420" xr:uid="{00000000-0004-0000-0F00-0000A3010000}"/>
    <hyperlink ref="A422" r:id="rId421" xr:uid="{00000000-0004-0000-0F00-0000A4010000}"/>
    <hyperlink ref="A423" r:id="rId422" xr:uid="{00000000-0004-0000-0F00-0000A5010000}"/>
    <hyperlink ref="A424" r:id="rId423" xr:uid="{00000000-0004-0000-0F00-0000A6010000}"/>
    <hyperlink ref="A425" r:id="rId424" xr:uid="{00000000-0004-0000-0F00-0000A7010000}"/>
    <hyperlink ref="A426" r:id="rId425" xr:uid="{00000000-0004-0000-0F00-0000A8010000}"/>
    <hyperlink ref="A427" r:id="rId426" xr:uid="{00000000-0004-0000-0F00-0000A9010000}"/>
    <hyperlink ref="A428" r:id="rId427" xr:uid="{00000000-0004-0000-0F00-0000AA010000}"/>
    <hyperlink ref="A429" r:id="rId428" xr:uid="{00000000-0004-0000-0F00-0000AB010000}"/>
    <hyperlink ref="A430" r:id="rId429" xr:uid="{00000000-0004-0000-0F00-0000AC010000}"/>
    <hyperlink ref="A431" r:id="rId430" xr:uid="{00000000-0004-0000-0F00-0000AD010000}"/>
    <hyperlink ref="A432" r:id="rId431" xr:uid="{00000000-0004-0000-0F00-0000AE010000}"/>
    <hyperlink ref="A433" r:id="rId432" xr:uid="{00000000-0004-0000-0F00-0000AF010000}"/>
    <hyperlink ref="A434" r:id="rId433" xr:uid="{00000000-0004-0000-0F00-0000B0010000}"/>
    <hyperlink ref="A435" r:id="rId434" xr:uid="{00000000-0004-0000-0F00-0000B101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67"/>
  <sheetViews>
    <sheetView workbookViewId="0"/>
  </sheetViews>
  <sheetFormatPr baseColWidth="10" defaultColWidth="12.6640625" defaultRowHeight="15.75" customHeight="1"/>
  <sheetData>
    <row r="1" spans="1:3" ht="15.75" customHeight="1">
      <c r="A1" s="18" t="s">
        <v>1576</v>
      </c>
      <c r="B1" s="51" t="s">
        <v>1577</v>
      </c>
      <c r="C1" s="51" t="e">
        <f t="shared" ref="C1:C30" ca="1" si="0">_xludf.concat(A1,B1)</f>
        <v>#NAME?</v>
      </c>
    </row>
    <row r="2" spans="1:3" ht="15.75" customHeight="1">
      <c r="A2" s="13" t="s">
        <v>1578</v>
      </c>
      <c r="B2" s="51" t="s">
        <v>1577</v>
      </c>
      <c r="C2" s="51" t="e">
        <f t="shared" ca="1" si="0"/>
        <v>#NAME?</v>
      </c>
    </row>
    <row r="3" spans="1:3" ht="15.75" customHeight="1">
      <c r="A3" s="13" t="s">
        <v>1579</v>
      </c>
      <c r="B3" s="51" t="s">
        <v>1577</v>
      </c>
      <c r="C3" s="51" t="e">
        <f t="shared" ca="1" si="0"/>
        <v>#NAME?</v>
      </c>
    </row>
    <row r="4" spans="1:3" ht="15.75" customHeight="1">
      <c r="A4" s="49" t="s">
        <v>1580</v>
      </c>
      <c r="B4" s="51" t="s">
        <v>1577</v>
      </c>
      <c r="C4" s="51" t="e">
        <f t="shared" ca="1" si="0"/>
        <v>#NAME?</v>
      </c>
    </row>
    <row r="5" spans="1:3" ht="15.75" customHeight="1">
      <c r="A5" s="13" t="s">
        <v>1581</v>
      </c>
      <c r="B5" s="51" t="s">
        <v>1577</v>
      </c>
      <c r="C5" s="51" t="e">
        <f t="shared" ca="1" si="0"/>
        <v>#NAME?</v>
      </c>
    </row>
    <row r="6" spans="1:3" ht="15.75" customHeight="1">
      <c r="A6" s="49" t="s">
        <v>1582</v>
      </c>
      <c r="B6" s="51" t="s">
        <v>1577</v>
      </c>
      <c r="C6" s="51" t="e">
        <f t="shared" ca="1" si="0"/>
        <v>#NAME?</v>
      </c>
    </row>
    <row r="7" spans="1:3" ht="15.75" customHeight="1">
      <c r="A7" s="13" t="s">
        <v>1583</v>
      </c>
      <c r="B7" s="51" t="s">
        <v>1577</v>
      </c>
      <c r="C7" s="51" t="e">
        <f t="shared" ca="1" si="0"/>
        <v>#NAME?</v>
      </c>
    </row>
    <row r="8" spans="1:3" ht="15.75" customHeight="1">
      <c r="A8" s="13" t="s">
        <v>1584</v>
      </c>
      <c r="B8" s="51" t="s">
        <v>1577</v>
      </c>
      <c r="C8" s="51" t="e">
        <f t="shared" ca="1" si="0"/>
        <v>#NAME?</v>
      </c>
    </row>
    <row r="9" spans="1:3" ht="15.75" customHeight="1">
      <c r="A9" s="13" t="s">
        <v>1585</v>
      </c>
      <c r="B9" s="51" t="s">
        <v>1577</v>
      </c>
      <c r="C9" s="51" t="e">
        <f t="shared" ca="1" si="0"/>
        <v>#NAME?</v>
      </c>
    </row>
    <row r="10" spans="1:3" ht="15.75" customHeight="1">
      <c r="A10" s="13" t="s">
        <v>1586</v>
      </c>
      <c r="B10" s="51" t="s">
        <v>1577</v>
      </c>
      <c r="C10" s="51" t="e">
        <f t="shared" ca="1" si="0"/>
        <v>#NAME?</v>
      </c>
    </row>
    <row r="11" spans="1:3" ht="15.75" customHeight="1">
      <c r="A11" s="13" t="s">
        <v>1587</v>
      </c>
      <c r="B11" s="51" t="s">
        <v>1577</v>
      </c>
      <c r="C11" s="51" t="e">
        <f t="shared" ca="1" si="0"/>
        <v>#NAME?</v>
      </c>
    </row>
    <row r="12" spans="1:3" ht="15.75" customHeight="1">
      <c r="A12" s="13" t="s">
        <v>1588</v>
      </c>
      <c r="B12" s="51" t="s">
        <v>1577</v>
      </c>
      <c r="C12" s="51" t="e">
        <f t="shared" ca="1" si="0"/>
        <v>#NAME?</v>
      </c>
    </row>
    <row r="13" spans="1:3" ht="15.75" customHeight="1">
      <c r="A13" s="13" t="s">
        <v>1589</v>
      </c>
      <c r="B13" s="51" t="s">
        <v>1577</v>
      </c>
      <c r="C13" s="51" t="e">
        <f t="shared" ca="1" si="0"/>
        <v>#NAME?</v>
      </c>
    </row>
    <row r="14" spans="1:3" ht="15.75" customHeight="1">
      <c r="A14" s="13" t="s">
        <v>1590</v>
      </c>
      <c r="B14" s="51" t="s">
        <v>1577</v>
      </c>
      <c r="C14" s="51" t="e">
        <f t="shared" ca="1" si="0"/>
        <v>#NAME?</v>
      </c>
    </row>
    <row r="15" spans="1:3" ht="15.75" customHeight="1">
      <c r="A15" s="13" t="s">
        <v>1591</v>
      </c>
      <c r="B15" s="51" t="s">
        <v>1577</v>
      </c>
      <c r="C15" s="51" t="e">
        <f t="shared" ca="1" si="0"/>
        <v>#NAME?</v>
      </c>
    </row>
    <row r="16" spans="1:3" ht="15.75" customHeight="1">
      <c r="A16" s="13" t="s">
        <v>1592</v>
      </c>
      <c r="B16" s="51" t="s">
        <v>1577</v>
      </c>
      <c r="C16" s="51" t="e">
        <f t="shared" ca="1" si="0"/>
        <v>#NAME?</v>
      </c>
    </row>
    <row r="17" spans="1:3" ht="15.75" customHeight="1">
      <c r="A17" s="13" t="s">
        <v>1593</v>
      </c>
      <c r="B17" s="51" t="s">
        <v>1577</v>
      </c>
      <c r="C17" s="51" t="e">
        <f t="shared" ca="1" si="0"/>
        <v>#NAME?</v>
      </c>
    </row>
    <row r="18" spans="1:3" ht="15.75" customHeight="1">
      <c r="A18" s="13" t="s">
        <v>1594</v>
      </c>
      <c r="B18" s="51" t="s">
        <v>1577</v>
      </c>
      <c r="C18" s="51" t="e">
        <f t="shared" ca="1" si="0"/>
        <v>#NAME?</v>
      </c>
    </row>
    <row r="19" spans="1:3" ht="15.75" customHeight="1">
      <c r="A19" s="13" t="s">
        <v>1595</v>
      </c>
      <c r="B19" s="51" t="s">
        <v>1577</v>
      </c>
      <c r="C19" s="51" t="e">
        <f t="shared" ca="1" si="0"/>
        <v>#NAME?</v>
      </c>
    </row>
    <row r="20" spans="1:3" ht="15.75" customHeight="1">
      <c r="A20" s="13" t="s">
        <v>1596</v>
      </c>
      <c r="B20" s="51" t="s">
        <v>1577</v>
      </c>
      <c r="C20" s="51" t="e">
        <f t="shared" ca="1" si="0"/>
        <v>#NAME?</v>
      </c>
    </row>
    <row r="21" spans="1:3" ht="15.75" customHeight="1">
      <c r="A21" s="13" t="s">
        <v>1597</v>
      </c>
      <c r="B21" s="51" t="s">
        <v>1577</v>
      </c>
      <c r="C21" s="51" t="e">
        <f t="shared" ca="1" si="0"/>
        <v>#NAME?</v>
      </c>
    </row>
    <row r="22" spans="1:3" ht="15.75" customHeight="1">
      <c r="A22" s="13" t="s">
        <v>1598</v>
      </c>
      <c r="B22" s="51" t="s">
        <v>1577</v>
      </c>
      <c r="C22" s="51" t="e">
        <f t="shared" ca="1" si="0"/>
        <v>#NAME?</v>
      </c>
    </row>
    <row r="23" spans="1:3" ht="15.75" customHeight="1">
      <c r="A23" s="13" t="s">
        <v>1599</v>
      </c>
      <c r="B23" s="51" t="s">
        <v>1577</v>
      </c>
      <c r="C23" s="51" t="e">
        <f t="shared" ca="1" si="0"/>
        <v>#NAME?</v>
      </c>
    </row>
    <row r="24" spans="1:3" ht="15.75" customHeight="1">
      <c r="A24" s="13" t="s">
        <v>1600</v>
      </c>
      <c r="B24" s="51" t="s">
        <v>1577</v>
      </c>
      <c r="C24" s="51" t="e">
        <f t="shared" ca="1" si="0"/>
        <v>#NAME?</v>
      </c>
    </row>
    <row r="25" spans="1:3" ht="15.75" customHeight="1">
      <c r="A25" s="13" t="s">
        <v>1601</v>
      </c>
      <c r="B25" s="51" t="s">
        <v>1577</v>
      </c>
      <c r="C25" s="51" t="e">
        <f t="shared" ca="1" si="0"/>
        <v>#NAME?</v>
      </c>
    </row>
    <row r="26" spans="1:3" ht="15.75" customHeight="1">
      <c r="A26" s="13" t="s">
        <v>1602</v>
      </c>
      <c r="B26" s="51" t="s">
        <v>1577</v>
      </c>
      <c r="C26" s="51" t="e">
        <f t="shared" ca="1" si="0"/>
        <v>#NAME?</v>
      </c>
    </row>
    <row r="27" spans="1:3" ht="15.75" customHeight="1">
      <c r="A27" s="13" t="s">
        <v>1603</v>
      </c>
      <c r="B27" s="51" t="s">
        <v>1577</v>
      </c>
      <c r="C27" s="51" t="e">
        <f t="shared" ca="1" si="0"/>
        <v>#NAME?</v>
      </c>
    </row>
    <row r="28" spans="1:3" ht="15.75" customHeight="1">
      <c r="A28" s="13" t="s">
        <v>1604</v>
      </c>
      <c r="B28" s="51" t="s">
        <v>1577</v>
      </c>
      <c r="C28" s="51" t="e">
        <f t="shared" ca="1" si="0"/>
        <v>#NAME?</v>
      </c>
    </row>
    <row r="29" spans="1:3" ht="15.75" customHeight="1">
      <c r="A29" s="13" t="s">
        <v>1605</v>
      </c>
      <c r="B29" s="51" t="s">
        <v>1577</v>
      </c>
      <c r="C29" s="51" t="e">
        <f t="shared" ca="1" si="0"/>
        <v>#NAME?</v>
      </c>
    </row>
    <row r="30" spans="1:3" ht="15.75" customHeight="1">
      <c r="A30" s="49" t="s">
        <v>1606</v>
      </c>
      <c r="B30" s="51" t="s">
        <v>1577</v>
      </c>
      <c r="C30" s="51" t="e">
        <f t="shared" ca="1" si="0"/>
        <v>#NAME?</v>
      </c>
    </row>
    <row r="38" spans="1:3" ht="15.75" customHeight="1">
      <c r="A38" s="16" t="s">
        <v>1607</v>
      </c>
      <c r="B38" s="51" t="s">
        <v>1608</v>
      </c>
      <c r="C38" s="51" t="e">
        <f t="shared" ref="C38:C67" ca="1" si="1">_xludf.concat(A38,B38)</f>
        <v>#NAME?</v>
      </c>
    </row>
    <row r="39" spans="1:3" ht="15.75" customHeight="1">
      <c r="A39" s="22" t="s">
        <v>1609</v>
      </c>
      <c r="B39" s="51" t="s">
        <v>1608</v>
      </c>
      <c r="C39" s="51" t="e">
        <f t="shared" ca="1" si="1"/>
        <v>#NAME?</v>
      </c>
    </row>
    <row r="40" spans="1:3" ht="15.75" customHeight="1">
      <c r="A40" s="22" t="s">
        <v>1610</v>
      </c>
      <c r="B40" s="51" t="s">
        <v>1608</v>
      </c>
      <c r="C40" s="51" t="e">
        <f t="shared" ca="1" si="1"/>
        <v>#NAME?</v>
      </c>
    </row>
    <row r="41" spans="1:3" ht="15.75" customHeight="1">
      <c r="A41" s="56" t="s">
        <v>1611</v>
      </c>
      <c r="B41" s="51" t="s">
        <v>1608</v>
      </c>
      <c r="C41" s="51" t="e">
        <f t="shared" ca="1" si="1"/>
        <v>#NAME?</v>
      </c>
    </row>
    <row r="42" spans="1:3" ht="15.75" customHeight="1">
      <c r="A42" s="22" t="s">
        <v>1612</v>
      </c>
      <c r="B42" s="51" t="s">
        <v>1608</v>
      </c>
      <c r="C42" s="51" t="e">
        <f t="shared" ca="1" si="1"/>
        <v>#NAME?</v>
      </c>
    </row>
    <row r="43" spans="1:3" ht="15.75" customHeight="1">
      <c r="A43" s="56" t="s">
        <v>1613</v>
      </c>
      <c r="B43" s="51" t="s">
        <v>1608</v>
      </c>
      <c r="C43" s="51" t="e">
        <f t="shared" ca="1" si="1"/>
        <v>#NAME?</v>
      </c>
    </row>
    <row r="44" spans="1:3" ht="15.75" customHeight="1">
      <c r="A44" s="22" t="s">
        <v>1614</v>
      </c>
      <c r="B44" s="51" t="s">
        <v>1608</v>
      </c>
      <c r="C44" s="51" t="e">
        <f t="shared" ca="1" si="1"/>
        <v>#NAME?</v>
      </c>
    </row>
    <row r="45" spans="1:3" ht="15.75" customHeight="1">
      <c r="A45" s="22" t="s">
        <v>1615</v>
      </c>
      <c r="B45" s="51" t="s">
        <v>1608</v>
      </c>
      <c r="C45" s="51" t="e">
        <f t="shared" ca="1" si="1"/>
        <v>#NAME?</v>
      </c>
    </row>
    <row r="46" spans="1:3" ht="15.75" customHeight="1">
      <c r="A46" s="22" t="s">
        <v>1616</v>
      </c>
      <c r="B46" s="51" t="s">
        <v>1608</v>
      </c>
      <c r="C46" s="51" t="e">
        <f t="shared" ca="1" si="1"/>
        <v>#NAME?</v>
      </c>
    </row>
    <row r="47" spans="1:3" ht="15.75" customHeight="1">
      <c r="A47" s="22" t="s">
        <v>1617</v>
      </c>
      <c r="B47" s="51" t="s">
        <v>1608</v>
      </c>
      <c r="C47" s="51" t="e">
        <f t="shared" ca="1" si="1"/>
        <v>#NAME?</v>
      </c>
    </row>
    <row r="48" spans="1:3" ht="15.75" customHeight="1">
      <c r="A48" s="22" t="s">
        <v>1618</v>
      </c>
      <c r="B48" s="51" t="s">
        <v>1608</v>
      </c>
      <c r="C48" s="51" t="e">
        <f t="shared" ca="1" si="1"/>
        <v>#NAME?</v>
      </c>
    </row>
    <row r="49" spans="1:3" ht="15.75" customHeight="1">
      <c r="A49" s="22" t="s">
        <v>1619</v>
      </c>
      <c r="B49" s="51" t="s">
        <v>1608</v>
      </c>
      <c r="C49" s="51" t="e">
        <f t="shared" ca="1" si="1"/>
        <v>#NAME?</v>
      </c>
    </row>
    <row r="50" spans="1:3" ht="15.75" customHeight="1">
      <c r="A50" s="22" t="s">
        <v>1620</v>
      </c>
      <c r="B50" s="51" t="s">
        <v>1608</v>
      </c>
      <c r="C50" s="51" t="e">
        <f t="shared" ca="1" si="1"/>
        <v>#NAME?</v>
      </c>
    </row>
    <row r="51" spans="1:3" ht="15.75" customHeight="1">
      <c r="A51" s="22" t="s">
        <v>1621</v>
      </c>
      <c r="B51" s="51" t="s">
        <v>1608</v>
      </c>
      <c r="C51" s="51" t="e">
        <f t="shared" ca="1" si="1"/>
        <v>#NAME?</v>
      </c>
    </row>
    <row r="52" spans="1:3" ht="15.75" customHeight="1">
      <c r="A52" s="22" t="s">
        <v>1622</v>
      </c>
      <c r="B52" s="51" t="s">
        <v>1608</v>
      </c>
      <c r="C52" s="51" t="e">
        <f t="shared" ca="1" si="1"/>
        <v>#NAME?</v>
      </c>
    </row>
    <row r="53" spans="1:3" ht="15.75" customHeight="1">
      <c r="A53" s="22" t="s">
        <v>1623</v>
      </c>
      <c r="B53" s="51" t="s">
        <v>1608</v>
      </c>
      <c r="C53" s="51" t="e">
        <f t="shared" ca="1" si="1"/>
        <v>#NAME?</v>
      </c>
    </row>
    <row r="54" spans="1:3" ht="15.75" customHeight="1">
      <c r="A54" s="22" t="s">
        <v>1624</v>
      </c>
      <c r="B54" s="51" t="s">
        <v>1608</v>
      </c>
      <c r="C54" s="51" t="e">
        <f t="shared" ca="1" si="1"/>
        <v>#NAME?</v>
      </c>
    </row>
    <row r="55" spans="1:3" ht="15.75" customHeight="1">
      <c r="A55" s="22" t="s">
        <v>1625</v>
      </c>
      <c r="B55" s="51" t="s">
        <v>1608</v>
      </c>
      <c r="C55" s="51" t="e">
        <f t="shared" ca="1" si="1"/>
        <v>#NAME?</v>
      </c>
    </row>
    <row r="56" spans="1:3" ht="15.75" customHeight="1">
      <c r="A56" s="22" t="s">
        <v>1626</v>
      </c>
      <c r="B56" s="51" t="s">
        <v>1608</v>
      </c>
      <c r="C56" s="51" t="e">
        <f t="shared" ca="1" si="1"/>
        <v>#NAME?</v>
      </c>
    </row>
    <row r="57" spans="1:3" ht="15.75" customHeight="1">
      <c r="A57" s="22" t="s">
        <v>1627</v>
      </c>
      <c r="B57" s="51" t="s">
        <v>1608</v>
      </c>
      <c r="C57" s="51" t="e">
        <f t="shared" ca="1" si="1"/>
        <v>#NAME?</v>
      </c>
    </row>
    <row r="58" spans="1:3" ht="15.75" customHeight="1">
      <c r="A58" s="22" t="s">
        <v>1628</v>
      </c>
      <c r="B58" s="51" t="s">
        <v>1608</v>
      </c>
      <c r="C58" s="51" t="e">
        <f t="shared" ca="1" si="1"/>
        <v>#NAME?</v>
      </c>
    </row>
    <row r="59" spans="1:3" ht="14">
      <c r="A59" s="22" t="s">
        <v>1629</v>
      </c>
      <c r="B59" s="51" t="s">
        <v>1608</v>
      </c>
      <c r="C59" s="51" t="e">
        <f t="shared" ca="1" si="1"/>
        <v>#NAME?</v>
      </c>
    </row>
    <row r="60" spans="1:3" ht="14">
      <c r="A60" s="22" t="s">
        <v>1630</v>
      </c>
      <c r="B60" s="51" t="s">
        <v>1608</v>
      </c>
      <c r="C60" s="51" t="e">
        <f t="shared" ca="1" si="1"/>
        <v>#NAME?</v>
      </c>
    </row>
    <row r="61" spans="1:3" ht="14">
      <c r="A61" s="22" t="s">
        <v>1631</v>
      </c>
      <c r="B61" s="51" t="s">
        <v>1608</v>
      </c>
      <c r="C61" s="51" t="e">
        <f t="shared" ca="1" si="1"/>
        <v>#NAME?</v>
      </c>
    </row>
    <row r="62" spans="1:3" ht="14">
      <c r="A62" s="22" t="s">
        <v>1632</v>
      </c>
      <c r="B62" s="51" t="s">
        <v>1608</v>
      </c>
      <c r="C62" s="51" t="e">
        <f t="shared" ca="1" si="1"/>
        <v>#NAME?</v>
      </c>
    </row>
    <row r="63" spans="1:3" ht="14">
      <c r="A63" s="22" t="s">
        <v>1633</v>
      </c>
      <c r="B63" s="51" t="s">
        <v>1608</v>
      </c>
      <c r="C63" s="51" t="e">
        <f t="shared" ca="1" si="1"/>
        <v>#NAME?</v>
      </c>
    </row>
    <row r="64" spans="1:3" ht="14">
      <c r="A64" s="22" t="s">
        <v>1634</v>
      </c>
      <c r="B64" s="51" t="s">
        <v>1608</v>
      </c>
      <c r="C64" s="51" t="e">
        <f t="shared" ca="1" si="1"/>
        <v>#NAME?</v>
      </c>
    </row>
    <row r="65" spans="1:3" ht="14">
      <c r="A65" s="22" t="s">
        <v>1635</v>
      </c>
      <c r="B65" s="51" t="s">
        <v>1608</v>
      </c>
      <c r="C65" s="51" t="e">
        <f t="shared" ca="1" si="1"/>
        <v>#NAME?</v>
      </c>
    </row>
    <row r="66" spans="1:3" ht="14">
      <c r="A66" s="22" t="s">
        <v>1636</v>
      </c>
      <c r="B66" s="51" t="s">
        <v>1608</v>
      </c>
      <c r="C66" s="51" t="e">
        <f t="shared" ca="1" si="1"/>
        <v>#NAME?</v>
      </c>
    </row>
    <row r="67" spans="1:3" ht="14">
      <c r="A67" s="56" t="s">
        <v>1637</v>
      </c>
      <c r="B67" s="51" t="s">
        <v>1608</v>
      </c>
      <c r="C67" s="51" t="e">
        <f t="shared" ca="1" si="1"/>
        <v>#NAME?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17"/>
  <sheetViews>
    <sheetView workbookViewId="0"/>
  </sheetViews>
  <sheetFormatPr baseColWidth="10" defaultColWidth="12.6640625" defaultRowHeight="15.75" customHeight="1"/>
  <cols>
    <col min="1" max="1" width="48.83203125" customWidth="1"/>
  </cols>
  <sheetData>
    <row r="1" spans="1:5" ht="15.75" customHeight="1">
      <c r="A1" s="13" t="s">
        <v>1638</v>
      </c>
    </row>
    <row r="2" spans="1:5" ht="15.75" customHeight="1">
      <c r="A2" s="51" t="s">
        <v>1576</v>
      </c>
      <c r="B2" s="51" t="str">
        <f ca="1">IFERROR(__xludf.DUMMYFUNCTION("REGEXREPLACE(A2, ""/cruise-lines/virgin-voyages/"", """")"),"resilient-lady")</f>
        <v>resilient-lady</v>
      </c>
      <c r="C2" s="51" t="s">
        <v>1639</v>
      </c>
      <c r="D2" s="51" t="str">
        <f ca="1">IFERROR(__xludf.DUMMYFUNCTION("REGEXREPLACE(C2, ""-"", "" "")"),"resilient lady")</f>
        <v>resilient lady</v>
      </c>
      <c r="E2" s="51" t="str">
        <f t="shared" ref="E2:E17" ca="1" si="0">PROPER(D2)</f>
        <v>Resilient Lady</v>
      </c>
    </row>
    <row r="3" spans="1:5" ht="15.75" customHeight="1">
      <c r="A3" s="51" t="s">
        <v>1578</v>
      </c>
      <c r="B3" s="51" t="str">
        <f ca="1">IFERROR(__xludf.DUMMYFUNCTION("REGEXREPLACE(A3, ""/cruise-lines/virgin-voyages/"", """")"),"scarlet-lady")</f>
        <v>scarlet-lady</v>
      </c>
      <c r="C3" s="51" t="s">
        <v>1640</v>
      </c>
      <c r="D3" s="51" t="str">
        <f ca="1">IFERROR(__xludf.DUMMYFUNCTION("REGEXREPLACE(C3, ""-"", "" "")"),"scarlet lady")</f>
        <v>scarlet lady</v>
      </c>
      <c r="E3" s="51" t="str">
        <f t="shared" ca="1" si="0"/>
        <v>Scarlet Lady</v>
      </c>
    </row>
    <row r="4" spans="1:5" ht="15.75" customHeight="1">
      <c r="A4" s="51" t="s">
        <v>1579</v>
      </c>
      <c r="B4" s="51" t="str">
        <f ca="1">IFERROR(__xludf.DUMMYFUNCTION("REGEXREPLACE(A4, ""/cruise-lines/virgin-voyages/"", """")"),"valiant-lady")</f>
        <v>valiant-lady</v>
      </c>
      <c r="C4" s="51" t="s">
        <v>1641</v>
      </c>
      <c r="D4" s="51" t="str">
        <f ca="1">IFERROR(__xludf.DUMMYFUNCTION("REGEXREPLACE(C4, ""-"", "" "")"),"valiant lady")</f>
        <v>valiant lady</v>
      </c>
      <c r="E4" s="51" t="str">
        <f t="shared" ca="1" si="0"/>
        <v>Valiant Lady</v>
      </c>
    </row>
    <row r="5" spans="1:5" ht="15.75" customHeight="1">
      <c r="A5" s="51" t="s">
        <v>1580</v>
      </c>
      <c r="B5" s="51" t="str">
        <f ca="1">IFERROR(__xludf.DUMMYFUNCTION("REGEXREPLACE(A5, ""/cruise-lines/virgin-voyages/"", """")"),"brilliant-lady")</f>
        <v>brilliant-lady</v>
      </c>
      <c r="C5" s="51" t="s">
        <v>1642</v>
      </c>
      <c r="D5" s="51" t="str">
        <f ca="1">IFERROR(__xludf.DUMMYFUNCTION("REGEXREPLACE(C5, ""-"", "" "")"),"brilliant lady")</f>
        <v>brilliant lady</v>
      </c>
      <c r="E5" s="51" t="str">
        <f t="shared" ca="1" si="0"/>
        <v>Brilliant Lady</v>
      </c>
    </row>
    <row r="6" spans="1:5" ht="15.75" customHeight="1">
      <c r="B6" s="51" t="str">
        <f ca="1">IFERROR(__xludf.DUMMYFUNCTION("REGEXREPLACE(A6, ""/cruise-lines/royal-caribbean/"", """")"),"")</f>
        <v/>
      </c>
      <c r="C6" s="51" t="s">
        <v>1643</v>
      </c>
      <c r="D6" s="51" t="str">
        <f ca="1">IFERROR(__xludf.DUMMYFUNCTION("REGEXREPLACE(C6, ""-"", "" "")"),"ovation of the seas")</f>
        <v>ovation of the seas</v>
      </c>
      <c r="E6" s="51" t="str">
        <f t="shared" ca="1" si="0"/>
        <v>Ovation Of The Seas</v>
      </c>
    </row>
    <row r="7" spans="1:5" ht="15.75" customHeight="1">
      <c r="B7" s="51" t="str">
        <f ca="1">IFERROR(__xludf.DUMMYFUNCTION("REGEXREPLACE(A7, ""/cruise-lines/royal-caribbean/"", """")"),"")</f>
        <v/>
      </c>
      <c r="C7" s="51" t="s">
        <v>1644</v>
      </c>
      <c r="D7" s="51" t="str">
        <f ca="1">IFERROR(__xludf.DUMMYFUNCTION("REGEXREPLACE(C7, ""-"", "" "")"),"quantum of the seas")</f>
        <v>quantum of the seas</v>
      </c>
      <c r="E7" s="51" t="str">
        <f t="shared" ca="1" si="0"/>
        <v>Quantum Of The Seas</v>
      </c>
    </row>
    <row r="8" spans="1:5" ht="15.75" customHeight="1">
      <c r="B8" s="51" t="str">
        <f ca="1">IFERROR(__xludf.DUMMYFUNCTION("REGEXREPLACE(A8, ""/cruise-lines/royal-caribbean/"", """")"),"")</f>
        <v/>
      </c>
      <c r="C8" s="51" t="s">
        <v>1645</v>
      </c>
      <c r="D8" s="51" t="str">
        <f ca="1">IFERROR(__xludf.DUMMYFUNCTION("REGEXREPLACE(C8, ""-"", "" "")"),"radiance of the seas")</f>
        <v>radiance of the seas</v>
      </c>
      <c r="E8" s="51" t="str">
        <f t="shared" ca="1" si="0"/>
        <v>Radiance Of The Seas</v>
      </c>
    </row>
    <row r="9" spans="1:5" ht="15.75" customHeight="1">
      <c r="B9" s="51" t="str">
        <f ca="1">IFERROR(__xludf.DUMMYFUNCTION("REGEXREPLACE(A9, ""/cruise-lines/royal-caribbean/"", """")"),"")</f>
        <v/>
      </c>
      <c r="C9" s="51" t="s">
        <v>1646</v>
      </c>
      <c r="D9" s="51" t="str">
        <f ca="1">IFERROR(__xludf.DUMMYFUNCTION("REGEXREPLACE(C9, ""-"", "" "")"),"rhapsody of the seas")</f>
        <v>rhapsody of the seas</v>
      </c>
      <c r="E9" s="51" t="str">
        <f t="shared" ca="1" si="0"/>
        <v>Rhapsody Of The Seas</v>
      </c>
    </row>
    <row r="10" spans="1:5" ht="15.75" customHeight="1">
      <c r="B10" s="51" t="str">
        <f ca="1">IFERROR(__xludf.DUMMYFUNCTION("REGEXREPLACE(A10, ""/cruise-lines/royal-caribbean/"", """")"),"")</f>
        <v/>
      </c>
      <c r="C10" s="51" t="s">
        <v>1647</v>
      </c>
      <c r="D10" s="51" t="str">
        <f ca="1">IFERROR(__xludf.DUMMYFUNCTION("REGEXREPLACE(C10, ""-"", "" "")"),"serenade of the seas")</f>
        <v>serenade of the seas</v>
      </c>
      <c r="E10" s="51" t="str">
        <f t="shared" ca="1" si="0"/>
        <v>Serenade Of The Seas</v>
      </c>
    </row>
    <row r="11" spans="1:5" ht="15.75" customHeight="1">
      <c r="B11" s="51" t="str">
        <f ca="1">IFERROR(__xludf.DUMMYFUNCTION("REGEXREPLACE(A11, ""/cruise-lines/royal-caribbean/"", """")"),"")</f>
        <v/>
      </c>
      <c r="C11" s="51" t="s">
        <v>1648</v>
      </c>
      <c r="D11" s="51" t="str">
        <f ca="1">IFERROR(__xludf.DUMMYFUNCTION("REGEXREPLACE(C11, ""-"", "" "")"),"spectrum of the seas")</f>
        <v>spectrum of the seas</v>
      </c>
      <c r="E11" s="51" t="str">
        <f t="shared" ca="1" si="0"/>
        <v>Spectrum Of The Seas</v>
      </c>
    </row>
    <row r="12" spans="1:5" ht="15.75" customHeight="1">
      <c r="B12" s="51" t="str">
        <f ca="1">IFERROR(__xludf.DUMMYFUNCTION("REGEXREPLACE(A12, ""/cruise-lines/royal-caribbean/"", """")"),"")</f>
        <v/>
      </c>
      <c r="C12" s="51" t="s">
        <v>1649</v>
      </c>
      <c r="D12" s="51" t="str">
        <f ca="1">IFERROR(__xludf.DUMMYFUNCTION("REGEXREPLACE(C12, ""-"", "" "")"),"star of the seas")</f>
        <v>star of the seas</v>
      </c>
      <c r="E12" s="51" t="str">
        <f t="shared" ca="1" si="0"/>
        <v>Star Of The Seas</v>
      </c>
    </row>
    <row r="13" spans="1:5" ht="15.75" customHeight="1">
      <c r="B13" s="51" t="str">
        <f ca="1">IFERROR(__xludf.DUMMYFUNCTION("REGEXREPLACE(A13, ""/cruise-lines/royal-caribbean/"", """")"),"")</f>
        <v/>
      </c>
      <c r="C13" s="51" t="s">
        <v>1650</v>
      </c>
      <c r="D13" s="51" t="str">
        <f ca="1">IFERROR(__xludf.DUMMYFUNCTION("REGEXREPLACE(C13, ""-"", "" "")"),"symphony of the seas")</f>
        <v>symphony of the seas</v>
      </c>
      <c r="E13" s="51" t="str">
        <f t="shared" ca="1" si="0"/>
        <v>Symphony Of The Seas</v>
      </c>
    </row>
    <row r="14" spans="1:5" ht="15.75" customHeight="1">
      <c r="B14" s="51" t="str">
        <f ca="1">IFERROR(__xludf.DUMMYFUNCTION("REGEXREPLACE(A14, ""/cruise-lines/royal-caribbean/"", """")"),"")</f>
        <v/>
      </c>
      <c r="C14" s="51" t="s">
        <v>1651</v>
      </c>
      <c r="D14" s="51" t="str">
        <f ca="1">IFERROR(__xludf.DUMMYFUNCTION("REGEXREPLACE(C14, ""-"", "" "")"),"utopia of the seas")</f>
        <v>utopia of the seas</v>
      </c>
      <c r="E14" s="51" t="str">
        <f t="shared" ca="1" si="0"/>
        <v>Utopia Of The Seas</v>
      </c>
    </row>
    <row r="15" spans="1:5" ht="15.75" customHeight="1">
      <c r="B15" s="51" t="str">
        <f ca="1">IFERROR(__xludf.DUMMYFUNCTION("REGEXREPLACE(A15, ""/cruise-lines/royal-caribbean/"", """")"),"")</f>
        <v/>
      </c>
      <c r="C15" s="51" t="s">
        <v>1652</v>
      </c>
      <c r="D15" s="51" t="str">
        <f ca="1">IFERROR(__xludf.DUMMYFUNCTION("REGEXREPLACE(C15, ""-"", "" "")"),"vision of the seas")</f>
        <v>vision of the seas</v>
      </c>
      <c r="E15" s="51" t="str">
        <f t="shared" ca="1" si="0"/>
        <v>Vision Of The Seas</v>
      </c>
    </row>
    <row r="16" spans="1:5" ht="15.75" customHeight="1">
      <c r="B16" s="51" t="str">
        <f ca="1">IFERROR(__xludf.DUMMYFUNCTION("REGEXREPLACE(A16, ""/cruise-lines/royal-caribbean/"", """")"),"")</f>
        <v/>
      </c>
      <c r="C16" s="51" t="s">
        <v>1653</v>
      </c>
      <c r="D16" s="51" t="str">
        <f ca="1">IFERROR(__xludf.DUMMYFUNCTION("REGEXREPLACE(C16, ""-"", "" "")"),"voyager of the seas")</f>
        <v>voyager of the seas</v>
      </c>
      <c r="E16" s="51" t="str">
        <f t="shared" ca="1" si="0"/>
        <v>Voyager Of The Seas</v>
      </c>
    </row>
    <row r="17" spans="2:5" ht="15.75" customHeight="1">
      <c r="B17" s="51" t="str">
        <f ca="1">IFERROR(__xludf.DUMMYFUNCTION("REGEXREPLACE(A17, ""/cruise-lines/royal-caribbean/"", """")"),"")</f>
        <v/>
      </c>
      <c r="C17" s="51" t="s">
        <v>1654</v>
      </c>
      <c r="D17" s="51" t="str">
        <f ca="1">IFERROR(__xludf.DUMMYFUNCTION("REGEXREPLACE(C17, ""-"", "" "")"),"wonder of the seas")</f>
        <v>wonder of the seas</v>
      </c>
      <c r="E17" s="51" t="str">
        <f t="shared" ca="1" si="0"/>
        <v>Wonder Of The Seas</v>
      </c>
    </row>
  </sheetData>
  <autoFilter ref="A1:A17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 (Homepage Nav)</vt:lpstr>
      <vt:lpstr>Seasonal edits</vt:lpstr>
      <vt:lpstr>Type</vt:lpstr>
      <vt:lpstr>Purpose</vt:lpstr>
      <vt:lpstr>Colour</vt:lpstr>
      <vt:lpstr>Decoration</vt:lpstr>
      <vt:lpstr>Cap Studio</vt:lpstr>
      <vt:lpstr>LookbooksCollections</vt:lpstr>
      <vt:lpstr>Decorator Academy</vt:lpstr>
      <vt:lpstr>Resources</vt:lpstr>
      <vt:lpstr>Where to Buy</vt:lpstr>
      <vt:lpstr>About</vt:lpstr>
      <vt:lpstr>Footer</vt:lpstr>
      <vt:lpstr>Sheet3</vt:lpstr>
      <vt:lpstr>Copy of extracted_urls</vt:lpstr>
      <vt:lpstr>Sheet6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Knight</cp:lastModifiedBy>
  <dcterms:created xsi:type="dcterms:W3CDTF">2026-02-17T10:03:31Z</dcterms:created>
  <dcterms:modified xsi:type="dcterms:W3CDTF">2026-02-17T10:03:40Z</dcterms:modified>
</cp:coreProperties>
</file>