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(Homepage Nav)" sheetId="1" r:id="rId5"/>
    <sheet state="visible" name="Featured" sheetId="2" r:id="rId6"/>
    <sheet state="visible" name="Type" sheetId="3" r:id="rId7"/>
    <sheet state="visible" name="Purpose" sheetId="4" r:id="rId8"/>
    <sheet state="visible" name="Decoration" sheetId="5" r:id="rId9"/>
    <sheet state="visible" name="Fabric" sheetId="6" r:id="rId10"/>
    <sheet state="visible" name="LookbooksCollections" sheetId="7" r:id="rId11"/>
    <sheet state="visible" name="Decorator Academy" sheetId="8" r:id="rId12"/>
    <sheet state="hidden" name="Sheet3" sheetId="9" r:id="rId13"/>
    <sheet state="visible" name="Resources" sheetId="10" r:id="rId14"/>
    <sheet state="visible" name="Sustainability Hub" sheetId="11" r:id="rId15"/>
    <sheet state="visible" name="Where to Buy" sheetId="12" r:id="rId16"/>
    <sheet state="visible" name="About Us" sheetId="13" r:id="rId17"/>
    <sheet state="visible" name="Footer" sheetId="14" r:id="rId18"/>
    <sheet state="hidden" name="Copy of extracted_urls" sheetId="15" r:id="rId19"/>
    <sheet state="hidden" name="Sheet6" sheetId="16" r:id="rId20"/>
    <sheet state="hidden" name="Sheet4" sheetId="17" r:id="rId21"/>
  </sheets>
  <definedNames>
    <definedName hidden="1" localSheetId="8" name="_xlnm._FilterDatabase">Sheet3!$A$1:$C$427</definedName>
    <definedName hidden="1" localSheetId="14" name="_xlnm._FilterDatabase">'Copy of extracted_urls'!$A$1:$A$435</definedName>
    <definedName hidden="1" localSheetId="16" name="_xlnm._FilterDatabase">Sheet4!$A$1:$A$17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tc={1d79aa40-6d0f-4eb7-9707-27a2dde73534}</author>
    <author>tc={539184f2-2599-4ac6-9377-6e0584920720}</author>
    <author>tc={7f3ec74c-da80-41f2-bdaf-03de0e5ed021}</author>
    <author>tc={8a3e3061-5330-4266-bc90-f01453cf17eb}</author>
    <author>tc={b3bd38fe-4b8f-4fb5-b7d9-d45b2b2667fb}</author>
    <author>tc={c28bdc28-c228-498a-bf18-b51601e86100}</author>
    <author>tc={f54a3037-7a48-419d-b544-b20e237b8ac6}</author>
    <author>tc={fafdae4a-a2f0-414a-9725-d30b815b1c5e}</author>
  </authors>
  <commentList>
    <comment authorId="0" xr:uid="{1d79aa40-6d0f-4eb7-9707-27a2dde7353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Could be grouped into one section
</t>
      </text>
    </comment>
    <comment authorId="1" xr:uid="{539184f2-2599-4ac6-9377-6e0584920720}" ref="N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Split journey - Decorator/Distributor
</t>
      </text>
    </comment>
    <comment authorId="2" xr:uid="{7f3ec74c-da80-41f2-bdaf-03de0e5ed02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SV for this category
Reply:
	Organic, sustainable
</t>
      </text>
    </comment>
    <comment authorId="3" xr:uid="{8a3e3061-5330-4266-bc90-f01453cf17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Eco-Fact Sheets and Labels Claims Guide to be included
</t>
      </text>
    </comment>
    <comment authorId="4" xr:uid="{b3bd38fe-4b8f-4fb5-b7d9-d45b2b2667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Watch page using all the YT videos. Inspiration on how to decorate. Sustainable design.
</t>
      </text>
    </comment>
    <comment authorId="5" xr:uid="{c28bdc28-c228-498a-bf18-b51601e86100}" ref="B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will link to Beechfield Brands.
</t>
      </text>
    </comment>
    <comment authorId="6" xr:uid="{f54a3037-7a48-419d-b544-b20e237b8a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@bethany.walker@housedigital.co.uk same again here, it can be standard PLPs
Assigned to bethany.walker@housedigital.co.uk
</t>
      </text>
    </comment>
    <comment authorId="7" xr:uid="{fafdae4a-a2f0-414a-9725-d30b815b1c5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@bethany.walker@housedigital.co.uk I think for this one, we do the same as BagBase and turn these into collections so Shop by Decoration - then we can have all-encompassing guides on the blog
Assigned to bethany.walker@housedigital.co.uk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tc={0e7caa5c-17bc-4978-8b31-6eb38421a9bb}</author>
    <author>tc={4bfb28d6-f0a0-4508-bd0e-d72ba0ad2e88}</author>
    <author>tc={7d82c8e9-4864-4d53-bb79-683e527a7bfc}</author>
    <author>tc={7fd634be-5a85-496b-86b9-fe7576aace3b}</author>
    <author>tc={7ff18ba7-31e8-452d-b21f-8c0d6142c546}</author>
    <author>tc={803926c4-397b-4eb7-a981-c8aad7b82863}</author>
    <author>tc={b801ea80-f6ae-426a-b474-3b8690f319b5}</author>
    <author>tc={cbbf7986-3deb-49f0-9531-801d1e1e4565}</author>
    <author>tc={e43d3ce2-f4d8-4f8b-bd32-c1d2cb53dd92}</author>
  </authors>
  <commentList>
    <comment authorId="0" xr:uid="{0e7caa5c-17bc-4978-8b31-6eb38421a9bb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Retail-Ready Carriers (nicer totes/shoppers used as “the bag is the merch”)
</t>
      </text>
    </comment>
    <comment authorId="1" xr:uid="{4bfb28d6-f0a0-4508-bd0e-d72ba0ad2e88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Home &amp; Craft Gifts (Aprons, cushion covers, tea towels, storage/organisers—practical, decorate-ready home gifting)
</t>
      </text>
    </comment>
    <comment authorId="2" xr:uid="{7d82c8e9-4864-4d53-bb79-683e527a7bfc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Giftable Totes &amp; Shoppers (The “gift is the bag” set—totes/shoppers/carryalls with a premium feel.)
</t>
      </text>
    </comment>
    <comment authorId="3" xr:uid="{7fd634be-5a85-496b-86b9-fe7576aace3b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Giveaways &amp; Events (high-volume staples for handouts)
</t>
      </text>
    </comment>
    <comment authorId="4" xr:uid="{7ff18ba7-31e8-452d-b21f-8c0d6142c546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Jute &amp; Natural-Look (that classic natural fibre promo look/feel)
</t>
      </text>
    </comment>
    <comment authorId="5" xr:uid="{803926c4-397b-4eb7-a981-c8aad7b82863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Merch Packs &amp; Kits (packaging + team kits: sacks/stuff bags/gymsacs/bottle bags)
</t>
      </text>
    </comment>
    <comment authorId="6" xr:uid="{b801ea80-f6ae-426a-b474-3b8690f319b5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Pouches &amp; Personal Extras (Wristlets, accessory pouches, vanity cases, purses—small pieces made for initials.)
</t>
      </text>
    </comment>
    <comment authorId="7" xr:uid="{cbbf7986-3deb-49f0-9531-801d1e1e4565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Gift Bags &amp; Wrap (Gift bags, stuff bags, sacks, bottle bags—everything you “wrap it in”.)
</t>
      </text>
    </comment>
    <comment authorId="8" xr:uid="{e43d3ce2-f4d8-4f8b-bd32-c1d2cb53dd92}" ref="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SV for this category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tc={95cbc5d5-ddec-4b09-803b-6d77588539db}</author>
    <author>tc={9e4356df-d7f9-40e7-a138-c7246d99047e}</author>
  </authors>
  <commentList>
    <comment authorId="0" xr:uid="{95cbc5d5-ddec-4b09-803b-6d77588539db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@bethany.walker@housedigital.co.uk I think change this to Inspiration as a full tab and then have the blog and lookbooks coming off that
Assigned to bethany.walker@housedigital.co.uk
</t>
      </text>
    </comment>
    <comment authorId="1" xr:uid="{9e4356df-d7f9-40e7-a138-c7246d99047e}" ref="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fabric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tc={a537709e-3013-4612-8a93-82ac02ab6f1e}</author>
  </authors>
  <commentList>
    <comment authorId="0" xr:uid="{a537709e-3013-4612-8a93-82ac02ab6f1e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 to Media Hub with copy explaining you can find Placement Templates, Campaign Assets, Product Assets, Printability Notes here.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tc={b8b9829f-069d-47e6-ae96-68323b87baaa}</author>
  </authors>
  <commentList>
    <comment authorId="0" xr:uid="{b8b9829f-069d-47e6-ae96-68323b87baaa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Eco-Fact Sheets and Labels Claims Guide to be included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tc={3596a5dc-2bce-45d7-a152-4216fa91e823}</author>
    <author>tc={47af9ac7-29a9-42ec-92bd-f6aaf85bfb54}</author>
  </authors>
  <commentList>
    <comment authorId="0" xr:uid="{3596a5dc-2bce-45d7-a152-4216fa91e823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Include information on 1% of the planet
</t>
      </text>
    </comment>
    <comment authorId="1" xr:uid="{47af9ac7-29a9-42ec-92bd-f6aaf85bfb54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Care &amp; Repair info included here
</t>
      </text>
    </comment>
  </commentList>
</comments>
</file>

<file path=xl/sharedStrings.xml><?xml version="1.0" encoding="utf-8"?>
<sst xmlns="http://schemas.openxmlformats.org/spreadsheetml/2006/main" count="1972" uniqueCount="1565">
  <si>
    <t>Product Ranges</t>
  </si>
  <si>
    <t>Collections</t>
  </si>
  <si>
    <t>Lookbooks</t>
  </si>
  <si>
    <t>Decorator Academy</t>
  </si>
  <si>
    <t>Resources</t>
  </si>
  <si>
    <t>Sustainability Hub</t>
  </si>
  <si>
    <t>Where to Buy</t>
  </si>
  <si>
    <t>About Us</t>
  </si>
  <si>
    <t>My Account</t>
  </si>
  <si>
    <t>Featured</t>
  </si>
  <si>
    <t>Type</t>
  </si>
  <si>
    <t>Purpose</t>
  </si>
  <si>
    <t>Decoration</t>
  </si>
  <si>
    <t>Fabric</t>
  </si>
  <si>
    <r>
      <rPr>
        <rFont val="DM Sans"/>
        <b/>
        <color theme="1"/>
      </rPr>
      <t xml:space="preserve">Collections </t>
    </r>
    <r>
      <rPr>
        <rFont val="DM Sans"/>
        <b val="0"/>
        <color theme="1"/>
      </rPr>
      <t>- non-clickable</t>
    </r>
  </si>
  <si>
    <r>
      <rPr>
        <rFont val="DM Sans"/>
        <b/>
        <color rgb="FF000000"/>
      </rPr>
      <t xml:space="preserve">Lookbooks </t>
    </r>
    <r>
      <rPr>
        <rFont val="DM Sans"/>
        <b val="0"/>
        <color rgb="FF000000"/>
      </rPr>
      <t>- /lookbooks</t>
    </r>
  </si>
  <si>
    <r>
      <rPr>
        <rFont val="DM Sans"/>
        <b/>
        <color theme="1"/>
      </rPr>
      <t xml:space="preserve">Decorator Academy </t>
    </r>
    <r>
      <rPr>
        <rFont val="DM Sans"/>
        <b val="0"/>
        <color theme="1"/>
      </rPr>
      <t>- /decorator/academy</t>
    </r>
  </si>
  <si>
    <r>
      <rPr>
        <rFont val="DM Sans"/>
        <b/>
        <color theme="1"/>
      </rPr>
      <t xml:space="preserve">Resources </t>
    </r>
    <r>
      <rPr>
        <rFont val="DM Sans"/>
        <b val="0"/>
        <color theme="1"/>
      </rPr>
      <t>- non-clickable</t>
    </r>
  </si>
  <si>
    <t>New In</t>
  </si>
  <si>
    <t>Tote Bags</t>
  </si>
  <si>
    <t>Gifting</t>
  </si>
  <si>
    <t>Embroidery</t>
  </si>
  <si>
    <t>Cotton</t>
  </si>
  <si>
    <t>EarthAware®</t>
  </si>
  <si>
    <t>SS26</t>
  </si>
  <si>
    <t>Designed for Decoration</t>
  </si>
  <si>
    <t>Journal</t>
  </si>
  <si>
    <t>Our Commitment</t>
  </si>
  <si>
    <t>How to Buy</t>
  </si>
  <si>
    <t>Design Philosophy</t>
  </si>
  <si>
    <t>Best Sellers</t>
  </si>
  <si>
    <t>Bags</t>
  </si>
  <si>
    <t>Promo</t>
  </si>
  <si>
    <t>Patches</t>
  </si>
  <si>
    <t>Jute</t>
  </si>
  <si>
    <t>Nautical</t>
  </si>
  <si>
    <t>SS25</t>
  </si>
  <si>
    <t>Logo Placement Tool</t>
  </si>
  <si>
    <t>Brochure</t>
  </si>
  <si>
    <t>Materials &amp; Certifications</t>
  </si>
  <si>
    <t>Find a Distributor</t>
  </si>
  <si>
    <t>Contact Us</t>
  </si>
  <si>
    <t xml:space="preserve">Trending Now </t>
  </si>
  <si>
    <t>Gymsacs &amp; Stuff Bags</t>
  </si>
  <si>
    <t>Transfer</t>
  </si>
  <si>
    <t>Recycled Polyester</t>
  </si>
  <si>
    <t>Garment Dyed</t>
  </si>
  <si>
    <t>Guides</t>
  </si>
  <si>
    <t>Media Hub</t>
  </si>
  <si>
    <t>Traceability &amp; Origin</t>
  </si>
  <si>
    <t>Inventory Finder</t>
  </si>
  <si>
    <t>Seasonal Favourites</t>
  </si>
  <si>
    <t>Backpacks</t>
  </si>
  <si>
    <t>Screen Print</t>
  </si>
  <si>
    <t>Blends</t>
  </si>
  <si>
    <t>Leopard Print</t>
  </si>
  <si>
    <t>How to Videos</t>
  </si>
  <si>
    <t>FAQs</t>
  </si>
  <si>
    <t>Our Impact</t>
  </si>
  <si>
    <t>Designer's Picks</t>
  </si>
  <si>
    <t>Holdalls</t>
  </si>
  <si>
    <t>DTG</t>
  </si>
  <si>
    <t>Canvas</t>
  </si>
  <si>
    <t>Case Studies</t>
  </si>
  <si>
    <t>Assets</t>
  </si>
  <si>
    <t>Ethics</t>
  </si>
  <si>
    <t>All Products</t>
  </si>
  <si>
    <t>Pouches</t>
  </si>
  <si>
    <t>Sublimation</t>
  </si>
  <si>
    <t>Courtside</t>
  </si>
  <si>
    <t>Join the Community</t>
  </si>
  <si>
    <t>Campaign Assets</t>
  </si>
  <si>
    <t>1% for the Planet</t>
  </si>
  <si>
    <t>Shoppers</t>
  </si>
  <si>
    <t>Deboss/Foil Laser</t>
  </si>
  <si>
    <t>Revive</t>
  </si>
  <si>
    <t>Product Assets</t>
  </si>
  <si>
    <t>Gift Bags</t>
  </si>
  <si>
    <t>Jute Collection</t>
  </si>
  <si>
    <t>Beach Bags</t>
  </si>
  <si>
    <t>Premium</t>
  </si>
  <si>
    <t>Bags for Life</t>
  </si>
  <si>
    <t>Travel Accessories</t>
  </si>
  <si>
    <t>Homeware</t>
  </si>
  <si>
    <t>Footer</t>
  </si>
  <si>
    <t>More</t>
  </si>
  <si>
    <t>Legal</t>
  </si>
  <si>
    <t>Terms &amp; Conditions</t>
  </si>
  <si>
    <t>Modern Slavery Statement</t>
  </si>
  <si>
    <t>Privacy Statement</t>
  </si>
  <si>
    <t>Become a Distributor</t>
  </si>
  <si>
    <t>Parent</t>
  </si>
  <si>
    <t>Anchor Text</t>
  </si>
  <si>
    <t>Proposed URL</t>
  </si>
  <si>
    <t>Top Keyword</t>
  </si>
  <si>
    <t>SV</t>
  </si>
  <si>
    <t>/new-in</t>
  </si>
  <si>
    <t>-</t>
  </si>
  <si>
    <t>/best-sellers</t>
  </si>
  <si>
    <t>/trending</t>
  </si>
  <si>
    <t>/seasonal-favourites</t>
  </si>
  <si>
    <t>/designer-picks</t>
  </si>
  <si>
    <t>/all-products</t>
  </si>
  <si>
    <t>/tote-bags</t>
  </si>
  <si>
    <t>blank tote bags</t>
  </si>
  <si>
    <t>/bags</t>
  </si>
  <si>
    <t>blank canvas bags</t>
  </si>
  <si>
    <t>/gymsacs-stuff-bags</t>
  </si>
  <si>
    <t>blank drawstring bags</t>
  </si>
  <si>
    <t>/backpacks</t>
  </si>
  <si>
    <t>customisable backpack</t>
  </si>
  <si>
    <t>/holdalls</t>
  </si>
  <si>
    <t>custom holdalls</t>
  </si>
  <si>
    <t>/pouches</t>
  </si>
  <si>
    <t>customisable pouches</t>
  </si>
  <si>
    <t>/shopper-bags</t>
  </si>
  <si>
    <t>shopper bags wholesale</t>
  </si>
  <si>
    <t>/gifting</t>
  </si>
  <si>
    <t>gift bags wholesale</t>
  </si>
  <si>
    <t>/beach-bags</t>
  </si>
  <si>
    <t>wholesale beach bags</t>
  </si>
  <si>
    <t>/bag-for-life</t>
  </si>
  <si>
    <t>bag for life wholesale</t>
  </si>
  <si>
    <t>0-10</t>
  </si>
  <si>
    <t>/accessories</t>
  </si>
  <si>
    <t>wholesale travel accessories</t>
  </si>
  <si>
    <t>/homeware</t>
  </si>
  <si>
    <t>plain aprons for printing</t>
  </si>
  <si>
    <t>Subcategories</t>
  </si>
  <si>
    <t>Gift Bags &amp; Wrap</t>
  </si>
  <si>
    <t>/gifting/gift-bags-wrap</t>
  </si>
  <si>
    <t>wholesale gift bags for retail</t>
  </si>
  <si>
    <t>Pouches &amp; Personal Extras</t>
  </si>
  <si>
    <t>/gifting/pouches-personal-extras</t>
  </si>
  <si>
    <t>wholesale wristlet</t>
  </si>
  <si>
    <t>Home &amp; Craft Gifts</t>
  </si>
  <si>
    <t>/gifting/home-craft-gifts</t>
  </si>
  <si>
    <t>home gift wholesale</t>
  </si>
  <si>
    <t>Giftable Totes &amp; Shoppers</t>
  </si>
  <si>
    <t>/gifting/giftable-totes-shoppers</t>
  </si>
  <si>
    <t>premium gift bag</t>
  </si>
  <si>
    <t>/promo</t>
  </si>
  <si>
    <t>promotional bag printing</t>
  </si>
  <si>
    <t>Giveaways &amp; Events</t>
  </si>
  <si>
    <t>/promo/giveaways-events</t>
  </si>
  <si>
    <t>Retail-Ready Carriers</t>
  </si>
  <si>
    <t>/promo/retail-ready</t>
  </si>
  <si>
    <t>tote gift bags wholesale</t>
  </si>
  <si>
    <t>Jute &amp; Natural-Look</t>
  </si>
  <si>
    <t>/promo/jute-natural</t>
  </si>
  <si>
    <t>jute bags wholesale</t>
  </si>
  <si>
    <t>Merch Packs &amp; Kits</t>
  </si>
  <si>
    <t>/promo/merch-packs-kits</t>
  </si>
  <si>
    <t>wholesale merchandise bags</t>
  </si>
  <si>
    <t>Shop by Decoration</t>
  </si>
  <si>
    <t>/embroidery</t>
  </si>
  <si>
    <t>bag embroidery printing</t>
  </si>
  <si>
    <t>/patches</t>
  </si>
  <si>
    <t>bags for patches</t>
  </si>
  <si>
    <t>/transfer</t>
  </si>
  <si>
    <t>/printing</t>
  </si>
  <si>
    <t>screen printing for bags</t>
  </si>
  <si>
    <t>/dtg</t>
  </si>
  <si>
    <t>/sublimation</t>
  </si>
  <si>
    <t>tote bags for sublimation</t>
  </si>
  <si>
    <t>/deboss-foil-laser</t>
  </si>
  <si>
    <t>Current URL</t>
  </si>
  <si>
    <t>/fabric</t>
  </si>
  <si>
    <t>/westford-mill-InCo-cotton</t>
  </si>
  <si>
    <t>/fabric/organic-cotton</t>
  </si>
  <si>
    <t>organic cotton bags wholesale
cotton bags for printing</t>
  </si>
  <si>
    <t>/fabric/jute</t>
  </si>
  <si>
    <t>printing on jute bags</t>
  </si>
  <si>
    <t>/fabric/recycled-polyester</t>
  </si>
  <si>
    <t>recycled bags wholesale</t>
  </si>
  <si>
    <t>/fabric/blends</t>
  </si>
  <si>
    <r>
      <rPr>
        <rFont val="DM Sans"/>
        <b/>
        <color theme="1"/>
      </rPr>
      <t>Fabric group definition</t>
    </r>
    <r>
      <rPr>
        <rFont val="DM Sans"/>
        <color theme="1"/>
      </rPr>
      <t xml:space="preserve">
Cotton: products where the primary material is cotton (incl. organic, recycled, fairtrade, in conversion).
Jute: products where primary material is jute (incl. laminated/starched/washed/shimmer finishes).
Recycled Polyester: products where primary material is polyester (display label “Recycled Polyester” because all polyester is recycled).
Blends: multi-material fabrics where no single group is “pure” (e.g., Juco, Polycotton, jute-cotton hybrids).
</t>
    </r>
    <r>
      <rPr>
        <rFont val="DM Sans"/>
        <b/>
        <color theme="1"/>
      </rPr>
      <t>Sub-filters (on-page only, not nav pages)</t>
    </r>
    <r>
      <rPr>
        <rFont val="DM Sans"/>
        <color theme="1"/>
      </rPr>
      <t xml:space="preserve">
Credentials: Organic / Fairtrade / Recycled / In Conversion + “Certified only” toggle
Construction/finish: (Cotton) Canvas/Twill/Mesh; (Jute) Laminated/Starched/Washed/Shimmer; (Blends) Juco/Polycotton
Weight buckets: 3–4oz / 5–6oz / 7–9oz / 10–12oz / 14–18oz
</t>
    </r>
    <r>
      <rPr>
        <rFont val="DM Sans"/>
        <b/>
        <color theme="1"/>
      </rPr>
      <t>Quick chips (optional)</t>
    </r>
    <r>
      <rPr>
        <rFont val="DM Sans"/>
        <color theme="1"/>
      </rPr>
      <t xml:space="preserve">
On Cotton: Organic / Fairtrade / Recycled / Heavyweight
On Jute: Laminated / Starched / Washed / Shimmer
These are UI shortcuts that apply filters; they do not require new pages.</t>
    </r>
  </si>
  <si>
    <t>Lookbooks / Collections</t>
  </si>
  <si>
    <t>Subcategory Lookbooks</t>
  </si>
  <si>
    <t>Subcategories - Visual Collections</t>
  </si>
  <si>
    <t>/lookbooks</t>
  </si>
  <si>
    <t>lookbook for bags</t>
  </si>
  <si>
    <t>NEW</t>
  </si>
  <si>
    <t>/lookbooks/ss25</t>
  </si>
  <si>
    <t>/earthaware-collection</t>
  </si>
  <si>
    <t>/collections/earthaware</t>
  </si>
  <si>
    <t>earthaware</t>
  </si>
  <si>
    <t>Natural Starched</t>
  </si>
  <si>
    <t>/collections/natural-starched</t>
  </si>
  <si>
    <t>neutral coloured bags</t>
  </si>
  <si>
    <t>Soft Washed</t>
  </si>
  <si>
    <t>/collections/soft-washed</t>
  </si>
  <si>
    <t>soft bags</t>
  </si>
  <si>
    <t>/collections/jute</t>
  </si>
  <si>
    <t>/collections/canvas</t>
  </si>
  <si>
    <t>canvas bags for printing</t>
  </si>
  <si>
    <t>/courtside-collection</t>
  </si>
  <si>
    <t>/collections/courtside</t>
  </si>
  <si>
    <t>courtside bag</t>
  </si>
  <si>
    <t>/westford-mill-ss26-coming-soon</t>
  </si>
  <si>
    <t>/lookbooks/ss26</t>
  </si>
  <si>
    <t>TBC</t>
  </si>
  <si>
    <t xml:space="preserve">The Collections are more like "evergreen" And the season launch is an annual thing.
So I guess I'm confused where these sit? </t>
  </si>
  <si>
    <t xml:space="preserve">EarthAware is a trademarked name that came in 10 years ago or so. Should that be more prominent? </t>
  </si>
  <si>
    <t>D</t>
  </si>
  <si>
    <t>/decorator-academy</t>
  </si>
  <si>
    <t>/decorator-academy/designed-for-decoration</t>
  </si>
  <si>
    <t>/guides</t>
  </si>
  <si>
    <t>Long-form guides on material, methods, etc.</t>
  </si>
  <si>
    <t>/westford-mill-inspiration-page</t>
  </si>
  <si>
    <t>/decorator-academy/how-to-videos</t>
  </si>
  <si>
    <t>/decorator-academy/case-studies</t>
  </si>
  <si>
    <t>Tools</t>
  </si>
  <si>
    <t>https://mediahub.beechfieldbrands.com/login/</t>
  </si>
  <si>
    <t>/decorator-academy/join-the-community</t>
  </si>
  <si>
    <t>URL</t>
  </si>
  <si>
    <t>&lt;loc&gt;https://odysia-cruise-uk.client.prod.eu-west.dreamlake.io/cruise-lines/regent-seven-seas-cruises/seven-seas-mariner&lt;/loc&gt;</t>
  </si>
  <si>
    <t>https://odysia-cruise-uk.client.prod.eu-west.dreamlake.io/cruise-lines/regent-seven-seas-cruises/seven-seas-mariner</t>
  </si>
  <si>
    <t>&lt;loc&gt;https://odysia-cruise-uk.client.prod.eu-west.dreamlake.io/cruise-lines/princess-cruises/royal-princess/cruises&lt;/loc&gt;</t>
  </si>
  <si>
    <t>https://odysia-cruise-uk.client.prod.eu-west.dreamlake.io/cruise-lines/princess-cruises/royal-princess/cruises</t>
  </si>
  <si>
    <t>&lt;loc&gt;https://odysia-cruise-uk.client.prod.eu-west.dreamlake.io/cruise-lines/royal-caribbean/anthem-of-the-seas/cruises&lt;/loc&gt;</t>
  </si>
  <si>
    <t>https://odysia-cruise-uk.client.prod.eu-west.dreamlake.io/cruise-lines/royal-caribbean/anthem-of-the-seas/cruises</t>
  </si>
  <si>
    <t>&lt;loc&gt;https://odysia-cruise-uk.client.prod.eu-west.dreamlake.io/cruise-lines/holland-america-line/zaandam&lt;/loc&gt;</t>
  </si>
  <si>
    <t>https://odysia-cruise-uk.client.prod.eu-west.dreamlake.io/cruise-lines/holland-america-line/zaandam</t>
  </si>
  <si>
    <t>&lt;loc&gt;https://odysia-cruise-uk.client.prod.eu-west.dreamlake.io/cruise-lines/regent-seven-seas-cruises/seven-seas-splendor/cruises&lt;/loc&gt;</t>
  </si>
  <si>
    <t>https://odysia-cruise-uk.client.prod.eu-west.dreamlake.io/cruise-lines/regent-seven-seas-cruises/seven-seas-splendor/cruises</t>
  </si>
  <si>
    <t>&lt;loc&gt;https://odysia-cruise-uk.client.prod.eu-west.dreamlake.io&lt;/loc&gt;</t>
  </si>
  <si>
    <t>&lt;loc&gt;https://odysia-cruise-uk.client.prod.eu-west.dreamlake.io/cruise-lines/msc-cruises/msc-armonia&lt;/loc&gt;</t>
  </si>
  <si>
    <t>https://odysia-cruise-uk.client.prod.eu-west.dreamlake.io/cruise-lines/msc-cruises/msc-armonia</t>
  </si>
  <si>
    <t>&lt;loc&gt;https://odysia-cruise-uk.client.prod.eu-west.dreamlake.io/destinations/british-isles-cruises&lt;/loc&gt;</t>
  </si>
  <si>
    <t>&lt;loc&gt;https://odysia-cruise-uk.client.prod.eu-west.dreamlake.io/cruise-lines/costa-cruises/costa-smeralda/cruises&lt;/loc&gt;</t>
  </si>
  <si>
    <t>https://odysia-cruise-uk.client.prod.eu-west.dreamlake.io/cruise-lines/costa-cruises/costa-smeralda/cruises</t>
  </si>
  <si>
    <t>&lt;loc&gt;https://odysia-cruise-uk.client.prod.eu-west.dreamlake.io/cruise-lines/holland-america-line/rotterdam/cruises&lt;/loc&gt;</t>
  </si>
  <si>
    <t>https://odysia-cruise-uk.client.prod.eu-west.dreamlake.io/cruise-lines/holland-america-line/rotterdam/cruises</t>
  </si>
  <si>
    <t>&lt;loc&gt;https://odysia-cruise-uk.client.prod.eu-west.dreamlake.io/cruise-lines/regent-seven-seas-cruises/seven-seas-grandeur/cruises&lt;/loc&gt;</t>
  </si>
  <si>
    <t>https://odysia-cruise-uk.client.prod.eu-west.dreamlake.io/cruise-lines/regent-seven-seas-cruises/seven-seas-grandeur/cruises</t>
  </si>
  <si>
    <t>&lt;loc&gt;https://odysia-cruise-uk.client.prod.eu-west.dreamlake.io/cruise-lines/royal-caribbean/icon-of-the-seas/cruises&lt;/loc&gt;</t>
  </si>
  <si>
    <t>https://odysia-cruise-uk.client.prod.eu-west.dreamlake.io/cruise-lines/royal-caribbean/icon-of-the-seas/cruises</t>
  </si>
  <si>
    <t>&lt;loc&gt;https://odysia-cruise-uk.client.prod.eu-west.dreamlake.io/cruise-lines/virgin-voyages/resilient-lady&lt;/loc&gt;</t>
  </si>
  <si>
    <t>https://odysia-cruise-uk.client.prod.eu-west.dreamlake.io/cruise-lines/virgin-voyages/resilient-lady</t>
  </si>
  <si>
    <t>&lt;loc&gt;https://odysia-cruise-uk.client.prod.eu-west.dreamlake.io/cruise-lines/norwegian-cruise-line/norwegian-jade/cruises&lt;/loc&gt;</t>
  </si>
  <si>
    <t>https://odysia-cruise-uk.client.prod.eu-west.dreamlake.io/cruise-lines/norwegian-cruise-line/norwegian-jade/cruises</t>
  </si>
  <si>
    <t>&lt;loc&gt;https://odysia-cruise-uk.client.prod.eu-west.dreamlake.io/cruise-lines/cunard/cruises&lt;/loc&gt;</t>
  </si>
  <si>
    <t>https://odysia-cruise-uk.client.prod.eu-west.dreamlake.io/cruise-lines/cunard/cruises</t>
  </si>
  <si>
    <t>&lt;loc&gt;https://odysia-cruise-uk.client.prod.eu-west.dreamlake.io/cruise-lines/celebrity-cruises/celebrity-beyond/cruises&lt;/loc&gt;</t>
  </si>
  <si>
    <t>https://odysia-cruise-uk.client.prod.eu-west.dreamlake.io/cruise-lines/celebrity-cruises/celebrity-beyond/cruises</t>
  </si>
  <si>
    <t>&lt;loc&gt;https://odysia-cruise-uk.client.prod.eu-west.dreamlake.io/cruise-lines/royal-caribbean/icon-of-the-seas&lt;/loc&gt;</t>
  </si>
  <si>
    <t>https://odysia-cruise-uk.client.prod.eu-west.dreamlake.io/cruise-lines/royal-caribbean/icon-of-the-seas</t>
  </si>
  <si>
    <t>&lt;loc&gt;https://odysia-cruise-uk.client.prod.eu-west.dreamlake.io/cruise-lines/princess-cruises/regal-princess&lt;/loc&gt;</t>
  </si>
  <si>
    <t>https://odysia-cruise-uk.client.prod.eu-west.dreamlake.io/cruise-lines/princess-cruises/regal-princess</t>
  </si>
  <si>
    <t>&lt;loc&gt;https://odysia-cruise-uk.client.prod.eu-west.dreamlake.io/cruise-lines/royal-caribbean/utopia-of-the-seas/cruises&lt;/loc&gt;</t>
  </si>
  <si>
    <t>https://odysia-cruise-uk.client.prod.eu-west.dreamlake.io/cruise-lines/royal-caribbean/utopia-of-the-seas/cruises</t>
  </si>
  <si>
    <t>&lt;loc&gt;https://odysia-cruise-uk.client.prod.eu-west.dreamlake.io/cruise-lines/oceania-cruises/oceania-riviera/cruises&lt;/loc&gt;</t>
  </si>
  <si>
    <t>https://odysia-cruise-uk.client.prod.eu-west.dreamlake.io/cruise-lines/oceania-cruises/oceania-riviera/cruises</t>
  </si>
  <si>
    <t>&lt;loc&gt;https://odysia-cruise-uk.client.prod.eu-west.dreamlake.io/cruise-lines/cunard/queen-anne/cruises&lt;/loc&gt;</t>
  </si>
  <si>
    <t>https://odysia-cruise-uk.client.prod.eu-west.dreamlake.io/cruise-lines/cunard/queen-anne/cruises</t>
  </si>
  <si>
    <t>&lt;loc&gt;https://odysia-cruise-uk.client.prod.eu-west.dreamlake.io/cruise-lines/norwegian-cruise-line/norwegian-dawn&lt;/loc&gt;</t>
  </si>
  <si>
    <t>https://odysia-cruise-uk.client.prod.eu-west.dreamlake.io/cruise-lines/norwegian-cruise-line/norwegian-dawn</t>
  </si>
  <si>
    <t>&lt;loc&gt;https://odysia-cruise-uk.client.prod.eu-west.dreamlake.io/destinations/mediterranean-cruises&lt;/loc&gt;</t>
  </si>
  <si>
    <t>&lt;loc&gt;https://odysia-cruise-uk.client.prod.eu-west.dreamlake.io/cruise-lines/norwegian-cruise-line/norwegian-epic&lt;/loc&gt;</t>
  </si>
  <si>
    <t>https://odysia-cruise-uk.client.prod.eu-west.dreamlake.io/cruise-lines/norwegian-cruise-line/norwegian-epic</t>
  </si>
  <si>
    <t>&lt;loc&gt;https://odysia-cruise-uk.client.prod.eu-west.dreamlake.io/cruise-lines/celebrity-cruises/celebrity-silhouette&lt;/loc&gt;</t>
  </si>
  <si>
    <t>https://odysia-cruise-uk.client.prod.eu-west.dreamlake.io/cruise-lines/celebrity-cruises/celebrity-silhouette</t>
  </si>
  <si>
    <t>&lt;loc&gt;https://odysia-cruise-uk.client.prod.eu-west.dreamlake.io/destinations/usa-cruises&lt;/loc&gt;</t>
  </si>
  <si>
    <t>&lt;loc&gt;https://odysia-cruise-uk.client.prod.eu-west.dreamlake.io/cruise-lines/royal-caribbean/radiance-of-the-seas/cruises&lt;/loc&gt;</t>
  </si>
  <si>
    <t>https://odysia-cruise-uk.client.prod.eu-west.dreamlake.io/cruise-lines/royal-caribbean/radiance-of-the-seas/cruises</t>
  </si>
  <si>
    <t>&lt;loc&gt;https://odysia-cruise-uk.client.prod.eu-west.dreamlake.io/cruise-lines/holland-america-line/rotterdam&lt;/loc&gt;</t>
  </si>
  <si>
    <t>https://odysia-cruise-uk.client.prod.eu-west.dreamlake.io/cruise-lines/holland-america-line/rotterdam</t>
  </si>
  <si>
    <t>&lt;loc&gt;https://odysia-cruise-uk.client.prod.eu-west.dreamlake.io/cruise-lines/royal-caribbean/anthem-of-the-seas&lt;/loc&gt;</t>
  </si>
  <si>
    <t>https://odysia-cruise-uk.client.prod.eu-west.dreamlake.io/cruise-lines/royal-caribbean/anthem-of-the-seas</t>
  </si>
  <si>
    <t>&lt;loc&gt;https://odysia-cruise-uk.client.prod.eu-west.dreamlake.io/cruise-deals/cruises-from-southampton&lt;/loc&gt;</t>
  </si>
  <si>
    <t>https://odysia-cruise-uk.client.prod.eu-west.dreamlake.io/cruise-deals/cruises-from-southampton</t>
  </si>
  <si>
    <t>&lt;loc&gt;https://odysia-cruise-uk.client.prod.eu-west.dreamlake.io/cruise-lines/celebrity-cruises/celebrity-silhouette/cruises&lt;/loc&gt;</t>
  </si>
  <si>
    <t>https://odysia-cruise-uk.client.prod.eu-west.dreamlake.io/cruise-lines/celebrity-cruises/celebrity-silhouette/cruises</t>
  </si>
  <si>
    <t>&lt;loc&gt;https://odysia-cruise-uk.client.prod.eu-west.dreamlake.io/cruise-lines/royal-caribbean/enchantment-of-the-seas&lt;/loc&gt;</t>
  </si>
  <si>
    <t>https://odysia-cruise-uk.client.prod.eu-west.dreamlake.io/cruise-lines/royal-caribbean/enchantment-of-the-seas</t>
  </si>
  <si>
    <t>&lt;loc&gt;https://odysia-cruise-uk.client.prod.eu-west.dreamlake.io/cruise-lines/norwegian-cruise-line/norwegian-gem/cruises&lt;/loc&gt;</t>
  </si>
  <si>
    <t>https://odysia-cruise-uk.client.prod.eu-west.dreamlake.io/cruise-lines/norwegian-cruise-line/norwegian-gem/cruises</t>
  </si>
  <si>
    <t>&lt;loc&gt;https://odysia-cruise-uk.client.prod.eu-west.dreamlake.io/cruise-lines/virgin-voyages/scarlet-lady/cruises&lt;/loc&gt;</t>
  </si>
  <si>
    <t>https://odysia-cruise-uk.client.prod.eu-west.dreamlake.io/cruise-lines/virgin-voyages/scarlet-lady/cruises</t>
  </si>
  <si>
    <t>&lt;loc&gt;https://odysia-cruise-uk.client.prod.eu-west.dreamlake.io/cruise-lines/msc-cruises/msc-splendida/cruises&lt;/loc&gt;</t>
  </si>
  <si>
    <t>https://odysia-cruise-uk.client.prod.eu-west.dreamlake.io/cruise-lines/msc-cruises/msc-splendida/cruises</t>
  </si>
  <si>
    <t>&lt;loc&gt;https://odysia-cruise-uk.client.prod.eu-west.dreamlake.io/cruise-lines/norwegian-cruise-line/norwegian-dawn/cruises&lt;/loc&gt;</t>
  </si>
  <si>
    <t>https://odysia-cruise-uk.client.prod.eu-west.dreamlake.io/cruise-lines/norwegian-cruise-line/norwegian-dawn/cruises</t>
  </si>
  <si>
    <t>&lt;loc&gt;https://odysia-cruise-uk.client.prod.eu-west.dreamlake.io/cruise-lines/msc-cruises/msc-seascape&lt;/loc&gt;</t>
  </si>
  <si>
    <t>https://odysia-cruise-uk.client.prod.eu-west.dreamlake.io/cruise-lines/msc-cruises/msc-seascape</t>
  </si>
  <si>
    <t>&lt;loc&gt;https://odysia-cruise-uk.client.prod.eu-west.dreamlake.io/cruise-lines/msc-cruises/cruises&lt;/loc&gt;</t>
  </si>
  <si>
    <t>https://odysia-cruise-uk.client.prod.eu-west.dreamlake.io/cruise-lines/msc-cruises/cruises</t>
  </si>
  <si>
    <t>&lt;loc&gt;https://odysia-cruise-uk.client.prod.eu-west.dreamlake.io/cruise-lines/virgin-voyages/valiant-lady/cruises&lt;/loc&gt;</t>
  </si>
  <si>
    <t>https://odysia-cruise-uk.client.prod.eu-west.dreamlake.io/cruise-lines/virgin-voyages/valiant-lady/cruises</t>
  </si>
  <si>
    <t>&lt;loc&gt;https://odysia-cruise-uk.client.prod.eu-west.dreamlake.io/cruise-deals/fly-cruise-deals&lt;/loc&gt;</t>
  </si>
  <si>
    <t>https://odysia-cruise-uk.client.prod.eu-west.dreamlake.io/cruise-deals/fly-cruise-deals</t>
  </si>
  <si>
    <t>&lt;loc&gt;https://odysia-cruise-uk.client.prod.eu-west.dreamlake.io/cruise-lines/virgin-voyages/cruises&lt;/loc&gt;</t>
  </si>
  <si>
    <t>https://odysia-cruise-uk.client.prod.eu-west.dreamlake.io/cruise-lines/virgin-voyages/cruises</t>
  </si>
  <si>
    <t>&lt;loc&gt;https://odysia-cruise-uk.client.prod.eu-west.dreamlake.io/cruise-lines/royal-caribbean/vision-of-the-seas&lt;/loc&gt;</t>
  </si>
  <si>
    <t>https://odysia-cruise-uk.client.prod.eu-west.dreamlake.io/cruise-lines/royal-caribbean/vision-of-the-seas</t>
  </si>
  <si>
    <t>&lt;loc&gt;https://odysia-cruise-uk.client.prod.eu-west.dreamlake.io/cruise-lines/explora-journeys/explora-iii/cruises&lt;/loc&gt;</t>
  </si>
  <si>
    <t>https://odysia-cruise-uk.client.prod.eu-west.dreamlake.io/cruise-lines/explora-journeys/explora-iii/cruises</t>
  </si>
  <si>
    <t>&lt;loc&gt;https://odysia-cruise-uk.client.prod.eu-west.dreamlake.io/cruise-lines/holland-america-line/nieuw-amsterdam/cruises&lt;/loc&gt;</t>
  </si>
  <si>
    <t>https://odysia-cruise-uk.client.prod.eu-west.dreamlake.io/cruise-lines/holland-america-line/nieuw-amsterdam/cruises</t>
  </si>
  <si>
    <t>&lt;loc&gt;https://odysia-cruise-uk.client.prod.eu-west.dreamlake.io/cruise-lines/holland-america-line/eurodam&lt;/loc&gt;</t>
  </si>
  <si>
    <t>https://odysia-cruise-uk.client.prod.eu-west.dreamlake.io/cruise-lines/holland-america-line/eurodam</t>
  </si>
  <si>
    <t>&lt;loc&gt;https://odysia-cruise-uk.client.prod.eu-west.dreamlake.io/cruise-lines/princess-cruises/majestic-princess&lt;/loc&gt;</t>
  </si>
  <si>
    <t>https://odysia-cruise-uk.client.prod.eu-west.dreamlake.io/cruise-lines/princess-cruises/majestic-princess</t>
  </si>
  <si>
    <t>&lt;loc&gt;https://odysia-cruise-uk.client.prod.eu-west.dreamlake.io/cruise-lines/oceania-cruises/oceania-nautica/cruises&lt;/loc&gt;</t>
  </si>
  <si>
    <t>https://odysia-cruise-uk.client.prod.eu-west.dreamlake.io/cruise-lines/oceania-cruises/oceania-nautica/cruises</t>
  </si>
  <si>
    <t>&lt;loc&gt;https://odysia-cruise-uk.client.prod.eu-west.dreamlake.io/cruise-lines/holland-america-line/koningsdam&lt;/loc&gt;</t>
  </si>
  <si>
    <t>https://odysia-cruise-uk.client.prod.eu-west.dreamlake.io/cruise-lines/holland-america-line/koningsdam</t>
  </si>
  <si>
    <t>&lt;loc&gt;https://odysia-cruise-uk.client.prod.eu-west.dreamlake.io/cruise-lines/oceania-cruises/cruises&lt;/loc&gt;</t>
  </si>
  <si>
    <t>https://odysia-cruise-uk.client.prod.eu-west.dreamlake.io/cruise-lines/oceania-cruises/cruises</t>
  </si>
  <si>
    <t>&lt;loc&gt;https://odysia-cruise-uk.client.prod.eu-west.dreamlake.io/cruise-lines/msc-cruises/msc-euribia/cruises&lt;/loc&gt;</t>
  </si>
  <si>
    <t>https://odysia-cruise-uk.client.prod.eu-west.dreamlake.io/cruise-lines/msc-cruises/msc-euribia/cruises</t>
  </si>
  <si>
    <t>&lt;loc&gt;https://odysia-cruise-uk.client.prod.eu-west.dreamlake.io/cruise-calendar/north-america-cruises&lt;/loc&gt;</t>
  </si>
  <si>
    <t>&lt;loc&gt;https://odysia-cruise-uk.client.prod.eu-west.dreamlake.io/destinations/norway-norwegian-fjords-cruises&lt;/loc&gt;</t>
  </si>
  <si>
    <t>&lt;loc&gt;https://odysia-cruise-uk.client.prod.eu-west.dreamlake.io/cruise-lines/msc-cruises/msc-euribia&lt;/loc&gt;</t>
  </si>
  <si>
    <t>https://odysia-cruise-uk.client.prod.eu-west.dreamlake.io/cruise-lines/msc-cruises/msc-euribia</t>
  </si>
  <si>
    <t>&lt;loc&gt;https://odysia-cruise-uk.client.prod.eu-west.dreamlake.io/cruise-deals/cruises-from-the-uk&lt;/loc&gt;</t>
  </si>
  <si>
    <t>https://odysia-cruise-uk.client.prod.eu-west.dreamlake.io/cruise-deals/cruises-from-the-uk</t>
  </si>
  <si>
    <t>&lt;loc&gt;https://odysia-cruise-uk.client.prod.eu-west.dreamlake.io/cruise-lines/norwegian-cruise-line/norwegian-prima/cruises&lt;/loc&gt;</t>
  </si>
  <si>
    <t>https://odysia-cruise-uk.client.prod.eu-west.dreamlake.io/cruise-lines/norwegian-cruise-line/norwegian-prima/cruises</t>
  </si>
  <si>
    <t>&lt;loc&gt;https://odysia-cruise-uk.client.prod.eu-west.dreamlake.io/cruise-lines/princess-cruises/crown-princess/cruises&lt;/loc&gt;</t>
  </si>
  <si>
    <t>https://odysia-cruise-uk.client.prod.eu-west.dreamlake.io/cruise-lines/princess-cruises/crown-princess/cruises</t>
  </si>
  <si>
    <t>&lt;loc&gt;https://odysia-cruise-uk.client.prod.eu-west.dreamlake.io/cruise-lines/royal-caribbean/harmony-of-the-seas/cruises&lt;/loc&gt;</t>
  </si>
  <si>
    <t>https://odysia-cruise-uk.client.prod.eu-west.dreamlake.io/cruise-lines/royal-caribbean/harmony-of-the-seas/cruises</t>
  </si>
  <si>
    <t>&lt;loc&gt;https://odysia-cruise-uk.client.prod.eu-west.dreamlake.io/cruise-calendar/asia-far-east-cruise-dates&lt;/loc&gt;</t>
  </si>
  <si>
    <t>&lt;loc&gt;https://odysia-cruise-uk.client.prod.eu-west.dreamlake.io/cruise-lines/celebrity-cruises/celebrity-edge&lt;/loc&gt;</t>
  </si>
  <si>
    <t>https://odysia-cruise-uk.client.prod.eu-west.dreamlake.io/cruise-lines/celebrity-cruises/celebrity-edge</t>
  </si>
  <si>
    <t>&lt;loc&gt;https://odysia-cruise-uk.client.prod.eu-west.dreamlake.io/cruise-lines/celebrity-cruises/cruises&lt;/loc&gt;</t>
  </si>
  <si>
    <t>https://odysia-cruise-uk.client.prod.eu-west.dreamlake.io/cruise-lines/celebrity-cruises/cruises</t>
  </si>
  <si>
    <t>&lt;loc&gt;https://odysia-cruise-uk.client.prod.eu-west.dreamlake.io/cruise-lines/seabourn/seabourn-pursuit/cruises&lt;/loc&gt;</t>
  </si>
  <si>
    <t>https://odysia-cruise-uk.client.prod.eu-west.dreamlake.io/cruise-lines/seabourn/seabourn-pursuit/cruises</t>
  </si>
  <si>
    <t>&lt;loc&gt;https://odysia-cruise-uk.client.prod.eu-west.dreamlake.io/cruise-lines/msc-cruises/msc-world-europa/cruises&lt;/loc&gt;</t>
  </si>
  <si>
    <t>https://odysia-cruise-uk.client.prod.eu-west.dreamlake.io/cruise-lines/msc-cruises/msc-world-europa/cruises</t>
  </si>
  <si>
    <t>&lt;loc&gt;https://odysia-cruise-uk.client.prod.eu-west.dreamlake.io/cruise-calendar/norwegian-fjord-cruises-dates&lt;/loc&gt;</t>
  </si>
  <si>
    <t>&lt;loc&gt;https://odysia-cruise-uk.client.prod.eu-west.dreamlake.io/cruise-lines/norwegian-cruise-line/norwegian-breakaway/cruises&lt;/loc&gt;</t>
  </si>
  <si>
    <t>https://odysia-cruise-uk.client.prod.eu-west.dreamlake.io/cruise-lines/norwegian-cruise-line/norwegian-breakaway/cruises</t>
  </si>
  <si>
    <t>&lt;loc&gt;https://odysia-cruise-uk.client.prod.eu-west.dreamlake.io/cruise-lines/norwegian-cruise-line/norwegian-bliss&lt;/loc&gt;</t>
  </si>
  <si>
    <t>https://odysia-cruise-uk.client.prod.eu-west.dreamlake.io/cruise-lines/norwegian-cruise-line/norwegian-bliss</t>
  </si>
  <si>
    <t>&lt;loc&gt;https://odysia-cruise-uk.client.prod.eu-west.dreamlake.io/cruise-lines/regent-seven-seas-cruises&lt;/loc&gt;</t>
  </si>
  <si>
    <t>https://odysia-cruise-uk.client.prod.eu-west.dreamlake.io/cruise-lines/regent-seven-seas-cruises</t>
  </si>
  <si>
    <t>&lt;loc&gt;https://odysia-cruise-uk.client.prod.eu-west.dreamlake.io/cruise-lines/royal-caribbean/enchantment-of-the-seas/cruises&lt;/loc&gt;</t>
  </si>
  <si>
    <t>https://odysia-cruise-uk.client.prod.eu-west.dreamlake.io/cruise-lines/royal-caribbean/enchantment-of-the-seas/cruises</t>
  </si>
  <si>
    <t>&lt;loc&gt;https://odysia-cruise-uk.client.prod.eu-west.dreamlake.io/cruise-deals/mini-cruises&lt;/loc&gt;</t>
  </si>
  <si>
    <t>https://odysia-cruise-uk.client.prod.eu-west.dreamlake.io/cruise-deals/mini-cruises</t>
  </si>
  <si>
    <t>&lt;loc&gt;https://odysia-cruise-uk.client.prod.eu-west.dreamlake.io/destinations/africa-cruises&lt;/loc&gt;</t>
  </si>
  <si>
    <t>&lt;loc&gt;https://odysia-cruise-uk.client.prod.eu-west.dreamlake.io/cruise-deals/family-cruise-deals&lt;/loc&gt;</t>
  </si>
  <si>
    <t>https://odysia-cruise-uk.client.prod.eu-west.dreamlake.io/cruise-deals/family-cruise-deals</t>
  </si>
  <si>
    <t>&lt;loc&gt;https://odysia-cruise-uk.client.prod.eu-west.dreamlake.io/cruise-deals/all-inclusive-cruise-deals&lt;/loc&gt;</t>
  </si>
  <si>
    <t>https://odysia-cruise-uk.client.prod.eu-west.dreamlake.io/cruise-deals/all-inclusive-cruise-deals</t>
  </si>
  <si>
    <t>&lt;loc&gt;https://odysia-cruise-uk.client.prod.eu-west.dreamlake.io/cruise-lines/virgin-voyages/scarlet-lady&lt;/loc&gt;</t>
  </si>
  <si>
    <t>https://odysia-cruise-uk.client.prod.eu-west.dreamlake.io/cruise-lines/virgin-voyages/scarlet-lady</t>
  </si>
  <si>
    <t>&lt;loc&gt;https://odysia-cruise-uk.client.prod.eu-west.dreamlake.io/cruise-lines/norwegian-cruise-line/norwegian-spirit&lt;/loc&gt;</t>
  </si>
  <si>
    <t>https://odysia-cruise-uk.client.prod.eu-west.dreamlake.io/cruise-lines/norwegian-cruise-line/norwegian-spirit</t>
  </si>
  <si>
    <t>&lt;loc&gt;https://odysia-cruise-uk.client.prod.eu-west.dreamlake.io/cruise-lines/princess-cruises/emerald-princess&lt;/loc&gt;</t>
  </si>
  <si>
    <t>https://odysia-cruise-uk.client.prod.eu-west.dreamlake.io/cruise-lines/princess-cruises/emerald-princess</t>
  </si>
  <si>
    <t>&lt;loc&gt;https://odysia-cruise-uk.client.prod.eu-west.dreamlake.io/cruise-lines/royal-caribbean/independence-of-the-seas&lt;/loc&gt;</t>
  </si>
  <si>
    <t>https://odysia-cruise-uk.client.prod.eu-west.dreamlake.io/cruise-lines/royal-caribbean/independence-of-the-seas</t>
  </si>
  <si>
    <t>&lt;loc&gt;https://odysia-cruise-uk.client.prod.eu-west.dreamlake.io/destinations/australasia-cruises&lt;/loc&gt;</t>
  </si>
  <si>
    <t>&lt;loc&gt;https://odysia-cruise-uk.client.prod.eu-west.dreamlake.io/cruise-lines/holland-america-line/oosterdam/cruises&lt;/loc&gt;</t>
  </si>
  <si>
    <t>https://odysia-cruise-uk.client.prod.eu-west.dreamlake.io/cruise-lines/holland-america-line/oosterdam/cruises</t>
  </si>
  <si>
    <t>&lt;loc&gt;https://odysia-cruise-uk.client.prod.eu-west.dreamlake.io/cruise-lines/princess-cruises&lt;/loc&gt;</t>
  </si>
  <si>
    <t>https://odysia-cruise-uk.client.prod.eu-west.dreamlake.io/cruise-lines/princess-cruises</t>
  </si>
  <si>
    <t>&lt;loc&gt;https://odysia-cruise-uk.client.prod.eu-west.dreamlake.io/cruise-lines/norwegian-cruise-line/norwegian-prima&lt;/loc&gt;</t>
  </si>
  <si>
    <t>https://odysia-cruise-uk.client.prod.eu-west.dreamlake.io/cruise-lines/norwegian-cruise-line/norwegian-prima</t>
  </si>
  <si>
    <t>&lt;loc&gt;https://odysia-cruise-uk.client.prod.eu-west.dreamlake.io/cruise-lines/holland-america-line/zuiderdam/cruises&lt;/loc&gt;</t>
  </si>
  <si>
    <t>https://odysia-cruise-uk.client.prod.eu-west.dreamlake.io/cruise-lines/holland-america-line/zuiderdam/cruises</t>
  </si>
  <si>
    <t>&lt;loc&gt;https://odysia-cruise-uk.client.prod.eu-west.dreamlake.io/cruise-lines/norwegian-cruise-line/norwegian-aqua&lt;/loc&gt;</t>
  </si>
  <si>
    <t>https://odysia-cruise-uk.client.prod.eu-west.dreamlake.io/cruise-lines/norwegian-cruise-line/norwegian-aqua</t>
  </si>
  <si>
    <t>&lt;loc&gt;https://odysia-cruise-uk.client.prod.eu-west.dreamlake.io/cruise-lines/royal-caribbean/odyssey-of-the-seas&lt;/loc&gt;</t>
  </si>
  <si>
    <t>https://odysia-cruise-uk.client.prod.eu-west.dreamlake.io/cruise-lines/royal-caribbean/odyssey-of-the-seas</t>
  </si>
  <si>
    <t>&lt;loc&gt;https://odysia-cruise-uk.client.prod.eu-west.dreamlake.io/cruise-lines/celebrity-cruises/celebrity-infinity/cruises&lt;/loc&gt;</t>
  </si>
  <si>
    <t>https://odysia-cruise-uk.client.prod.eu-west.dreamlake.io/cruise-lines/celebrity-cruises/celebrity-infinity/cruises</t>
  </si>
  <si>
    <t>&lt;loc&gt;https://odysia-cruise-uk.client.prod.eu-west.dreamlake.io/cruise-lines/norwegian-cruise-line/norwegian-sun&lt;/loc&gt;</t>
  </si>
  <si>
    <t>https://odysia-cruise-uk.client.prod.eu-west.dreamlake.io/cruise-lines/norwegian-cruise-line/norwegian-sun</t>
  </si>
  <si>
    <t>&lt;loc&gt;https://odysia-cruise-uk.client.prod.eu-west.dreamlake.io/cruise-lines/holland-america-line/eurodam/cruises&lt;/loc&gt;</t>
  </si>
  <si>
    <t>https://odysia-cruise-uk.client.prod.eu-west.dreamlake.io/cruise-lines/holland-america-line/eurodam/cruises</t>
  </si>
  <si>
    <t>&lt;loc&gt;https://odysia-cruise-uk.client.prod.eu-west.dreamlake.io/cruise-lines/royal-caribbean/symphony-of-the-seas/cruises&lt;/loc&gt;</t>
  </si>
  <si>
    <t>https://odysia-cruise-uk.client.prod.eu-west.dreamlake.io/cruise-lines/royal-caribbean/symphony-of-the-seas/cruises</t>
  </si>
  <si>
    <t>&lt;loc&gt;https://odysia-cruise-uk.client.prod.eu-west.dreamlake.io/cruise-lines/azamara/azamara-pursuit/cruises&lt;/loc&gt;</t>
  </si>
  <si>
    <t>&lt;loc&gt;https://odysia-cruise-uk.client.prod.eu-west.dreamlake.io/cruise-lines/msc-cruises/msc-musica&lt;/loc&gt;</t>
  </si>
  <si>
    <t>https://odysia-cruise-uk.client.prod.eu-west.dreamlake.io/cruise-lines/msc-cruises/msc-musica</t>
  </si>
  <si>
    <t>&lt;loc&gt;https://odysia-cruise-uk.client.prod.eu-west.dreamlake.io/cruise-lines/fred-olsen-cruises/borealis/cruises&lt;/loc&gt;</t>
  </si>
  <si>
    <t>https://odysia-cruise-uk.client.prod.eu-west.dreamlake.io/cruise-lines/fred-olsen-cruises/borealis/cruises</t>
  </si>
  <si>
    <t>&lt;loc&gt;https://odysia-cruise-uk.client.prod.eu-west.dreamlake.io/cruise-lines/costa-cruises&lt;/loc&gt;</t>
  </si>
  <si>
    <t>https://odysia-cruise-uk.client.prod.eu-west.dreamlake.io/cruise-lines/costa-cruises</t>
  </si>
  <si>
    <t>&lt;loc&gt;https://odysia-cruise-uk.client.prod.eu-west.dreamlake.io/cruise-lines/norwegian-cruise-line/norwegian-escape&lt;/loc&gt;</t>
  </si>
  <si>
    <t>https://odysia-cruise-uk.client.prod.eu-west.dreamlake.io/cruise-lines/norwegian-cruise-line/norwegian-escape</t>
  </si>
  <si>
    <t>&lt;loc&gt;https://odysia-cruise-uk.client.prod.eu-west.dreamlake.io/cruise-lines/costa-cruises/costa-serena/cruises&lt;/loc&gt;</t>
  </si>
  <si>
    <t>https://odysia-cruise-uk.client.prod.eu-west.dreamlake.io/cruise-lines/costa-cruises/costa-serena/cruises</t>
  </si>
  <si>
    <t>&lt;loc&gt;https://odysia-cruise-uk.client.prod.eu-west.dreamlake.io/cruise-lines/msc-cruises&lt;/loc&gt;</t>
  </si>
  <si>
    <t>https://odysia-cruise-uk.client.prod.eu-west.dreamlake.io/cruise-lines/msc-cruises</t>
  </si>
  <si>
    <t>&lt;loc&gt;https://odysia-cruise-uk.client.prod.eu-west.dreamlake.io/cruise-lines/cunard/queen-victoria&lt;/loc&gt;</t>
  </si>
  <si>
    <t>https://odysia-cruise-uk.client.prod.eu-west.dreamlake.io/cruise-lines/cunard/queen-victoria</t>
  </si>
  <si>
    <t>&lt;loc&gt;https://odysia-cruise-uk.client.prod.eu-west.dreamlake.io/cruise-lines/royal-caribbean/freedom-of-the-seas&lt;/loc&gt;</t>
  </si>
  <si>
    <t>https://odysia-cruise-uk.client.prod.eu-west.dreamlake.io/cruise-lines/royal-caribbean/freedom-of-the-seas</t>
  </si>
  <si>
    <t>&lt;loc&gt;https://odysia-cruise-uk.client.prod.eu-west.dreamlake.io/cruise-lines/po-cruises/arvia&lt;/loc&gt;</t>
  </si>
  <si>
    <t>https://odysia-cruise-uk.client.prod.eu-west.dreamlake.io/cruise-lines/po-cruises/arvia</t>
  </si>
  <si>
    <t>&lt;loc&gt;https://odysia-cruise-uk.client.prod.eu-west.dreamlake.io/cruise-lines/oceania-cruises/oceania-allura/cruises&lt;/loc&gt;</t>
  </si>
  <si>
    <t>https://odysia-cruise-uk.client.prod.eu-west.dreamlake.io/cruise-lines/oceania-cruises/oceania-allura/cruises</t>
  </si>
  <si>
    <t>&lt;loc&gt;https://odysia-cruise-uk.client.prod.eu-west.dreamlake.io/cruise-lines/norwegian-cruise-line/norwegian-getaway&lt;/loc&gt;</t>
  </si>
  <si>
    <t>https://odysia-cruise-uk.client.prod.eu-west.dreamlake.io/cruise-lines/norwegian-cruise-line/norwegian-getaway</t>
  </si>
  <si>
    <t>&lt;loc&gt;https://odysia-cruise-uk.client.prod.eu-west.dreamlake.io/cruise-calendar/polar-region-cruises&lt;/loc&gt;</t>
  </si>
  <si>
    <t>&lt;loc&gt;https://odysia-cruise-uk.client.prod.eu-west.dreamlake.io/cruise-lines/oceania-cruises/oceania-regatta/cruises&lt;/loc&gt;</t>
  </si>
  <si>
    <t>https://odysia-cruise-uk.client.prod.eu-west.dreamlake.io/cruise-lines/oceania-cruises/oceania-regatta/cruises</t>
  </si>
  <si>
    <t>&lt;loc&gt;https://odysia-cruise-uk.client.prod.eu-west.dreamlake.io/cruise-lines/royal-caribbean/navigator-of-the-seas&lt;/loc&gt;</t>
  </si>
  <si>
    <t>https://odysia-cruise-uk.client.prod.eu-west.dreamlake.io/cruise-lines/royal-caribbean/navigator-of-the-seas</t>
  </si>
  <si>
    <t>&lt;loc&gt;https://odysia-cruise-uk.client.prod.eu-west.dreamlake.io/cruise-lines/explora-journeys/explora-ii&lt;/loc&gt;</t>
  </si>
  <si>
    <t>https://odysia-cruise-uk.client.prod.eu-west.dreamlake.io/cruise-lines/explora-journeys/explora-ii</t>
  </si>
  <si>
    <t>&lt;loc&gt;https://odysia-cruise-uk.client.prod.eu-west.dreamlake.io/cruise-lines/seabourn/seabourn-venture/cruises&lt;/loc&gt;</t>
  </si>
  <si>
    <t>https://odysia-cruise-uk.client.prod.eu-west.dreamlake.io/cruise-lines/seabourn/seabourn-venture/cruises</t>
  </si>
  <si>
    <t>&lt;loc&gt;https://odysia-cruise-uk.client.prod.eu-west.dreamlake.io/cruise-lines/princess-cruises/discovery-princess&lt;/loc&gt;</t>
  </si>
  <si>
    <t>https://odysia-cruise-uk.client.prod.eu-west.dreamlake.io/cruise-lines/princess-cruises/discovery-princess</t>
  </si>
  <si>
    <t>&lt;loc&gt;https://odysia-cruise-uk.client.prod.eu-west.dreamlake.io/cruise-lines/msc-cruises/msc-virtuosa/cruises&lt;/loc&gt;</t>
  </si>
  <si>
    <t>https://odysia-cruise-uk.client.prod.eu-west.dreamlake.io/cruise-lines/msc-cruises/msc-virtuosa/cruises</t>
  </si>
  <si>
    <t>&lt;loc&gt;https://odysia-cruise-uk.client.prod.eu-west.dreamlake.io/cruise-lines&lt;/loc&gt;</t>
  </si>
  <si>
    <t>&lt;loc&gt;https://odysia-cruise-uk.client.prod.eu-west.dreamlake.io/cruise-lines/costa-cruises/costa-deliziosa/cruises&lt;/loc&gt;</t>
  </si>
  <si>
    <t>https://odysia-cruise-uk.client.prod.eu-west.dreamlake.io/cruise-lines/costa-cruises/costa-deliziosa/cruises</t>
  </si>
  <si>
    <t>&lt;loc&gt;https://odysia-cruise-uk.client.prod.eu-west.dreamlake.io/cruise-lines/holland-america-line/koningsdam/cruises&lt;/loc&gt;</t>
  </si>
  <si>
    <t>https://odysia-cruise-uk.client.prod.eu-west.dreamlake.io/cruise-lines/holland-america-line/koningsdam/cruises</t>
  </si>
  <si>
    <t>&lt;loc&gt;https://odysia-cruise-uk.client.prod.eu-west.dreamlake.io/cruise-lines/costa-cruises/costa-favolosa/cruises&lt;/loc&gt;</t>
  </si>
  <si>
    <t>https://odysia-cruise-uk.client.prod.eu-west.dreamlake.io/cruise-lines/costa-cruises/costa-favolosa/cruises</t>
  </si>
  <si>
    <t>&lt;loc&gt;https://odysia-cruise-uk.client.prod.eu-west.dreamlake.io/cruise-lines/norwegian-cruise-line/norwegian-gem&lt;/loc&gt;</t>
  </si>
  <si>
    <t>https://odysia-cruise-uk.client.prod.eu-west.dreamlake.io/cruise-lines/norwegian-cruise-line/norwegian-gem</t>
  </si>
  <si>
    <t>&lt;loc&gt;https://odysia-cruise-uk.client.prod.eu-west.dreamlake.io/cruise-lines/princess-cruises/star-princess&lt;/loc&gt;</t>
  </si>
  <si>
    <t>https://odysia-cruise-uk.client.prod.eu-west.dreamlake.io/cruise-lines/princess-cruises/star-princess</t>
  </si>
  <si>
    <t>&lt;loc&gt;https://odysia-cruise-uk.client.prod.eu-west.dreamlake.io/cruise-calendar/british-isles-cruises&lt;/loc&gt;</t>
  </si>
  <si>
    <t>&lt;loc&gt;https://odysia-cruise-uk.client.prod.eu-west.dreamlake.io/cruise-lines/celebrity-cruises/celebrity-flora/cruises&lt;/loc&gt;</t>
  </si>
  <si>
    <t>https://odysia-cruise-uk.client.prod.eu-west.dreamlake.io/cruise-lines/celebrity-cruises/celebrity-flora/cruises</t>
  </si>
  <si>
    <t>&lt;loc&gt;https://odysia-cruise-uk.client.prod.eu-west.dreamlake.io/cruise-lines/princess-cruises/island-princess&lt;/loc&gt;</t>
  </si>
  <si>
    <t>https://odysia-cruise-uk.client.prod.eu-west.dreamlake.io/cruise-lines/princess-cruises/island-princess</t>
  </si>
  <si>
    <t>&lt;loc&gt;https://odysia-cruise-uk.client.prod.eu-west.dreamlake.io/cruise-lines/ambassador-cruise-line&lt;/loc&gt;</t>
  </si>
  <si>
    <t>https://odysia-cruise-uk.client.prod.eu-west.dreamlake.io/cruise-lines/ambassador-cruise-line</t>
  </si>
  <si>
    <t>&lt;loc&gt;https://odysia-cruise-uk.client.prod.eu-west.dreamlake.io/cruise-lines/cunard/queen-mary-2/cruises&lt;/loc&gt;</t>
  </si>
  <si>
    <t>https://odysia-cruise-uk.client.prod.eu-west.dreamlake.io/cruise-lines/cunard/queen-mary-2/cruises</t>
  </si>
  <si>
    <t>&lt;loc&gt;https://odysia-cruise-uk.client.prod.eu-west.dreamlake.io/cruise-lines/fred-olsen-cruises/balmoral/cruises&lt;/loc&gt;</t>
  </si>
  <si>
    <t>https://odysia-cruise-uk.client.prod.eu-west.dreamlake.io/cruise-lines/fred-olsen-cruises/balmoral/cruises</t>
  </si>
  <si>
    <t>&lt;loc&gt;https://odysia-cruise-uk.client.prod.eu-west.dreamlake.io/cruise-lines/oceania-cruises/oceania-regatta&lt;/loc&gt;</t>
  </si>
  <si>
    <t>https://odysia-cruise-uk.client.prod.eu-west.dreamlake.io/cruise-lines/oceania-cruises/oceania-regatta</t>
  </si>
  <si>
    <t>&lt;loc&gt;https://odysia-cruise-uk.client.prod.eu-west.dreamlake.io/cruise-lines/po-cruises/iona/cruises&lt;/loc&gt;</t>
  </si>
  <si>
    <t>https://odysia-cruise-uk.client.prod.eu-west.dreamlake.io/cruise-lines/po-cruises/iona/cruises</t>
  </si>
  <si>
    <t>&lt;loc&gt;https://odysia-cruise-uk.client.prod.eu-west.dreamlake.io/cruise-lines/virgin-voyages&lt;/loc&gt;</t>
  </si>
  <si>
    <t>https://odysia-cruise-uk.client.prod.eu-west.dreamlake.io/cruise-lines/virgin-voyages</t>
  </si>
  <si>
    <t>&lt;loc&gt;https://odysia-cruise-uk.client.prod.eu-west.dreamlake.io/cruise-lines/norwegian-cruise-line/norwegian-viva/cruises&lt;/loc&gt;</t>
  </si>
  <si>
    <t>https://odysia-cruise-uk.client.prod.eu-west.dreamlake.io/cruise-lines/norwegian-cruise-line/norwegian-viva/cruises</t>
  </si>
  <si>
    <t>&lt;loc&gt;https://odysia-cruise-uk.client.prod.eu-west.dreamlake.io/cruise-lines/princess-cruises/emerald-princess/cruises&lt;/loc&gt;</t>
  </si>
  <si>
    <t>https://odysia-cruise-uk.client.prod.eu-west.dreamlake.io/cruise-lines/princess-cruises/emerald-princess/cruises</t>
  </si>
  <si>
    <t>&lt;loc&gt;https://odysia-cruise-uk.client.prod.eu-west.dreamlake.io/cruise-lines/costa-cruises/costa-smeralda&lt;/loc&gt;</t>
  </si>
  <si>
    <t>https://odysia-cruise-uk.client.prod.eu-west.dreamlake.io/cruise-lines/costa-cruises/costa-smeralda</t>
  </si>
  <si>
    <t>&lt;loc&gt;https://odysia-cruise-uk.client.prod.eu-west.dreamlake.io/cruise-lines/msc-cruises/msc-seaside/cruises&lt;/loc&gt;</t>
  </si>
  <si>
    <t>https://odysia-cruise-uk.client.prod.eu-west.dreamlake.io/cruise-lines/msc-cruises/msc-seaside/cruises</t>
  </si>
  <si>
    <t>&lt;loc&gt;https://odysia-cruise-uk.client.prod.eu-west.dreamlake.io/cruise-lines/royal-caribbean/serenade-of-the-seas&lt;/loc&gt;</t>
  </si>
  <si>
    <t>https://odysia-cruise-uk.client.prod.eu-west.dreamlake.io/cruise-lines/royal-caribbean/serenade-of-the-seas</t>
  </si>
  <si>
    <t>&lt;loc&gt;https://odysia-cruise-uk.client.prod.eu-west.dreamlake.io/cruise-lines/msc-cruises/msc-opera/cruises&lt;/loc&gt;</t>
  </si>
  <si>
    <t>https://odysia-cruise-uk.client.prod.eu-west.dreamlake.io/cruise-lines/msc-cruises/msc-opera/cruises</t>
  </si>
  <si>
    <t>&lt;loc&gt;https://odysia-cruise-uk.client.prod.eu-west.dreamlake.io/cruise-lines/celebrity-cruises/celebrity-eclipse/cruises&lt;/loc&gt;</t>
  </si>
  <si>
    <t>https://odysia-cruise-uk.client.prod.eu-west.dreamlake.io/cruise-lines/celebrity-cruises/celebrity-eclipse/cruises</t>
  </si>
  <si>
    <t>&lt;loc&gt;https://odysia-cruise-uk.client.prod.eu-west.dreamlake.io/cruise-lines/fred-olsen-cruises/borealis&lt;/loc&gt;</t>
  </si>
  <si>
    <t>https://odysia-cruise-uk.client.prod.eu-west.dreamlake.io/cruise-lines/fred-olsen-cruises/borealis</t>
  </si>
  <si>
    <t>&lt;loc&gt;https://odysia-cruise-uk.client.prod.eu-west.dreamlake.io/cruise-lines/costa-cruises/costa-diadema/cruises&lt;/loc&gt;</t>
  </si>
  <si>
    <t>https://odysia-cruise-uk.client.prod.eu-west.dreamlake.io/cruise-lines/costa-cruises/costa-diadema/cruises</t>
  </si>
  <si>
    <t>&lt;loc&gt;https://odysia-cruise-uk.client.prod.eu-west.dreamlake.io/cruise-lines/norwegian-cruise-line/norwegian-breakaway&lt;/loc&gt;</t>
  </si>
  <si>
    <t>https://odysia-cruise-uk.client.prod.eu-west.dreamlake.io/cruise-lines/norwegian-cruise-line/norwegian-breakaway</t>
  </si>
  <si>
    <t>&lt;loc&gt;https://odysia-cruise-uk.client.prod.eu-west.dreamlake.io/cruise-lines/regent-seven-seas-cruises/cruises&lt;/loc&gt;</t>
  </si>
  <si>
    <t>https://odysia-cruise-uk.client.prod.eu-west.dreamlake.io/cruise-lines/regent-seven-seas-cruises/cruises</t>
  </si>
  <si>
    <t>&lt;loc&gt;https://odysia-cruise-uk.client.prod.eu-west.dreamlake.io/cruise-lines/fred-olsen-cruises/bolette/cruises&lt;/loc&gt;</t>
  </si>
  <si>
    <t>https://odysia-cruise-uk.client.prod.eu-west.dreamlake.io/cruise-lines/fred-olsen-cruises/bolette/cruises</t>
  </si>
  <si>
    <t>&lt;loc&gt;https://odysia-cruise-uk.client.prod.eu-west.dreamlake.io/cruise-lines/msc-cruises/msc-armonia/cruises&lt;/loc&gt;</t>
  </si>
  <si>
    <t>https://odysia-cruise-uk.client.prod.eu-west.dreamlake.io/cruise-lines/msc-cruises/msc-armonia/cruises</t>
  </si>
  <si>
    <t>&lt;loc&gt;https://odysia-cruise-uk.client.prod.eu-west.dreamlake.io/cruise-lines/norwegian-cruise-line/norwegian-encore&lt;/loc&gt;</t>
  </si>
  <si>
    <t>https://odysia-cruise-uk.client.prod.eu-west.dreamlake.io/cruise-lines/norwegian-cruise-line/norwegian-encore</t>
  </si>
  <si>
    <t>&lt;loc&gt;https://odysia-cruise-uk.client.prod.eu-west.dreamlake.io/cruise-lines/po-cruises/azura/cruises&lt;/loc&gt;</t>
  </si>
  <si>
    <t>https://odysia-cruise-uk.client.prod.eu-west.dreamlake.io/cruise-lines/po-cruises/azura/cruises</t>
  </si>
  <si>
    <t>&lt;loc&gt;https://odysia-cruise-uk.client.prod.eu-west.dreamlake.io/cruise-lines/celebrity-cruises/celebrity-flora&lt;/loc&gt;</t>
  </si>
  <si>
    <t>https://odysia-cruise-uk.client.prod.eu-west.dreamlake.io/cruise-lines/celebrity-cruises/celebrity-flora</t>
  </si>
  <si>
    <t>&lt;loc&gt;https://odysia-cruise-uk.client.prod.eu-west.dreamlake.io/cruise-lines/msc-cruises/msc-seashore&lt;/loc&gt;</t>
  </si>
  <si>
    <t>https://odysia-cruise-uk.client.prod.eu-west.dreamlake.io/cruise-lines/msc-cruises/msc-seashore</t>
  </si>
  <si>
    <t>&lt;loc&gt;https://odysia-cruise-uk.client.prod.eu-west.dreamlake.io/cruise-lines/costa-cruises/costa-fascinosa/cruises&lt;/loc&gt;</t>
  </si>
  <si>
    <t>https://odysia-cruise-uk.client.prod.eu-west.dreamlake.io/cruise-lines/costa-cruises/costa-fascinosa/cruises</t>
  </si>
  <si>
    <t>&lt;loc&gt;https://odysia-cruise-uk.client.prod.eu-west.dreamlake.io/cruise-lines/princess-cruises/sun-princess/cruises&lt;/loc&gt;</t>
  </si>
  <si>
    <t>https://odysia-cruise-uk.client.prod.eu-west.dreamlake.io/cruise-lines/princess-cruises/sun-princess/cruises</t>
  </si>
  <si>
    <t>&lt;loc&gt;https://odysia-cruise-uk.client.prod.eu-west.dreamlake.io/cruise-lines/holland-america-line&lt;/loc&gt;</t>
  </si>
  <si>
    <t>https://odysia-cruise-uk.client.prod.eu-west.dreamlake.io/cruise-lines/holland-america-line</t>
  </si>
  <si>
    <t>&lt;loc&gt;https://odysia-cruise-uk.client.prod.eu-west.dreamlake.io/cruise-lines/azamara&lt;/loc&gt;</t>
  </si>
  <si>
    <t>&lt;loc&gt;https://odysia-cruise-uk.client.prod.eu-west.dreamlake.io/cruise-lines/princess-cruises/sun-princess&lt;/loc&gt;</t>
  </si>
  <si>
    <t>https://odysia-cruise-uk.client.prod.eu-west.dreamlake.io/cruise-lines/princess-cruises/sun-princess</t>
  </si>
  <si>
    <t>&lt;loc&gt;https://odysia-cruise-uk.client.prod.eu-west.dreamlake.io/cruise-lines/azamara/azamara-quest/cruises&lt;/loc&gt;</t>
  </si>
  <si>
    <t>&lt;loc&gt;https://odysia-cruise-uk.client.prod.eu-west.dreamlake.io/cruise-lines/msc-cruises/msc-world-europa&lt;/loc&gt;</t>
  </si>
  <si>
    <t>https://odysia-cruise-uk.client.prod.eu-west.dreamlake.io/cruise-lines/msc-cruises/msc-world-europa</t>
  </si>
  <si>
    <t>&lt;loc&gt;https://odysia-cruise-uk.client.prod.eu-west.dreamlake.io/cruise-lines/princess-cruises/regal-princess/cruises&lt;/loc&gt;</t>
  </si>
  <si>
    <t>https://odysia-cruise-uk.client.prod.eu-west.dreamlake.io/cruise-lines/princess-cruises/regal-princess/cruises</t>
  </si>
  <si>
    <t>&lt;loc&gt;https://odysia-cruise-uk.client.prod.eu-west.dreamlake.io/cruise-lines/royal-caribbean/oasis-of-the-seas&lt;/loc&gt;</t>
  </si>
  <si>
    <t>https://odysia-cruise-uk.client.prod.eu-west.dreamlake.io/cruise-lines/royal-caribbean/oasis-of-the-seas</t>
  </si>
  <si>
    <t>&lt;loc&gt;https://odysia-cruise-uk.client.prod.eu-west.dreamlake.io/cruise-lines/seabourn/seabourn-ovation/cruises&lt;/loc&gt;</t>
  </si>
  <si>
    <t>https://odysia-cruise-uk.client.prod.eu-west.dreamlake.io/cruise-lines/seabourn/seabourn-ovation/cruises</t>
  </si>
  <si>
    <t>&lt;loc&gt;https://odysia-cruise-uk.client.prod.eu-west.dreamlake.io/cruise-lines/royal-caribbean/spectrum-of-the-seas/cruises&lt;/loc&gt;</t>
  </si>
  <si>
    <t>https://odysia-cruise-uk.client.prod.eu-west.dreamlake.io/cruise-lines/royal-caribbean/spectrum-of-the-seas/cruises</t>
  </si>
  <si>
    <t>&lt;loc&gt;https://odysia-cruise-uk.client.prod.eu-west.dreamlake.io/cruise-lines/cunard/queen-victoria/cruises&lt;/loc&gt;</t>
  </si>
  <si>
    <t>https://odysia-cruise-uk.client.prod.eu-west.dreamlake.io/cruise-lines/cunard/queen-victoria/cruises</t>
  </si>
  <si>
    <t>&lt;loc&gt;https://odysia-cruise-uk.client.prod.eu-west.dreamlake.io/cruise-lines/royal-caribbean/rhapsody-of-the-seas/cruises&lt;/loc&gt;</t>
  </si>
  <si>
    <t>https://odysia-cruise-uk.client.prod.eu-west.dreamlake.io/cruise-lines/royal-caribbean/rhapsody-of-the-seas/cruises</t>
  </si>
  <si>
    <t>&lt;loc&gt;https://odysia-cruise-uk.client.prod.eu-west.dreamlake.io/cruise-lines/royal-caribbean/ovation-of-the-seas&lt;/loc&gt;</t>
  </si>
  <si>
    <t>https://odysia-cruise-uk.client.prod.eu-west.dreamlake.io/cruise-lines/royal-caribbean/ovation-of-the-seas</t>
  </si>
  <si>
    <t>&lt;loc&gt;https://odysia-cruise-uk.client.prod.eu-west.dreamlake.io/cruise-lines/princess-cruises/caribbean-princess/cruises&lt;/loc&gt;</t>
  </si>
  <si>
    <t>https://odysia-cruise-uk.client.prod.eu-west.dreamlake.io/cruise-lines/princess-cruises/caribbean-princess/cruises</t>
  </si>
  <si>
    <t>&lt;loc&gt;https://odysia-cruise-uk.client.prod.eu-west.dreamlake.io/cruise-lines/norwegian-cruise-line/norwegian-joy/cruises&lt;/loc&gt;</t>
  </si>
  <si>
    <t>https://odysia-cruise-uk.client.prod.eu-west.dreamlake.io/cruise-lines/norwegian-cruise-line/norwegian-joy/cruises</t>
  </si>
  <si>
    <t>&lt;loc&gt;https://odysia-cruise-uk.client.prod.eu-west.dreamlake.io/cruise-lines/cunard/queen-elizabeth/cruises&lt;/loc&gt;</t>
  </si>
  <si>
    <t>https://odysia-cruise-uk.client.prod.eu-west.dreamlake.io/cruise-lines/cunard/queen-elizabeth/cruises</t>
  </si>
  <si>
    <t>&lt;loc&gt;https://odysia-cruise-uk.client.prod.eu-west.dreamlake.io/cruise-lines/seabourn/seabourn-venture&lt;/loc&gt;</t>
  </si>
  <si>
    <t>https://odysia-cruise-uk.client.prod.eu-west.dreamlake.io/cruise-lines/seabourn/seabourn-venture</t>
  </si>
  <si>
    <t>&lt;loc&gt;https://odysia-cruise-uk.client.prod.eu-west.dreamlake.io/cruise-lines/oceania-cruises/oceania-vista&lt;/loc&gt;</t>
  </si>
  <si>
    <t>https://odysia-cruise-uk.client.prod.eu-west.dreamlake.io/cruise-lines/oceania-cruises/oceania-vista</t>
  </si>
  <si>
    <t>&lt;loc&gt;https://odysia-cruise-uk.client.prod.eu-west.dreamlake.io/cruise-lines/royal-caribbean/symphony-of-the-seas&lt;/loc&gt;</t>
  </si>
  <si>
    <t>https://odysia-cruise-uk.client.prod.eu-west.dreamlake.io/cruise-lines/royal-caribbean/symphony-of-the-seas</t>
  </si>
  <si>
    <t>&lt;loc&gt;https://odysia-cruise-uk.client.prod.eu-west.dreamlake.io/cruise-lines/norwegian-cruise-line/norwegian-epic/cruises&lt;/loc&gt;</t>
  </si>
  <si>
    <t>https://odysia-cruise-uk.client.prod.eu-west.dreamlake.io/cruise-lines/norwegian-cruise-line/norwegian-epic/cruises</t>
  </si>
  <si>
    <t>&lt;loc&gt;https://odysia-cruise-uk.client.prod.eu-west.dreamlake.io/cruise-lines/celebrity-cruises/celebrity-apex/cruises&lt;/loc&gt;</t>
  </si>
  <si>
    <t>https://odysia-cruise-uk.client.prod.eu-west.dreamlake.io/cruise-lines/celebrity-cruises/celebrity-apex/cruises</t>
  </si>
  <si>
    <t>&lt;loc&gt;https://odysia-cruise-uk.client.prod.eu-west.dreamlake.io/destinations/canary-islands-cruises&lt;/loc&gt;</t>
  </si>
  <si>
    <t>&lt;loc&gt;https://odysia-cruise-uk.client.prod.eu-west.dreamlake.io/cruise-lines/norwegian-cruise-line/norwegian-bliss/cruises&lt;/loc&gt;</t>
  </si>
  <si>
    <t>https://odysia-cruise-uk.client.prod.eu-west.dreamlake.io/cruise-lines/norwegian-cruise-line/norwegian-bliss/cruises</t>
  </si>
  <si>
    <t>&lt;loc&gt;https://odysia-cruise-uk.client.prod.eu-west.dreamlake.io/cruise-lines/princess-cruises/grand-princess/cruises&lt;/loc&gt;</t>
  </si>
  <si>
    <t>https://odysia-cruise-uk.client.prod.eu-west.dreamlake.io/cruise-lines/princess-cruises/grand-princess/cruises</t>
  </si>
  <si>
    <t>&lt;loc&gt;https://odysia-cruise-uk.client.prod.eu-west.dreamlake.io/cruise-lines/explora-journeys/explora-i/cruises&lt;/loc&gt;</t>
  </si>
  <si>
    <t>https://odysia-cruise-uk.client.prod.eu-west.dreamlake.io/cruise-lines/explora-journeys/explora-i/cruises</t>
  </si>
  <si>
    <t>&lt;loc&gt;https://odysia-cruise-uk.client.prod.eu-west.dreamlake.io/cruise-lines/royal-caribbean/voyager-of-the-seas&lt;/loc&gt;</t>
  </si>
  <si>
    <t>https://odysia-cruise-uk.client.prod.eu-west.dreamlake.io/cruise-lines/royal-caribbean/voyager-of-the-seas</t>
  </si>
  <si>
    <t>&lt;loc&gt;https://odysia-cruise-uk.client.prod.eu-west.dreamlake.io/cruise-deals/cruises-from-portsmouth&lt;/loc&gt;</t>
  </si>
  <si>
    <t>https://odysia-cruise-uk.client.prod.eu-west.dreamlake.io/cruise-deals/cruises-from-portsmouth</t>
  </si>
  <si>
    <t>&lt;loc&gt;https://odysia-cruise-uk.client.prod.eu-west.dreamlake.io/cruise-lines/costa-cruises/cruises&lt;/loc&gt;</t>
  </si>
  <si>
    <t>https://odysia-cruise-uk.client.prod.eu-west.dreamlake.io/cruise-lines/costa-cruises/cruises</t>
  </si>
  <si>
    <t>&lt;loc&gt;https://odysia-cruise-uk.client.prod.eu-west.dreamlake.io/cruise-lines/celebrity-cruises/celebrity-eclipse&lt;/loc&gt;</t>
  </si>
  <si>
    <t>https://odysia-cruise-uk.client.prod.eu-west.dreamlake.io/cruise-lines/celebrity-cruises/celebrity-eclipse</t>
  </si>
  <si>
    <t>&lt;loc&gt;https://odysia-cruise-uk.client.prod.eu-west.dreamlake.io/cruise-lines/celebrity-cruises/celebrity-beyond&lt;/loc&gt;</t>
  </si>
  <si>
    <t>https://odysia-cruise-uk.client.prod.eu-west.dreamlake.io/cruise-lines/celebrity-cruises/celebrity-beyond</t>
  </si>
  <si>
    <t>&lt;loc&gt;https://odysia-cruise-uk.client.prod.eu-west.dreamlake.io/cruise-lines/royal-caribbean/explorer-of-the-seas&lt;/loc&gt;</t>
  </si>
  <si>
    <t>https://odysia-cruise-uk.client.prod.eu-west.dreamlake.io/cruise-lines/royal-caribbean/explorer-of-the-seas</t>
  </si>
  <si>
    <t>&lt;loc&gt;https://odysia-cruise-uk.client.prod.eu-west.dreamlake.io/cruise-lines/celebrity-cruises/celebrity-constellation/cruises&lt;/loc&gt;</t>
  </si>
  <si>
    <t>https://odysia-cruise-uk.client.prod.eu-west.dreamlake.io/cruise-lines/celebrity-cruises/celebrity-constellation/cruises</t>
  </si>
  <si>
    <t>&lt;loc&gt;https://odysia-cruise-uk.client.prod.eu-west.dreamlake.io/cruise-lines/po-cruises/arvia/cruises&lt;/loc&gt;</t>
  </si>
  <si>
    <t>https://odysia-cruise-uk.client.prod.eu-west.dreamlake.io/cruise-lines/po-cruises/arvia/cruises</t>
  </si>
  <si>
    <t>&lt;loc&gt;https://odysia-cruise-uk.client.prod.eu-west.dreamlake.io/cruise-lines/ambassador-cruise-line/ambition&lt;/loc&gt;</t>
  </si>
  <si>
    <t>https://odysia-cruise-uk.client.prod.eu-west.dreamlake.io/cruise-lines/ambassador-cruise-line/ambition</t>
  </si>
  <si>
    <t>&lt;loc&gt;https://odysia-cruise-uk.client.prod.eu-west.dreamlake.io/cruise-lines/msc-cruises/msc-divina/cruises&lt;/loc&gt;</t>
  </si>
  <si>
    <t>https://odysia-cruise-uk.client.prod.eu-west.dreamlake.io/cruise-lines/msc-cruises/msc-divina/cruises</t>
  </si>
  <si>
    <t>&lt;loc&gt;https://odysia-cruise-uk.client.prod.eu-west.dreamlake.io/cruise-lines/seabourn/seabourn-encore&lt;/loc&gt;</t>
  </si>
  <si>
    <t>https://odysia-cruise-uk.client.prod.eu-west.dreamlake.io/cruise-lines/seabourn/seabourn-encore</t>
  </si>
  <si>
    <t>&lt;loc&gt;https://odysia-cruise-uk.client.prod.eu-west.dreamlake.io/cruise-lines/norwegian-cruise-line/norwegian-sun/cruises&lt;/loc&gt;</t>
  </si>
  <si>
    <t>https://odysia-cruise-uk.client.prod.eu-west.dreamlake.io/cruise-lines/norwegian-cruise-line/norwegian-sun/cruises</t>
  </si>
  <si>
    <t>&lt;loc&gt;https://odysia-cruise-uk.client.prod.eu-west.dreamlake.io/cruise-lines/princess-cruises/diamond-princess/cruises&lt;/loc&gt;</t>
  </si>
  <si>
    <t>https://odysia-cruise-uk.client.prod.eu-west.dreamlake.io/cruise-lines/princess-cruises/diamond-princess/cruises</t>
  </si>
  <si>
    <t>&lt;loc&gt;https://odysia-cruise-uk.client.prod.eu-west.dreamlake.io/cruise-lines/princess-cruises/crown-princess&lt;/loc&gt;</t>
  </si>
  <si>
    <t>https://odysia-cruise-uk.client.prod.eu-west.dreamlake.io/cruise-lines/princess-cruises/crown-princess</t>
  </si>
  <si>
    <t>&lt;loc&gt;https://odysia-cruise-uk.client.prod.eu-west.dreamlake.io/cruise-lines/oceania-cruises/oceania-insignia/cruises&lt;/loc&gt;</t>
  </si>
  <si>
    <t>https://odysia-cruise-uk.client.prod.eu-west.dreamlake.io/cruise-lines/oceania-cruises/oceania-insignia/cruises</t>
  </si>
  <si>
    <t>&lt;loc&gt;https://odysia-cruise-uk.client.prod.eu-west.dreamlake.io/cruise-lines/msc-cruises/msc-magnifica&lt;/loc&gt;</t>
  </si>
  <si>
    <t>https://odysia-cruise-uk.client.prod.eu-west.dreamlake.io/cruise-lines/msc-cruises/msc-magnifica</t>
  </si>
  <si>
    <t>&lt;loc&gt;https://odysia-cruise-uk.client.prod.eu-west.dreamlake.io/cruise-lines/seabourn/seabourn-sojourn&lt;/loc&gt;</t>
  </si>
  <si>
    <t>https://odysia-cruise-uk.client.prod.eu-west.dreamlake.io/cruise-lines/seabourn/seabourn-sojourn</t>
  </si>
  <si>
    <t>&lt;loc&gt;https://odysia-cruise-uk.client.prod.eu-west.dreamlake.io/cruise-lines/msc-cruises/msc-splendida&lt;/loc&gt;</t>
  </si>
  <si>
    <t>https://odysia-cruise-uk.client.prod.eu-west.dreamlake.io/cruise-lines/msc-cruises/msc-splendida</t>
  </si>
  <si>
    <t>&lt;loc&gt;https://odysia-cruise-uk.client.prod.eu-west.dreamlake.io/cruise-lines/msc-cruises/msc-poesia&lt;/loc&gt;</t>
  </si>
  <si>
    <t>https://odysia-cruise-uk.client.prod.eu-west.dreamlake.io/cruise-lines/msc-cruises/msc-poesia</t>
  </si>
  <si>
    <t>&lt;loc&gt;https://odysia-cruise-uk.client.prod.eu-west.dreamlake.io/cruise-lines/msc-cruises/msc-sinfonia/cruises&lt;/loc&gt;</t>
  </si>
  <si>
    <t>https://odysia-cruise-uk.client.prod.eu-west.dreamlake.io/cruise-lines/msc-cruises/msc-sinfonia/cruises</t>
  </si>
  <si>
    <t>&lt;loc&gt;https://odysia-cruise-uk.client.prod.eu-west.dreamlake.io/cruise-lines/norwegian-cruise-line/norwegian-getaway/cruises&lt;/loc&gt;</t>
  </si>
  <si>
    <t>https://odysia-cruise-uk.client.prod.eu-west.dreamlake.io/cruise-lines/norwegian-cruise-line/norwegian-getaway/cruises</t>
  </si>
  <si>
    <t>&lt;loc&gt;https://odysia-cruise-uk.client.prod.eu-west.dreamlake.io/cruise-lines/royal-caribbean/oasis-of-the-seas/cruises&lt;/loc&gt;</t>
  </si>
  <si>
    <t>https://odysia-cruise-uk.client.prod.eu-west.dreamlake.io/cruise-lines/royal-caribbean/oasis-of-the-seas/cruises</t>
  </si>
  <si>
    <t>&lt;loc&gt;https://odysia-cruise-uk.client.prod.eu-west.dreamlake.io/cruise-lines/po-cruises/arcadia&lt;/loc&gt;</t>
  </si>
  <si>
    <t>https://odysia-cruise-uk.client.prod.eu-west.dreamlake.io/cruise-lines/po-cruises/arcadia</t>
  </si>
  <si>
    <t>&lt;loc&gt;https://odysia-cruise-uk.client.prod.eu-west.dreamlake.io/cruise-lines/royal-caribbean/ovation-of-the-seas/cruises&lt;/loc&gt;</t>
  </si>
  <si>
    <t>https://odysia-cruise-uk.client.prod.eu-west.dreamlake.io/cruise-lines/royal-caribbean/ovation-of-the-seas/cruises</t>
  </si>
  <si>
    <t>&lt;loc&gt;https://odysia-cruise-uk.client.prod.eu-west.dreamlake.io/cruise-lines/celebrity-cruises/celebrity-constellation&lt;/loc&gt;</t>
  </si>
  <si>
    <t>https://odysia-cruise-uk.client.prod.eu-west.dreamlake.io/cruise-lines/celebrity-cruises/celebrity-constellation</t>
  </si>
  <si>
    <t>&lt;loc&gt;https://odysia-cruise-uk.client.prod.eu-west.dreamlake.io/cruise-lines/holland-america-line/nieuw-statendam&lt;/loc&gt;</t>
  </si>
  <si>
    <t>https://odysia-cruise-uk.client.prod.eu-west.dreamlake.io/cruise-lines/holland-america-line/nieuw-statendam</t>
  </si>
  <si>
    <t>&lt;loc&gt;https://odysia-cruise-uk.client.prod.eu-west.dreamlake.io/cruise-lines/msc-cruises/msc-lirica&lt;/loc&gt;</t>
  </si>
  <si>
    <t>https://odysia-cruise-uk.client.prod.eu-west.dreamlake.io/cruise-lines/msc-cruises/msc-lirica</t>
  </si>
  <si>
    <t>&lt;loc&gt;https://odysia-cruise-uk.client.prod.eu-west.dreamlake.io/cruise-lines/norwegian-cruise-line/norwegian-luna/cruises&lt;/loc&gt;</t>
  </si>
  <si>
    <t>https://odysia-cruise-uk.client.prod.eu-west.dreamlake.io/cruise-lines/norwegian-cruise-line/norwegian-luna/cruises</t>
  </si>
  <si>
    <t>&lt;loc&gt;https://odysia-cruise-uk.client.prod.eu-west.dreamlake.io/cruise-lines/regent-seven-seas-cruises/seven-seas-explorer/cruises&lt;/loc&gt;</t>
  </si>
  <si>
    <t>https://odysia-cruise-uk.client.prod.eu-west.dreamlake.io/cruise-lines/regent-seven-seas-cruises/seven-seas-explorer/cruises</t>
  </si>
  <si>
    <t>&lt;loc&gt;https://odysia-cruise-uk.client.prod.eu-west.dreamlake.io/cruise-lines/msc-cruises/msc-fantasia&lt;/loc&gt;</t>
  </si>
  <si>
    <t>https://odysia-cruise-uk.client.prod.eu-west.dreamlake.io/cruise-lines/msc-cruises/msc-fantasia</t>
  </si>
  <si>
    <t>&lt;loc&gt;https://odysia-cruise-uk.client.prod.eu-west.dreamlake.io/cruise-lines/msc-cruises/msc-preziosa/cruises&lt;/loc&gt;</t>
  </si>
  <si>
    <t>https://odysia-cruise-uk.client.prod.eu-west.dreamlake.io/cruise-lines/msc-cruises/msc-preziosa/cruises</t>
  </si>
  <si>
    <t>&lt;loc&gt;https://odysia-cruise-uk.client.prod.eu-west.dreamlake.io/cruise-lines/azamara/cruises&lt;/loc&gt;</t>
  </si>
  <si>
    <t>&lt;loc&gt;https://odysia-cruise-uk.client.prod.eu-west.dreamlake.io/cruise-lines/royal-caribbean/explorer-of-the-seas/cruises&lt;/loc&gt;</t>
  </si>
  <si>
    <t>https://odysia-cruise-uk.client.prod.eu-west.dreamlake.io/cruise-lines/royal-caribbean/explorer-of-the-seas/cruises</t>
  </si>
  <si>
    <t>&lt;loc&gt;https://odysia-cruise-uk.client.prod.eu-west.dreamlake.io/cruise-lines/celebrity-cruises/celebrity-xcel&lt;/loc&gt;</t>
  </si>
  <si>
    <t>https://odysia-cruise-uk.client.prod.eu-west.dreamlake.io/cruise-lines/celebrity-cruises/celebrity-xcel</t>
  </si>
  <si>
    <t>&lt;loc&gt;https://odysia-cruise-uk.client.prod.eu-west.dreamlake.io/cruise-calendar/canary-islands-cruise-dates&lt;/loc&gt;</t>
  </si>
  <si>
    <t>&lt;loc&gt;https://odysia-cruise-uk.client.prod.eu-west.dreamlake.io/cruise-lines/oceania-cruises/oceania-insignia&lt;/loc&gt;</t>
  </si>
  <si>
    <t>https://odysia-cruise-uk.client.prod.eu-west.dreamlake.io/cruise-lines/oceania-cruises/oceania-insignia</t>
  </si>
  <si>
    <t>&lt;loc&gt;https://odysia-cruise-uk.client.prod.eu-west.dreamlake.io/cruise-deals/cruises-from-newcastle&lt;/loc&gt;</t>
  </si>
  <si>
    <t>https://odysia-cruise-uk.client.prod.eu-west.dreamlake.io/cruise-deals/cruises-from-newcastle</t>
  </si>
  <si>
    <t>&lt;loc&gt;https://odysia-cruise-uk.client.prod.eu-west.dreamlake.io/cruise-lines/princess-cruises/sapphire-princess&lt;/loc&gt;</t>
  </si>
  <si>
    <t>https://odysia-cruise-uk.client.prod.eu-west.dreamlake.io/cruise-lines/princess-cruises/sapphire-princess</t>
  </si>
  <si>
    <t>&lt;loc&gt;https://odysia-cruise-uk.client.prod.eu-west.dreamlake.io/destinations/northern-europe-cruises&lt;/loc&gt;</t>
  </si>
  <si>
    <t>&lt;loc&gt;https://odysia-cruise-uk.client.prod.eu-west.dreamlake.io/cruise-lines/celebrity-cruises/celebrity-millennium/cruises&lt;/loc&gt;</t>
  </si>
  <si>
    <t>https://odysia-cruise-uk.client.prod.eu-west.dreamlake.io/cruise-lines/celebrity-cruises/celebrity-millennium/cruises</t>
  </si>
  <si>
    <t>&lt;loc&gt;https://odysia-cruise-uk.client.prod.eu-west.dreamlake.io/destinations/polar-regions-cruises&lt;/loc&gt;</t>
  </si>
  <si>
    <t>&lt;loc&gt;https://odysia-cruise-uk.client.prod.eu-west.dreamlake.io/cruise-calendar&lt;/loc&gt;</t>
  </si>
  <si>
    <t>&lt;loc&gt;https://odysia-cruise-uk.client.prod.eu-west.dreamlake.io/cruise-lines/celebrity-cruises/celebrity-ascent&lt;/loc&gt;</t>
  </si>
  <si>
    <t>https://odysia-cruise-uk.client.prod.eu-west.dreamlake.io/cruise-lines/celebrity-cruises/celebrity-ascent</t>
  </si>
  <si>
    <t>&lt;loc&gt;https://odysia-cruise-uk.client.prod.eu-west.dreamlake.io/cruise-lines/princess-cruises/island-princess/cruises&lt;/loc&gt;</t>
  </si>
  <si>
    <t>https://odysia-cruise-uk.client.prod.eu-west.dreamlake.io/cruise-lines/princess-cruises/island-princess/cruises</t>
  </si>
  <si>
    <t>&lt;loc&gt;https://odysia-cruise-uk.client.prod.eu-west.dreamlake.io/cruise-lines/celebrity-cruises/celebrity-xcel/cruises&lt;/loc&gt;</t>
  </si>
  <si>
    <t>https://odysia-cruise-uk.client.prod.eu-west.dreamlake.io/cruise-lines/celebrity-cruises/celebrity-xcel/cruises</t>
  </si>
  <si>
    <t>&lt;loc&gt;https://odysia-cruise-uk.client.prod.eu-west.dreamlake.io/cruise-lines/royal-caribbean/legend-of-the-seas/cruises&lt;/loc&gt;</t>
  </si>
  <si>
    <t>https://odysia-cruise-uk.client.prod.eu-west.dreamlake.io/cruise-lines/royal-caribbean/legend-of-the-seas/cruises</t>
  </si>
  <si>
    <t>&lt;loc&gt;https://odysia-cruise-uk.client.prod.eu-west.dreamlake.io/cruise-lines/royal-caribbean/adventure-of-the-seas/cruises&lt;/loc&gt;</t>
  </si>
  <si>
    <t>https://odysia-cruise-uk.client.prod.eu-west.dreamlake.io/cruise-lines/royal-caribbean/adventure-of-the-seas/cruises</t>
  </si>
  <si>
    <t>&lt;loc&gt;https://odysia-cruise-uk.client.prod.eu-west.dreamlake.io/cruise-lines/azamara/azamara-quest&lt;/loc&gt;</t>
  </si>
  <si>
    <t>&lt;loc&gt;https://odysia-cruise-uk.client.prod.eu-west.dreamlake.io/cruise-lines/holland-america-line/nieuw-statendam/cruises&lt;/loc&gt;</t>
  </si>
  <si>
    <t>https://odysia-cruise-uk.client.prod.eu-west.dreamlake.io/cruise-lines/holland-america-line/nieuw-statendam/cruises</t>
  </si>
  <si>
    <t>&lt;loc&gt;https://odysia-cruise-uk.client.prod.eu-west.dreamlake.io/cruise-lines/oceania-cruises&lt;/loc&gt;</t>
  </si>
  <si>
    <t>https://odysia-cruise-uk.client.prod.eu-west.dreamlake.io/cruise-lines/oceania-cruises</t>
  </si>
  <si>
    <t>&lt;loc&gt;https://odysia-cruise-uk.client.prod.eu-west.dreamlake.io/cruise-lines/celebrity-cruises&lt;/loc&gt;</t>
  </si>
  <si>
    <t>https://odysia-cruise-uk.client.prod.eu-west.dreamlake.io/cruise-lines/celebrity-cruises</t>
  </si>
  <si>
    <t>&lt;loc&gt;https://odysia-cruise-uk.client.prod.eu-west.dreamlake.io/cruise-lines/costa-cruises/costa-pacifica&lt;/loc&gt;</t>
  </si>
  <si>
    <t>https://odysia-cruise-uk.client.prod.eu-west.dreamlake.io/cruise-lines/costa-cruises/costa-pacifica</t>
  </si>
  <si>
    <t>&lt;loc&gt;https://odysia-cruise-uk.client.prod.eu-west.dreamlake.io/cruise-lines/royal-caribbean/allure-of-the-seas&lt;/loc&gt;</t>
  </si>
  <si>
    <t>https://odysia-cruise-uk.client.prod.eu-west.dreamlake.io/cruise-lines/royal-caribbean/allure-of-the-seas</t>
  </si>
  <si>
    <t>&lt;loc&gt;https://odysia-cruise-uk.client.prod.eu-west.dreamlake.io/destinations/transatlantic-cruises&lt;/loc&gt;</t>
  </si>
  <si>
    <t>&lt;loc&gt;https://odysia-cruise-uk.client.prod.eu-west.dreamlake.io/cruise-lines/msc-cruises/msc-poesia/cruises&lt;/loc&gt;</t>
  </si>
  <si>
    <t>https://odysia-cruise-uk.client.prod.eu-west.dreamlake.io/cruise-lines/msc-cruises/msc-poesia/cruises</t>
  </si>
  <si>
    <t>&lt;loc&gt;https://odysia-cruise-uk.client.prod.eu-west.dreamlake.io/cruise-lines/msc-cruises/msc-bellissima/cruises&lt;/loc&gt;</t>
  </si>
  <si>
    <t>https://odysia-cruise-uk.client.prod.eu-west.dreamlake.io/cruise-lines/msc-cruises/msc-bellissima/cruises</t>
  </si>
  <si>
    <t>&lt;loc&gt;https://odysia-cruise-uk.client.prod.eu-west.dreamlake.io/cruise-lines/holland-america-line/noordam/cruises&lt;/loc&gt;</t>
  </si>
  <si>
    <t>https://odysia-cruise-uk.client.prod.eu-west.dreamlake.io/cruise-lines/holland-america-line/noordam/cruises</t>
  </si>
  <si>
    <t>&lt;loc&gt;https://odysia-cruise-uk.client.prod.eu-west.dreamlake.io/cruise-lines/azamara/azamara-journey/cruises&lt;/loc&gt;</t>
  </si>
  <si>
    <t>&lt;loc&gt;https://odysia-cruise-uk.client.prod.eu-west.dreamlake.io/cruise-lines/regent-seven-seas-cruises/seven-seas-grandeur&lt;/loc&gt;</t>
  </si>
  <si>
    <t>https://odysia-cruise-uk.client.prod.eu-west.dreamlake.io/cruise-lines/regent-seven-seas-cruises/seven-seas-grandeur</t>
  </si>
  <si>
    <t>&lt;loc&gt;https://odysia-cruise-uk.client.prod.eu-west.dreamlake.io/cruise-lines/cunard&lt;/loc&gt;</t>
  </si>
  <si>
    <t>https://odysia-cruise-uk.client.prod.eu-west.dreamlake.io/cruise-lines/cunard</t>
  </si>
  <si>
    <t>&lt;loc&gt;https://odysia-cruise-uk.client.prod.eu-west.dreamlake.io/cruise-lines/costa-cruises/costa-toscana&lt;/loc&gt;</t>
  </si>
  <si>
    <t>https://odysia-cruise-uk.client.prod.eu-west.dreamlake.io/cruise-lines/costa-cruises/costa-toscana</t>
  </si>
  <si>
    <t>&lt;loc&gt;https://odysia-cruise-uk.client.prod.eu-west.dreamlake.io/cruise-lines/princess-cruises/coral-princess&lt;/loc&gt;</t>
  </si>
  <si>
    <t>https://odysia-cruise-uk.client.prod.eu-west.dreamlake.io/cruise-lines/princess-cruises/coral-princess</t>
  </si>
  <si>
    <t>&lt;loc&gt;https://odysia-cruise-uk.client.prod.eu-west.dreamlake.io/cruise-lines/cunard/queen-elizabeth&lt;/loc&gt;</t>
  </si>
  <si>
    <t>https://odysia-cruise-uk.client.prod.eu-west.dreamlake.io/cruise-lines/cunard/queen-elizabeth</t>
  </si>
  <si>
    <t>&lt;loc&gt;https://odysia-cruise-uk.client.prod.eu-west.dreamlake.io/cruise-lines/msc-cruises/msc-meraviglia/cruises&lt;/loc&gt;</t>
  </si>
  <si>
    <t>https://odysia-cruise-uk.client.prod.eu-west.dreamlake.io/cruise-lines/msc-cruises/msc-meraviglia/cruises</t>
  </si>
  <si>
    <t>&lt;loc&gt;https://odysia-cruise-uk.client.prod.eu-west.dreamlake.io/cruise-lines/norwegian-cruise-line/norwegian-escape/cruises&lt;/loc&gt;</t>
  </si>
  <si>
    <t>https://odysia-cruise-uk.client.prod.eu-west.dreamlake.io/cruise-lines/norwegian-cruise-line/norwegian-escape/cruises</t>
  </si>
  <si>
    <t>&lt;loc&gt;https://odysia-cruise-uk.client.prod.eu-west.dreamlake.io/cruise-lines/msc-cruises/msc-fantasia/cruises&lt;/loc&gt;</t>
  </si>
  <si>
    <t>https://odysia-cruise-uk.client.prod.eu-west.dreamlake.io/cruise-lines/msc-cruises/msc-fantasia/cruises</t>
  </si>
  <si>
    <t>&lt;loc&gt;https://odysia-cruise-uk.client.prod.eu-west.dreamlake.io/cruise-lines/oceania-cruises/oceania-sirena/cruises&lt;/loc&gt;</t>
  </si>
  <si>
    <t>https://odysia-cruise-uk.client.prod.eu-west.dreamlake.io/cruise-lines/oceania-cruises/oceania-sirena/cruises</t>
  </si>
  <si>
    <t>&lt;loc&gt;https://odysia-cruise-uk.client.prod.eu-west.dreamlake.io/cruise-lines/regent-seven-seas-cruises/seven-seas-mariner/cruises&lt;/loc&gt;</t>
  </si>
  <si>
    <t>https://odysia-cruise-uk.client.prod.eu-west.dreamlake.io/cruise-lines/regent-seven-seas-cruises/seven-seas-mariner/cruises</t>
  </si>
  <si>
    <t>&lt;loc&gt;https://odysia-cruise-uk.client.prod.eu-west.dreamlake.io/cruise-lines/po-cruises/iona&lt;/loc&gt;</t>
  </si>
  <si>
    <t>https://odysia-cruise-uk.client.prod.eu-west.dreamlake.io/cruise-lines/po-cruises/iona</t>
  </si>
  <si>
    <t>&lt;loc&gt;https://odysia-cruise-uk.client.prod.eu-west.dreamlake.io/cruise-lines/msc-cruises/msc-virtuosa&lt;/loc&gt;</t>
  </si>
  <si>
    <t>https://odysia-cruise-uk.client.prod.eu-west.dreamlake.io/cruise-lines/msc-cruises/msc-virtuosa</t>
  </si>
  <si>
    <t>&lt;loc&gt;https://odysia-cruise-uk.client.prod.eu-west.dreamlake.io/cruise-lines/msc-cruises/msc-bellissima&lt;/loc&gt;</t>
  </si>
  <si>
    <t>https://odysia-cruise-uk.client.prod.eu-west.dreamlake.io/cruise-lines/msc-cruises/msc-bellissima</t>
  </si>
  <si>
    <t>&lt;loc&gt;https://odysia-cruise-uk.client.prod.eu-west.dreamlake.io/cruise-lines/royal-caribbean/spectrum-of-the-seas&lt;/loc&gt;</t>
  </si>
  <si>
    <t>https://odysia-cruise-uk.client.prod.eu-west.dreamlake.io/cruise-lines/royal-caribbean/spectrum-of-the-seas</t>
  </si>
  <si>
    <t>&lt;loc&gt;https://odysia-cruise-uk.client.prod.eu-west.dreamlake.io/cruise-lines/princess-cruises/coral-princess/cruises&lt;/loc&gt;</t>
  </si>
  <si>
    <t>https://odysia-cruise-uk.client.prod.eu-west.dreamlake.io/cruise-lines/princess-cruises/coral-princess/cruises</t>
  </si>
  <si>
    <t>&lt;loc&gt;https://odysia-cruise-uk.client.prod.eu-west.dreamlake.io/cruise-lines/explora-journeys/explora-i&lt;/loc&gt;</t>
  </si>
  <si>
    <t>https://odysia-cruise-uk.client.prod.eu-west.dreamlake.io/cruise-lines/explora-journeys/explora-i</t>
  </si>
  <si>
    <t>&lt;loc&gt;https://odysia-cruise-uk.client.prod.eu-west.dreamlake.io/cruise-lines/regent-seven-seas-cruises/seven-seas-explorer&lt;/loc&gt;</t>
  </si>
  <si>
    <t>https://odysia-cruise-uk.client.prod.eu-west.dreamlake.io/cruise-lines/regent-seven-seas-cruises/seven-seas-explorer</t>
  </si>
  <si>
    <t>&lt;loc&gt;https://odysia-cruise-uk.client.prod.eu-west.dreamlake.io/cruise-lines/royal-caribbean/navigator-of-the-seas/cruises&lt;/loc&gt;</t>
  </si>
  <si>
    <t>https://odysia-cruise-uk.client.prod.eu-west.dreamlake.io/cruise-lines/royal-caribbean/navigator-of-the-seas/cruises</t>
  </si>
  <si>
    <t>&lt;loc&gt;https://odysia-cruise-uk.client.prod.eu-west.dreamlake.io/cruise-lines/virgin-voyages/valiant-lady&lt;/loc&gt;</t>
  </si>
  <si>
    <t>https://odysia-cruise-uk.client.prod.eu-west.dreamlake.io/cruise-lines/virgin-voyages/valiant-lady</t>
  </si>
  <si>
    <t>&lt;loc&gt;https://odysia-cruise-uk.client.prod.eu-west.dreamlake.io/cruise-lines/norwegian-cruise-line/norwegian-aqua/cruises&lt;/loc&gt;</t>
  </si>
  <si>
    <t>https://odysia-cruise-uk.client.prod.eu-west.dreamlake.io/cruise-lines/norwegian-cruise-line/norwegian-aqua/cruises</t>
  </si>
  <si>
    <t>&lt;loc&gt;https://odysia-cruise-uk.client.prod.eu-west.dreamlake.io/cruise-lines/norwegian-cruise-line/norwegian-jewel&lt;/loc&gt;</t>
  </si>
  <si>
    <t>https://odysia-cruise-uk.client.prod.eu-west.dreamlake.io/cruise-lines/norwegian-cruise-line/norwegian-jewel</t>
  </si>
  <si>
    <t>&lt;loc&gt;https://odysia-cruise-uk.client.prod.eu-west.dreamlake.io/cruise-lines/costa-cruises/costa-diadema&lt;/loc&gt;</t>
  </si>
  <si>
    <t>https://odysia-cruise-uk.client.prod.eu-west.dreamlake.io/cruise-lines/costa-cruises/costa-diadema</t>
  </si>
  <si>
    <t>&lt;loc&gt;https://odysia-cruise-uk.client.prod.eu-west.dreamlake.io/cruise-lines/royal-caribbean/jewel-of-the-seas/cruises&lt;/loc&gt;</t>
  </si>
  <si>
    <t>https://odysia-cruise-uk.client.prod.eu-west.dreamlake.io/cruise-lines/royal-caribbean/jewel-of-the-seas/cruises</t>
  </si>
  <si>
    <t>&lt;loc&gt;https://odysia-cruise-uk.client.prod.eu-west.dreamlake.io/cruise-deals/cruises-from-tilbury&lt;/loc&gt;</t>
  </si>
  <si>
    <t>https://odysia-cruise-uk.client.prod.eu-west.dreamlake.io/cruise-deals/cruises-from-tilbury</t>
  </si>
  <si>
    <t>&lt;loc&gt;https://odysia-cruise-uk.client.prod.eu-west.dreamlake.io/cruise-lines/celebrity-cruises/celebrity-infinity&lt;/loc&gt;</t>
  </si>
  <si>
    <t>https://odysia-cruise-uk.client.prod.eu-west.dreamlake.io/cruise-lines/celebrity-cruises/celebrity-infinity</t>
  </si>
  <si>
    <t>&lt;loc&gt;https://odysia-cruise-uk.client.prod.eu-west.dreamlake.io/cruise-lines/seabourn/seabourn-quest&lt;/loc&gt;</t>
  </si>
  <si>
    <t>https://odysia-cruise-uk.client.prod.eu-west.dreamlake.io/cruise-lines/seabourn/seabourn-quest</t>
  </si>
  <si>
    <t>&lt;loc&gt;https://odysia-cruise-uk.client.prod.eu-west.dreamlake.io/cruise-lines/oceania-cruises/oceania-marina&lt;/loc&gt;</t>
  </si>
  <si>
    <t>https://odysia-cruise-uk.client.prod.eu-west.dreamlake.io/cruise-lines/oceania-cruises/oceania-marina</t>
  </si>
  <si>
    <t>&lt;loc&gt;https://odysia-cruise-uk.client.prod.eu-west.dreamlake.io/cruise-lines/fred-olsen-cruises&lt;/loc&gt;</t>
  </si>
  <si>
    <t>https://odysia-cruise-uk.client.prod.eu-west.dreamlake.io/cruise-lines/fred-olsen-cruises</t>
  </si>
  <si>
    <t>&lt;loc&gt;https://odysia-cruise-uk.client.prod.eu-west.dreamlake.io/cruise-lines/ambassador-cruise-line/cruises&lt;/loc&gt;</t>
  </si>
  <si>
    <t>https://odysia-cruise-uk.client.prod.eu-west.dreamlake.io/cruise-lines/ambassador-cruise-line/cruises</t>
  </si>
  <si>
    <t>&lt;loc&gt;https://odysia-cruise-uk.client.prod.eu-west.dreamlake.io/cruise-lines/royal-caribbean/odyssey-of-the-seas/cruises&lt;/loc&gt;</t>
  </si>
  <si>
    <t>https://odysia-cruise-uk.client.prod.eu-west.dreamlake.io/cruise-lines/royal-caribbean/odyssey-of-the-seas/cruises</t>
  </si>
  <si>
    <t>&lt;loc&gt;https://odysia-cruise-uk.client.prod.eu-west.dreamlake.io/cruise-lines/royal-caribbean&lt;/loc&gt;</t>
  </si>
  <si>
    <t>https://odysia-cruise-uk.client.prod.eu-west.dreamlake.io/cruise-lines/royal-caribbean</t>
  </si>
  <si>
    <t>&lt;loc&gt;https://odysia-cruise-uk.client.prod.eu-west.dreamlake.io/destinations&lt;/loc&gt;</t>
  </si>
  <si>
    <t>&lt;loc&gt;https://odysia-cruise-uk.client.prod.eu-west.dreamlake.io/cruise-lines/royal-caribbean/brilliance-of-the-seas/cruises&lt;/loc&gt;</t>
  </si>
  <si>
    <t>https://odysia-cruise-uk.client.prod.eu-west.dreamlake.io/cruise-lines/royal-caribbean/brilliance-of-the-seas/cruises</t>
  </si>
  <si>
    <t>&lt;loc&gt;https://odysia-cruise-uk.client.prod.eu-west.dreamlake.io/cruise-lines/fred-olsen-cruises/balmoral&lt;/loc&gt;</t>
  </si>
  <si>
    <t>https://odysia-cruise-uk.client.prod.eu-west.dreamlake.io/cruise-lines/fred-olsen-cruises/balmoral</t>
  </si>
  <si>
    <t>&lt;loc&gt;https://odysia-cruise-uk.client.prod.eu-west.dreamlake.io/cruise-lines/seabourn&lt;/loc&gt;</t>
  </si>
  <si>
    <t>https://odysia-cruise-uk.client.prod.eu-west.dreamlake.io/cruise-lines/seabourn</t>
  </si>
  <si>
    <t>&lt;loc&gt;https://odysia-cruise-uk.client.prod.eu-west.dreamlake.io/cruise-lines/ambassador-cruise-line/renaissance&lt;/loc&gt;</t>
  </si>
  <si>
    <t>https://odysia-cruise-uk.client.prod.eu-west.dreamlake.io/cruise-lines/ambassador-cruise-line/renaissance</t>
  </si>
  <si>
    <t>&lt;loc&gt;https://odysia-cruise-uk.client.prod.eu-west.dreamlake.io/cruise-lines/princess-cruises/star-princess/cruises&lt;/loc&gt;</t>
  </si>
  <si>
    <t>https://odysia-cruise-uk.client.prod.eu-west.dreamlake.io/cruise-lines/princess-cruises/star-princess/cruises</t>
  </si>
  <si>
    <t>&lt;loc&gt;https://odysia-cruise-uk.client.prod.eu-west.dreamlake.io/cruise-lines/seabourn/seabourn-ovation&lt;/loc&gt;</t>
  </si>
  <si>
    <t>https://odysia-cruise-uk.client.prod.eu-west.dreamlake.io/cruise-lines/seabourn/seabourn-ovation</t>
  </si>
  <si>
    <t>&lt;loc&gt;https://odysia-cruise-uk.client.prod.eu-west.dreamlake.io/cruise-lines/po-cruises/aurora&lt;/loc&gt;</t>
  </si>
  <si>
    <t>https://odysia-cruise-uk.client.prod.eu-west.dreamlake.io/cruise-lines/po-cruises/aurora</t>
  </si>
  <si>
    <t>&lt;loc&gt;https://odysia-cruise-uk.client.prod.eu-west.dreamlake.io/cruise-lines/royal-caribbean/mariner-of-the-seas&lt;/loc&gt;</t>
  </si>
  <si>
    <t>https://odysia-cruise-uk.client.prod.eu-west.dreamlake.io/cruise-lines/royal-caribbean/mariner-of-the-seas</t>
  </si>
  <si>
    <t>&lt;loc&gt;https://odysia-cruise-uk.client.prod.eu-west.dreamlake.io/cruise-lines/norwegian-cruise-line/pride-of-america&lt;/loc&gt;</t>
  </si>
  <si>
    <t>https://odysia-cruise-uk.client.prod.eu-west.dreamlake.io/cruise-lines/norwegian-cruise-line/pride-of-america</t>
  </si>
  <si>
    <t>&lt;loc&gt;https://odysia-cruise-uk.client.prod.eu-west.dreamlake.io/cruise-lines/celebrity-cruises/celebrity-ascent/cruises&lt;/loc&gt;</t>
  </si>
  <si>
    <t>https://odysia-cruise-uk.client.prod.eu-west.dreamlake.io/cruise-lines/celebrity-cruises/celebrity-ascent/cruises</t>
  </si>
  <si>
    <t>&lt;loc&gt;https://odysia-cruise-uk.client.prod.eu-west.dreamlake.io/cruise-lines/msc-cruises/msc-preziosa&lt;/loc&gt;</t>
  </si>
  <si>
    <t>https://odysia-cruise-uk.client.prod.eu-west.dreamlake.io/cruise-lines/msc-cruises/msc-preziosa</t>
  </si>
  <si>
    <t>&lt;loc&gt;https://odysia-cruise-uk.client.prod.eu-west.dreamlake.io/cruise-lines/holland-america-line/volendam/cruises&lt;/loc&gt;</t>
  </si>
  <si>
    <t>https://odysia-cruise-uk.client.prod.eu-west.dreamlake.io/cruise-lines/holland-america-line/volendam/cruises</t>
  </si>
  <si>
    <t>&lt;loc&gt;https://odysia-cruise-uk.client.prod.eu-west.dreamlake.io/cruise-lines/virgin-voyages/resilient-lady/cruises&lt;/loc&gt;</t>
  </si>
  <si>
    <t>https://odysia-cruise-uk.client.prod.eu-west.dreamlake.io/cruise-lines/virgin-voyages/resilient-lady/cruises</t>
  </si>
  <si>
    <t>&lt;loc&gt;https://odysia-cruise-uk.client.prod.eu-west.dreamlake.io/cruise-lines/msc-cruises/msc-musica/cruises&lt;/loc&gt;</t>
  </si>
  <si>
    <t>https://odysia-cruise-uk.client.prod.eu-west.dreamlake.io/cruise-lines/msc-cruises/msc-musica/cruises</t>
  </si>
  <si>
    <t>&lt;loc&gt;https://odysia-cruise-uk.client.prod.eu-west.dreamlake.io/cruise-lines/norwegian-cruise-line&lt;/loc&gt;</t>
  </si>
  <si>
    <t>https://odysia-cruise-uk.client.prod.eu-west.dreamlake.io/cruise-lines/norwegian-cruise-line</t>
  </si>
  <si>
    <t>&lt;loc&gt;https://odysia-cruise-uk.client.prod.eu-west.dreamlake.io/cruise-deals/cruises-from-dover&lt;/loc&gt;</t>
  </si>
  <si>
    <t>https://odysia-cruise-uk.client.prod.eu-west.dreamlake.io/cruise-deals/cruises-from-dover</t>
  </si>
  <si>
    <t>&lt;loc&gt;https://odysia-cruise-uk.client.prod.eu-west.dreamlake.io/cruise-lines/ambassador-cruise-line/ambience&lt;/loc&gt;</t>
  </si>
  <si>
    <t>https://odysia-cruise-uk.client.prod.eu-west.dreamlake.io/cruise-lines/ambassador-cruise-line/ambience</t>
  </si>
  <si>
    <t>&lt;loc&gt;https://odysia-cruise-uk.client.prod.eu-west.dreamlake.io/cruise-lines/royal-caribbean/freedom-of-the-seas/cruises&lt;/loc&gt;</t>
  </si>
  <si>
    <t>https://odysia-cruise-uk.client.prod.eu-west.dreamlake.io/cruise-lines/royal-caribbean/freedom-of-the-seas/cruises</t>
  </si>
  <si>
    <t>&lt;loc&gt;https://odysia-cruise-uk.client.prod.eu-west.dreamlake.io/cruise-lines/explora-journeys/explora-iii&lt;/loc&gt;</t>
  </si>
  <si>
    <t>https://odysia-cruise-uk.client.prod.eu-west.dreamlake.io/cruise-lines/explora-journeys/explora-iii</t>
  </si>
  <si>
    <t>&lt;loc&gt;https://odysia-cruise-uk.client.prod.eu-west.dreamlake.io/cruise-lines/princess-cruises/sapphire-princess/cruises&lt;/loc&gt;</t>
  </si>
  <si>
    <t>https://odysia-cruise-uk.client.prod.eu-west.dreamlake.io/cruise-lines/princess-cruises/sapphire-princess/cruises</t>
  </si>
  <si>
    <t>&lt;loc&gt;https://odysia-cruise-uk.client.prod.eu-west.dreamlake.io/cruise-lines/costa-cruises/costa-pacifica/cruises&lt;/loc&gt;</t>
  </si>
  <si>
    <t>https://odysia-cruise-uk.client.prod.eu-west.dreamlake.io/cruise-lines/costa-cruises/costa-pacifica/cruises</t>
  </si>
  <si>
    <t>&lt;loc&gt;https://odysia-cruise-uk.client.prod.eu-west.dreamlake.io/cruise-lines/costa-cruises/costa-fascinosa&lt;/loc&gt;</t>
  </si>
  <si>
    <t>https://odysia-cruise-uk.client.prod.eu-west.dreamlake.io/cruise-lines/costa-cruises/costa-fascinosa</t>
  </si>
  <si>
    <t>&lt;loc&gt;https://odysia-cruise-uk.client.prod.eu-west.dreamlake.io/cruise-lines/celebrity-cruises/celebrity-solstice/cruises&lt;/loc&gt;</t>
  </si>
  <si>
    <t>https://odysia-cruise-uk.client.prod.eu-west.dreamlake.io/cruise-lines/celebrity-cruises/celebrity-solstice/cruises</t>
  </si>
  <si>
    <t>&lt;loc&gt;https://odysia-cruise-uk.client.prod.eu-west.dreamlake.io/cruise-lines/princess-cruises/diamond-princess&lt;/loc&gt;</t>
  </si>
  <si>
    <t>https://odysia-cruise-uk.client.prod.eu-west.dreamlake.io/cruise-lines/princess-cruises/diamond-princess</t>
  </si>
  <si>
    <t>&lt;loc&gt;https://odysia-cruise-uk.client.prod.eu-west.dreamlake.io/cruise-lines/norwegian-cruise-line/norwegian-jade&lt;/loc&gt;</t>
  </si>
  <si>
    <t>https://odysia-cruise-uk.client.prod.eu-west.dreamlake.io/cruise-lines/norwegian-cruise-line/norwegian-jade</t>
  </si>
  <si>
    <t>&lt;loc&gt;https://odysia-cruise-uk.client.prod.eu-west.dreamlake.io/cruise-lines/explora-journeys&lt;/loc&gt;</t>
  </si>
  <si>
    <t>https://odysia-cruise-uk.client.prod.eu-west.dreamlake.io/cruise-lines/explora-journeys</t>
  </si>
  <si>
    <t>&lt;loc&gt;https://odysia-cruise-uk.client.prod.eu-west.dreamlake.io/cruise-lines/royal-caribbean/wonder-of-the-seas/cruises&lt;/loc&gt;</t>
  </si>
  <si>
    <t>https://odysia-cruise-uk.client.prod.eu-west.dreamlake.io/cruise-lines/royal-caribbean/wonder-of-the-seas/cruises</t>
  </si>
  <si>
    <t>&lt;loc&gt;https://odysia-cruise-uk.client.prod.eu-west.dreamlake.io/cruise-lines/costa-cruises/costa-fortuna/cruises&lt;/loc&gt;</t>
  </si>
  <si>
    <t>https://odysia-cruise-uk.client.prod.eu-west.dreamlake.io/cruise-lines/costa-cruises/costa-fortuna/cruises</t>
  </si>
  <si>
    <t>&lt;loc&gt;https://odysia-cruise-uk.client.prod.eu-west.dreamlake.io/cruise-lines/virgin-voyages/brilliant-lady/cruises&lt;/loc&gt;</t>
  </si>
  <si>
    <t>https://odysia-cruise-uk.client.prod.eu-west.dreamlake.io/cruise-lines/virgin-voyages/brilliant-lady/cruises</t>
  </si>
  <si>
    <t>&lt;loc&gt;https://odysia-cruise-uk.client.prod.eu-west.dreamlake.io/cruise-lines/celebrity-cruises/celebrity-solstice&lt;/loc&gt;</t>
  </si>
  <si>
    <t>https://odysia-cruise-uk.client.prod.eu-west.dreamlake.io/cruise-lines/celebrity-cruises/celebrity-solstice</t>
  </si>
  <si>
    <t>&lt;loc&gt;https://odysia-cruise-uk.client.prod.eu-west.dreamlake.io/cruise-lines/princess-cruises/sky-princess/cruises&lt;/loc&gt;</t>
  </si>
  <si>
    <t>https://odysia-cruise-uk.client.prod.eu-west.dreamlake.io/cruise-lines/princess-cruises/sky-princess/cruises</t>
  </si>
  <si>
    <t>&lt;loc&gt;https://odysia-cruise-uk.client.prod.eu-west.dreamlake.io/cruise-lines/princess-cruises/grand-princess&lt;/loc&gt;</t>
  </si>
  <si>
    <t>https://odysia-cruise-uk.client.prod.eu-west.dreamlake.io/cruise-lines/princess-cruises/grand-princess</t>
  </si>
  <si>
    <t>&lt;loc&gt;https://odysia-cruise-uk.client.prod.eu-west.dreamlake.io/cruise-lines/costa-cruises/costa-deliziosa&lt;/loc&gt;</t>
  </si>
  <si>
    <t>https://odysia-cruise-uk.client.prod.eu-west.dreamlake.io/cruise-lines/costa-cruises/costa-deliziosa</t>
  </si>
  <si>
    <t>&lt;loc&gt;https://odysia-cruise-uk.client.prod.eu-west.dreamlake.io/cruise-lines/regent-seven-seas-cruises/seven-seas-voyager/cruises&lt;/loc&gt;</t>
  </si>
  <si>
    <t>https://odysia-cruise-uk.client.prod.eu-west.dreamlake.io/cruise-lines/regent-seven-seas-cruises/seven-seas-voyager/cruises</t>
  </si>
  <si>
    <t>&lt;loc&gt;https://odysia-cruise-uk.client.prod.eu-west.dreamlake.io/cruise-lines/norwegian-cruise-line/norwegian-pearl&lt;/loc&gt;</t>
  </si>
  <si>
    <t>https://odysia-cruise-uk.client.prod.eu-west.dreamlake.io/cruise-lines/norwegian-cruise-line/norwegian-pearl</t>
  </si>
  <si>
    <t>&lt;loc&gt;https://odysia-cruise-uk.client.prod.eu-west.dreamlake.io/cruise-lines/royal-caribbean/vision-of-the-seas/cruises&lt;/loc&gt;</t>
  </si>
  <si>
    <t>https://odysia-cruise-uk.client.prod.eu-west.dreamlake.io/cruise-lines/royal-caribbean/vision-of-the-seas/cruises</t>
  </si>
  <si>
    <t>&lt;loc&gt;https://odysia-cruise-uk.client.prod.eu-west.dreamlake.io/cruise-lines/royal-caribbean/star-of-the-seas/cruises&lt;/loc&gt;</t>
  </si>
  <si>
    <t>https://odysia-cruise-uk.client.prod.eu-west.dreamlake.io/cruise-lines/royal-caribbean/star-of-the-seas/cruises</t>
  </si>
  <si>
    <t>&lt;loc&gt;https://odysia-cruise-uk.client.prod.eu-west.dreamlake.io/cruise-calendar/mediterranean-cruise-dates&lt;/loc&gt;</t>
  </si>
  <si>
    <t>&lt;loc&gt;https://odysia-cruise-uk.client.prod.eu-west.dreamlake.io/cruise-lines/msc-cruises/msc-seascape/cruises&lt;/loc&gt;</t>
  </si>
  <si>
    <t>https://odysia-cruise-uk.client.prod.eu-west.dreamlake.io/cruise-lines/msc-cruises/msc-seascape/cruises</t>
  </si>
  <si>
    <t>&lt;loc&gt;https://odysia-cruise-uk.client.prod.eu-west.dreamlake.io/cruise-lines/princess-cruises/discovery-princess/cruises&lt;/loc&gt;</t>
  </si>
  <si>
    <t>https://odysia-cruise-uk.client.prod.eu-west.dreamlake.io/cruise-lines/princess-cruises/discovery-princess/cruises</t>
  </si>
  <si>
    <t>&lt;loc&gt;https://odysia-cruise-uk.client.prod.eu-west.dreamlake.io/cruise-lines/oceania-cruises/oceania-allura&lt;/loc&gt;</t>
  </si>
  <si>
    <t>https://odysia-cruise-uk.client.prod.eu-west.dreamlake.io/cruise-lines/oceania-cruises/oceania-allura</t>
  </si>
  <si>
    <t>&lt;loc&gt;https://odysia-cruise-uk.client.prod.eu-west.dreamlake.io/cruise-lines/po-cruises/azura&lt;/loc&gt;</t>
  </si>
  <si>
    <t>https://odysia-cruise-uk.client.prod.eu-west.dreamlake.io/cruise-lines/po-cruises/azura</t>
  </si>
  <si>
    <t>&lt;loc&gt;https://odysia-cruise-uk.client.prod.eu-west.dreamlake.io/cruise-lines/po-cruises/britannia&lt;/loc&gt;</t>
  </si>
  <si>
    <t>https://odysia-cruise-uk.client.prod.eu-west.dreamlake.io/cruise-lines/po-cruises/britannia</t>
  </si>
  <si>
    <t>&lt;loc&gt;https://odysia-cruise-uk.client.prod.eu-west.dreamlake.io/cruise-lines/explora-journeys/cruises&lt;/loc&gt;</t>
  </si>
  <si>
    <t>https://odysia-cruise-uk.client.prod.eu-west.dreamlake.io/cruise-lines/explora-journeys/cruises</t>
  </si>
  <si>
    <t>&lt;loc&gt;https://odysia-cruise-uk.client.prod.eu-west.dreamlake.io/cruise-lines/celebrity-cruises/celebrity-apex&lt;/loc&gt;</t>
  </si>
  <si>
    <t>https://odysia-cruise-uk.client.prod.eu-west.dreamlake.io/cruise-lines/celebrity-cruises/celebrity-apex</t>
  </si>
  <si>
    <t>&lt;loc&gt;https://odysia-cruise-uk.client.prod.eu-west.dreamlake.io/cruise-lines/po-cruises/ventura&lt;/loc&gt;</t>
  </si>
  <si>
    <t>https://odysia-cruise-uk.client.prod.eu-west.dreamlake.io/cruise-lines/po-cruises/ventura</t>
  </si>
  <si>
    <t>&lt;loc&gt;https://odysia-cruise-uk.client.prod.eu-west.dreamlake.io/destinations/canada-cruises&lt;/loc&gt;</t>
  </si>
  <si>
    <t>&lt;loc&gt;https://odysia-cruise-uk.client.prod.eu-west.dreamlake.io/cruise-lines/princess-cruises/enchanted-princess&lt;/loc&gt;</t>
  </si>
  <si>
    <t>https://odysia-cruise-uk.client.prod.eu-west.dreamlake.io/cruise-lines/princess-cruises/enchanted-princess</t>
  </si>
  <si>
    <t>&lt;loc&gt;https://odysia-cruise-uk.client.prod.eu-west.dreamlake.io/cruise-lines/oceania-cruises/oceania-sirena&lt;/loc&gt;</t>
  </si>
  <si>
    <t>https://odysia-cruise-uk.client.prod.eu-west.dreamlake.io/cruise-lines/oceania-cruises/oceania-sirena</t>
  </si>
  <si>
    <t>&lt;loc&gt;https://odysia-cruise-uk.client.prod.eu-west.dreamlake.io/cruise-lines/msc-cruises/msc-divina&lt;/loc&gt;</t>
  </si>
  <si>
    <t>https://odysia-cruise-uk.client.prod.eu-west.dreamlake.io/cruise-lines/msc-cruises/msc-divina</t>
  </si>
  <si>
    <t>&lt;loc&gt;https://odysia-cruise-uk.client.prod.eu-west.dreamlake.io/cruise-lines/princess-cruises/caribbean-princess&lt;/loc&gt;</t>
  </si>
  <si>
    <t>https://odysia-cruise-uk.client.prod.eu-west.dreamlake.io/cruise-lines/princess-cruises/caribbean-princess</t>
  </si>
  <si>
    <t>&lt;loc&gt;https://odysia-cruise-uk.client.prod.eu-west.dreamlake.io/cruise-lines/msc-cruises/msc-seaview&lt;/loc&gt;</t>
  </si>
  <si>
    <t>https://odysia-cruise-uk.client.prod.eu-west.dreamlake.io/cruise-lines/msc-cruises/msc-seaview</t>
  </si>
  <si>
    <t>&lt;loc&gt;https://odysia-cruise-uk.client.prod.eu-west.dreamlake.io/cruise-lines/royal-caribbean/adventure-of-the-seas&lt;/loc&gt;</t>
  </si>
  <si>
    <t>https://odysia-cruise-uk.client.prod.eu-west.dreamlake.io/cruise-lines/royal-caribbean/adventure-of-the-seas</t>
  </si>
  <si>
    <t>&lt;loc&gt;https://odysia-cruise-uk.client.prod.eu-west.dreamlake.io/cruise-lines/royal-caribbean/liberty-of-the-seas/cruises&lt;/loc&gt;</t>
  </si>
  <si>
    <t>https://odysia-cruise-uk.client.prod.eu-west.dreamlake.io/cruise-lines/royal-caribbean/liberty-of-the-seas/cruises</t>
  </si>
  <si>
    <t>&lt;loc&gt;https://odysia-cruise-uk.client.prod.eu-west.dreamlake.io/cruise-lines/msc-cruises/msc-grandiosa/cruises&lt;/loc&gt;</t>
  </si>
  <si>
    <t>https://odysia-cruise-uk.client.prod.eu-west.dreamlake.io/cruise-lines/msc-cruises/msc-grandiosa/cruises</t>
  </si>
  <si>
    <t>&lt;loc&gt;https://odysia-cruise-uk.client.prod.eu-west.dreamlake.io/cruise-lines/ambassador-cruise-line/ambience/cruises&lt;/loc&gt;</t>
  </si>
  <si>
    <t>https://odysia-cruise-uk.client.prod.eu-west.dreamlake.io/cruise-lines/ambassador-cruise-line/ambience/cruises</t>
  </si>
  <si>
    <t>&lt;loc&gt;https://odysia-cruise-uk.client.prod.eu-west.dreamlake.io/cruise-deals/cruises-from-scotland&lt;/loc&gt;</t>
  </si>
  <si>
    <t>https://odysia-cruise-uk.client.prod.eu-west.dreamlake.io/cruise-deals/cruises-from-scotland</t>
  </si>
  <si>
    <t>&lt;loc&gt;https://odysia-cruise-uk.client.prod.eu-west.dreamlake.io/cruise-lines/royal-caribbean/quantum-of-the-seas&lt;/loc&gt;</t>
  </si>
  <si>
    <t>https://odysia-cruise-uk.client.prod.eu-west.dreamlake.io/cruise-lines/royal-caribbean/quantum-of-the-seas</t>
  </si>
  <si>
    <t>&lt;loc&gt;https://odysia-cruise-uk.client.prod.eu-west.dreamlake.io/cruise-lines/po-cruises/aurora/cruises&lt;/loc&gt;</t>
  </si>
  <si>
    <t>https://odysia-cruise-uk.client.prod.eu-west.dreamlake.io/cruise-lines/po-cruises/aurora/cruises</t>
  </si>
  <si>
    <t>&lt;loc&gt;https://odysia-cruise-uk.client.prod.eu-west.dreamlake.io/cruise-lines/holland-america-line/noordam&lt;/loc&gt;</t>
  </si>
  <si>
    <t>https://odysia-cruise-uk.client.prod.eu-west.dreamlake.io/cruise-lines/holland-america-line/noordam</t>
  </si>
  <si>
    <t>&lt;loc&gt;https://odysia-cruise-uk.client.prod.eu-west.dreamlake.io/cruise-lines/po-cruises/britannia/cruises&lt;/loc&gt;</t>
  </si>
  <si>
    <t>https://odysia-cruise-uk.client.prod.eu-west.dreamlake.io/cruise-lines/po-cruises/britannia/cruises</t>
  </si>
  <si>
    <t>&lt;loc&gt;https://odysia-cruise-uk.client.prod.eu-west.dreamlake.io/cruise-lines/royal-caribbean/grandeur-of-the-seas/cruises&lt;/loc&gt;</t>
  </si>
  <si>
    <t>https://odysia-cruise-uk.client.prod.eu-west.dreamlake.io/cruise-lines/royal-caribbean/grandeur-of-the-seas/cruises</t>
  </si>
  <si>
    <t>&lt;loc&gt;https://odysia-cruise-uk.client.prod.eu-west.dreamlake.io/cruise-lines/costa-cruises/costa-favolosa&lt;/loc&gt;</t>
  </si>
  <si>
    <t>https://odysia-cruise-uk.client.prod.eu-west.dreamlake.io/cruise-lines/costa-cruises/costa-favolosa</t>
  </si>
  <si>
    <t>&lt;loc&gt;https://odysia-cruise-uk.client.prod.eu-west.dreamlake.io/cruise-lines/azamara/azamara-onward&lt;/loc&gt;</t>
  </si>
  <si>
    <t>&lt;loc&gt;https://odysia-cruise-uk.client.prod.eu-west.dreamlake.io/cruise-lines/celebrity-cruises/celebrity-reflection/cruises&lt;/loc&gt;</t>
  </si>
  <si>
    <t>https://odysia-cruise-uk.client.prod.eu-west.dreamlake.io/cruise-lines/celebrity-cruises/celebrity-reflection/cruises</t>
  </si>
  <si>
    <t>&lt;loc&gt;https://odysia-cruise-uk.client.prod.eu-west.dreamlake.io/cruise-lines/norwegian-cruise-line/norwegian-encore/cruises&lt;/loc&gt;</t>
  </si>
  <si>
    <t>https://odysia-cruise-uk.client.prod.eu-west.dreamlake.io/cruise-lines/norwegian-cruise-line/norwegian-encore/cruises</t>
  </si>
  <si>
    <t>&lt;loc&gt;https://odysia-cruise-uk.client.prod.eu-west.dreamlake.io/cruise-lines/royal-caribbean/utopia-of-the-seas&lt;/loc&gt;</t>
  </si>
  <si>
    <t>https://odysia-cruise-uk.client.prod.eu-west.dreamlake.io/cruise-lines/royal-caribbean/utopia-of-the-seas</t>
  </si>
  <si>
    <t>&lt;loc&gt;https://odysia-cruise-uk.client.prod.eu-west.dreamlake.io/cruise-lines/holland-america-line/volendam&lt;/loc&gt;</t>
  </si>
  <si>
    <t>https://odysia-cruise-uk.client.prod.eu-west.dreamlake.io/cruise-lines/holland-america-line/volendam</t>
  </si>
  <si>
    <t>&lt;loc&gt;https://odysia-cruise-uk.client.prod.eu-west.dreamlake.io/cruise-deals/cruises-from-liverpool&lt;/loc&gt;</t>
  </si>
  <si>
    <t>https://odysia-cruise-uk.client.prod.eu-west.dreamlake.io/cruise-deals/cruises-from-liverpool</t>
  </si>
  <si>
    <t>&lt;loc&gt;https://odysia-cruise-uk.client.prod.eu-west.dreamlake.io/cruise-lines/royal-caribbean/rhapsody-of-the-seas&lt;/loc&gt;</t>
  </si>
  <si>
    <t>https://odysia-cruise-uk.client.prod.eu-west.dreamlake.io/cruise-lines/royal-caribbean/rhapsody-of-the-seas</t>
  </si>
  <si>
    <t>&lt;loc&gt;https://odysia-cruise-uk.client.prod.eu-west.dreamlake.io/cruise-lines/po-cruises/arcadia/cruises&lt;/loc&gt;</t>
  </si>
  <si>
    <t>https://odysia-cruise-uk.client.prod.eu-west.dreamlake.io/cruise-lines/po-cruises/arcadia/cruises</t>
  </si>
  <si>
    <t>&lt;loc&gt;https://odysia-cruise-uk.client.prod.eu-west.dreamlake.io/cruise-lines/oceania-cruises/oceania-vista/cruises&lt;/loc&gt;</t>
  </si>
  <si>
    <t>https://odysia-cruise-uk.client.prod.eu-west.dreamlake.io/cruise-lines/oceania-cruises/oceania-vista/cruises</t>
  </si>
  <si>
    <t>&lt;loc&gt;https://odysia-cruise-uk.client.prod.eu-west.dreamlake.io/cruise-lines/seabourn/seabourn-quest/cruises&lt;/loc&gt;</t>
  </si>
  <si>
    <t>https://odysia-cruise-uk.client.prod.eu-west.dreamlake.io/cruise-lines/seabourn/seabourn-quest/cruises</t>
  </si>
  <si>
    <t>&lt;loc&gt;https://odysia-cruise-uk.client.prod.eu-west.dreamlake.io/cruise-calendar/caribbean-cruise-dates&lt;/loc&gt;</t>
  </si>
  <si>
    <t>&lt;loc&gt;https://odysia-cruise-uk.client.prod.eu-west.dreamlake.io/cruise-lines/msc-cruises/msc-sinfonia&lt;/loc&gt;</t>
  </si>
  <si>
    <t>https://odysia-cruise-uk.client.prod.eu-west.dreamlake.io/cruise-lines/msc-cruises/msc-sinfonia</t>
  </si>
  <si>
    <t>&lt;loc&gt;https://odysia-cruise-uk.client.prod.eu-west.dreamlake.io/cruise-lines/seabourn/seabourn-sojourn/cruises&lt;/loc&gt;</t>
  </si>
  <si>
    <t>https://odysia-cruise-uk.client.prod.eu-west.dreamlake.io/cruise-lines/seabourn/seabourn-sojourn/cruises</t>
  </si>
  <si>
    <t>&lt;loc&gt;https://odysia-cruise-uk.client.prod.eu-west.dreamlake.io/cruise-lines/norwegian-cruise-line/norwegian-star&lt;/loc&gt;</t>
  </si>
  <si>
    <t>https://odysia-cruise-uk.client.prod.eu-west.dreamlake.io/cruise-lines/norwegian-cruise-line/norwegian-star</t>
  </si>
  <si>
    <t>&lt;loc&gt;https://odysia-cruise-uk.client.prod.eu-west.dreamlake.io/cruise-lines/royal-caribbean/legend-of-the-seas&lt;/loc&gt;</t>
  </si>
  <si>
    <t>https://odysia-cruise-uk.client.prod.eu-west.dreamlake.io/cruise-lines/royal-caribbean/legend-of-the-seas</t>
  </si>
  <si>
    <t>&lt;loc&gt;https://odysia-cruise-uk.client.prod.eu-west.dreamlake.io/cruise-lines/msc-cruises/msc-opera&lt;/loc&gt;</t>
  </si>
  <si>
    <t>https://odysia-cruise-uk.client.prod.eu-west.dreamlake.io/cruise-lines/msc-cruises/msc-opera</t>
  </si>
  <si>
    <t>&lt;loc&gt;https://odysia-cruise-uk.client.prod.eu-west.dreamlake.io/cruise-lines/ambassador-cruise-line/ambition/cruises&lt;/loc&gt;</t>
  </si>
  <si>
    <t>https://odysia-cruise-uk.client.prod.eu-west.dreamlake.io/cruise-lines/ambassador-cruise-line/ambition/cruises</t>
  </si>
  <si>
    <t>&lt;loc&gt;https://odysia-cruise-uk.client.prod.eu-west.dreamlake.io/cruise-lines/princess-cruises/ruby-princess/cruises&lt;/loc&gt;</t>
  </si>
  <si>
    <t>https://odysia-cruise-uk.client.prod.eu-west.dreamlake.io/cruise-lines/princess-cruises/ruby-princess/cruises</t>
  </si>
  <si>
    <t>&lt;loc&gt;https://odysia-cruise-uk.client.prod.eu-west.dreamlake.io/cruises&lt;/loc&gt;</t>
  </si>
  <si>
    <t>&lt;loc&gt;https://odysia-cruise-uk.client.prod.eu-west.dreamlake.io/cruise-lines/cunard/queen-mary-2&lt;/loc&gt;</t>
  </si>
  <si>
    <t>https://odysia-cruise-uk.client.prod.eu-west.dreamlake.io/cruise-lines/cunard/queen-mary-2</t>
  </si>
  <si>
    <t>&lt;loc&gt;https://odysia-cruise-uk.client.prod.eu-west.dreamlake.io/cruise-lines/fred-olsen-cruises/bolette&lt;/loc&gt;</t>
  </si>
  <si>
    <t>https://odysia-cruise-uk.client.prod.eu-west.dreamlake.io/cruise-lines/fred-olsen-cruises/bolette</t>
  </si>
  <si>
    <t>&lt;loc&gt;https://odysia-cruise-uk.client.prod.eu-west.dreamlake.io/cruise-lines/norwegian-cruise-line/norwegian-spirit/cruises&lt;/loc&gt;</t>
  </si>
  <si>
    <t>https://odysia-cruise-uk.client.prod.eu-west.dreamlake.io/cruise-lines/norwegian-cruise-line/norwegian-spirit/cruises</t>
  </si>
  <si>
    <t>&lt;loc&gt;https://odysia-cruise-uk.client.prod.eu-west.dreamlake.io/cruise-lines/royal-caribbean/grandeur-of-the-seas&lt;/loc&gt;</t>
  </si>
  <si>
    <t>https://odysia-cruise-uk.client.prod.eu-west.dreamlake.io/cruise-lines/royal-caribbean/grandeur-of-the-seas</t>
  </si>
  <si>
    <t>&lt;loc&gt;https://odysia-cruise-uk.client.prod.eu-west.dreamlake.io/destinations/central-south-america-cruises&lt;/loc&gt;</t>
  </si>
  <si>
    <t>&lt;loc&gt;https://odysia-cruise-uk.client.prod.eu-west.dreamlake.io/cruise-lines/norwegian-cruise-line/norwegian-jewel/cruises&lt;/loc&gt;</t>
  </si>
  <si>
    <t>https://odysia-cruise-uk.client.prod.eu-west.dreamlake.io/cruise-lines/norwegian-cruise-line/norwegian-jewel/cruises</t>
  </si>
  <si>
    <t>&lt;loc&gt;https://odysia-cruise-uk.client.prod.eu-west.dreamlake.io/cruise-lines/regent-seven-seas-cruises/seven-seas-voyager&lt;/loc&gt;</t>
  </si>
  <si>
    <t>https://odysia-cruise-uk.client.prod.eu-west.dreamlake.io/cruise-lines/regent-seven-seas-cruises/seven-seas-voyager</t>
  </si>
  <si>
    <t>&lt;loc&gt;https://odysia-cruise-uk.client.prod.eu-west.dreamlake.io/cruise-lines/msc-cruises/msc-meraviglia&lt;/loc&gt;</t>
  </si>
  <si>
    <t>https://odysia-cruise-uk.client.prod.eu-west.dreamlake.io/cruise-lines/msc-cruises/msc-meraviglia</t>
  </si>
  <si>
    <t>&lt;loc&gt;https://odysia-cruise-uk.client.prod.eu-west.dreamlake.io/destinations/middle-east-cruises&lt;/loc&gt;</t>
  </si>
  <si>
    <t>&lt;loc&gt;https://odysia-cruise-uk.client.prod.eu-west.dreamlake.io/cruise-lines/norwegian-cruise-line/norwegian-sky&lt;/loc&gt;</t>
  </si>
  <si>
    <t>https://odysia-cruise-uk.client.prod.eu-west.dreamlake.io/cruise-lines/norwegian-cruise-line/norwegian-sky</t>
  </si>
  <si>
    <t>&lt;loc&gt;https://odysia-cruise-uk.client.prod.eu-west.dreamlake.io/cruise-lines/msc-cruises/msc-orchestra/cruises&lt;/loc&gt;</t>
  </si>
  <si>
    <t>https://odysia-cruise-uk.client.prod.eu-west.dreamlake.io/cruise-lines/msc-cruises/msc-orchestra/cruises</t>
  </si>
  <si>
    <t>&lt;loc&gt;https://odysia-cruise-uk.client.prod.eu-west.dreamlake.io/calendar/northern-europe-cruises&lt;/loc&gt;</t>
  </si>
  <si>
    <t>&lt;loc&gt;https://odysia-cruise-uk.client.prod.eu-west.dreamlake.io/destinations/caribbean-cruises&lt;/loc&gt;</t>
  </si>
  <si>
    <t>&lt;loc&gt;https://odysia-cruise-uk.client.prod.eu-west.dreamlake.io/cruise-deals/last-minute-cruises&lt;/loc&gt;</t>
  </si>
  <si>
    <t>https://odysia-cruise-uk.client.prod.eu-west.dreamlake.io/cruise-deals/last-minute-cruises</t>
  </si>
  <si>
    <t>&lt;loc&gt;https://odysia-cruise-uk.client.prod.eu-west.dreamlake.io/cruise-lines/po-cruises/ventura/cruises&lt;/loc&gt;</t>
  </si>
  <si>
    <t>https://odysia-cruise-uk.client.prod.eu-west.dreamlake.io/cruise-lines/po-cruises/ventura/cruises</t>
  </si>
  <si>
    <t>&lt;loc&gt;https://odysia-cruise-uk.client.prod.eu-west.dreamlake.io/cruise-lines/norwegian-cruise-line/pride-of-america/cruises&lt;/loc&gt;</t>
  </si>
  <si>
    <t>https://odysia-cruise-uk.client.prod.eu-west.dreamlake.io/cruise-lines/norwegian-cruise-line/pride-of-america/cruises</t>
  </si>
  <si>
    <t>&lt;loc&gt;https://odysia-cruise-uk.client.prod.eu-west.dreamlake.io/cruise-lines/royal-caribbean/serenade-of-the-seas/cruises&lt;/loc&gt;</t>
  </si>
  <si>
    <t>https://odysia-cruise-uk.client.prod.eu-west.dreamlake.io/cruise-lines/royal-caribbean/serenade-of-the-seas/cruises</t>
  </si>
  <si>
    <t>&lt;loc&gt;https://odysia-cruise-uk.client.prod.eu-west.dreamlake.io/cruise-lines/holland-america-line/nieuw-amsterdam&lt;/loc&gt;</t>
  </si>
  <si>
    <t>https://odysia-cruise-uk.client.prod.eu-west.dreamlake.io/cruise-lines/holland-america-line/nieuw-amsterdam</t>
  </si>
  <si>
    <t>&lt;loc&gt;https://odysia-cruise-uk.client.prod.eu-west.dreamlake.io/cruise-lines/norwegian-cruise-line/norwegian-luna&lt;/loc&gt;</t>
  </si>
  <si>
    <t>https://odysia-cruise-uk.client.prod.eu-west.dreamlake.io/cruise-lines/norwegian-cruise-line/norwegian-luna</t>
  </si>
  <si>
    <t>&lt;loc&gt;https://odysia-cruise-uk.client.prod.eu-west.dreamlake.io/cruise-lines/holland-america-line/zaandam/cruises&lt;/loc&gt;</t>
  </si>
  <si>
    <t>https://odysia-cruise-uk.client.prod.eu-west.dreamlake.io/cruise-lines/holland-america-line/zaandam/cruises</t>
  </si>
  <si>
    <t>&lt;loc&gt;https://odysia-cruise-uk.client.prod.eu-west.dreamlake.io/cruise-lines/fred-olsen-cruises/cruises&lt;/loc&gt;</t>
  </si>
  <si>
    <t>https://odysia-cruise-uk.client.prod.eu-west.dreamlake.io/cruise-lines/fred-olsen-cruises/cruises</t>
  </si>
  <si>
    <t>&lt;loc&gt;https://odysia-cruise-uk.client.prod.eu-west.dreamlake.io/cruise-lines/msc-cruises/msc-orchestra&lt;/loc&gt;</t>
  </si>
  <si>
    <t>https://odysia-cruise-uk.client.prod.eu-west.dreamlake.io/cruise-lines/msc-cruises/msc-orchestra</t>
  </si>
  <si>
    <t>&lt;loc&gt;https://odysia-cruise-uk.client.prod.eu-west.dreamlake.io/cruise-lines/costa-cruises/costa-toscana/cruises&lt;/loc&gt;</t>
  </si>
  <si>
    <t>https://odysia-cruise-uk.client.prod.eu-west.dreamlake.io/cruise-lines/costa-cruises/costa-toscana/cruises</t>
  </si>
  <si>
    <t>&lt;loc&gt;https://odysia-cruise-uk.client.prod.eu-west.dreamlake.io/cruise-lines/royal-caribbean/liberty-of-the-seas&lt;/loc&gt;</t>
  </si>
  <si>
    <t>https://odysia-cruise-uk.client.prod.eu-west.dreamlake.io/cruise-lines/royal-caribbean/liberty-of-the-seas</t>
  </si>
  <si>
    <t>&lt;loc&gt;https://odysia-cruise-uk.client.prod.eu-west.dreamlake.io/cruise-lines/norwegian-cruise-line/norwegian-viva&lt;/loc&gt;</t>
  </si>
  <si>
    <t>https://odysia-cruise-uk.client.prod.eu-west.dreamlake.io/cruise-lines/norwegian-cruise-line/norwegian-viva</t>
  </si>
  <si>
    <t>&lt;loc&gt;https://odysia-cruise-uk.client.prod.eu-west.dreamlake.io/cruise-lines/norwegian-cruise-line/cruises&lt;/loc&gt;</t>
  </si>
  <si>
    <t>https://odysia-cruise-uk.client.prod.eu-west.dreamlake.io/cruise-lines/norwegian-cruise-line/cruises</t>
  </si>
  <si>
    <t>&lt;loc&gt;https://odysia-cruise-uk.client.prod.eu-west.dreamlake.io/cruise-lines/msc-cruises/msc-seaside&lt;/loc&gt;</t>
  </si>
  <si>
    <t>https://odysia-cruise-uk.client.prod.eu-west.dreamlake.io/cruise-lines/msc-cruises/msc-seaside</t>
  </si>
  <si>
    <t>&lt;loc&gt;https://odysia-cruise-uk.client.prod.eu-west.dreamlake.io/cruise-lines/seabourn/cruises&lt;/loc&gt;</t>
  </si>
  <si>
    <t>https://odysia-cruise-uk.client.prod.eu-west.dreamlake.io/cruise-lines/seabourn/cruises</t>
  </si>
  <si>
    <t>&lt;loc&gt;https://odysia-cruise-uk.client.prod.eu-west.dreamlake.io/cruise-lines/celebrity-cruises/celebrity-summit&lt;/loc&gt;</t>
  </si>
  <si>
    <t>https://odysia-cruise-uk.client.prod.eu-west.dreamlake.io/cruise-lines/celebrity-cruises/celebrity-summit</t>
  </si>
  <si>
    <t>&lt;loc&gt;https://odysia-cruise-uk.client.prod.eu-west.dreamlake.io/cruise-lines/royal-caribbean/radiance-of-the-seas&lt;/loc&gt;</t>
  </si>
  <si>
    <t>https://odysia-cruise-uk.client.prod.eu-west.dreamlake.io/cruise-lines/royal-caribbean/radiance-of-the-seas</t>
  </si>
  <si>
    <t>&lt;loc&gt;https://odysia-cruise-uk.client.prod.eu-west.dreamlake.io/cruise-lines/oceania-cruises/oceania-nautica&lt;/loc&gt;</t>
  </si>
  <si>
    <t>https://odysia-cruise-uk.client.prod.eu-west.dreamlake.io/cruise-lines/oceania-cruises/oceania-nautica</t>
  </si>
  <si>
    <t>&lt;loc&gt;https://odysia-cruise-uk.client.prod.eu-west.dreamlake.io/cruise-lines/royal-caribbean/star-of-the-seas&lt;/loc&gt;</t>
  </si>
  <si>
    <t>https://odysia-cruise-uk.client.prod.eu-west.dreamlake.io/cruise-lines/royal-caribbean/star-of-the-seas</t>
  </si>
  <si>
    <t>&lt;loc&gt;https://odysia-cruise-uk.client.prod.eu-west.dreamlake.io/cruise-lines/celebrity-cruises/celebrity-equinox&lt;/loc&gt;</t>
  </si>
  <si>
    <t>https://odysia-cruise-uk.client.prod.eu-west.dreamlake.io/cruise-lines/celebrity-cruises/celebrity-equinox</t>
  </si>
  <si>
    <t>&lt;loc&gt;https://odysia-cruise-uk.client.prod.eu-west.dreamlake.io/cruise-lines/ambassador-cruise-line/renaissance/cruises&lt;/loc&gt;</t>
  </si>
  <si>
    <t>https://odysia-cruise-uk.client.prod.eu-west.dreamlake.io/cruise-lines/ambassador-cruise-line/renaissance/cruises</t>
  </si>
  <si>
    <t>&lt;loc&gt;https://odysia-cruise-uk.client.prod.eu-west.dreamlake.io/cruise-lines/princess-cruises/sky-princess&lt;/loc&gt;</t>
  </si>
  <si>
    <t>https://odysia-cruise-uk.client.prod.eu-west.dreamlake.io/cruise-lines/princess-cruises/sky-princess</t>
  </si>
  <si>
    <t>&lt;loc&gt;https://odysia-cruise-uk.client.prod.eu-west.dreamlake.io/cruise-lines/celebrity-cruises/celebrity-reflection&lt;/loc&gt;</t>
  </si>
  <si>
    <t>https://odysia-cruise-uk.client.prod.eu-west.dreamlake.io/cruise-lines/celebrity-cruises/celebrity-reflection</t>
  </si>
  <si>
    <t>&lt;loc&gt;https://odysia-cruise-uk.client.prod.eu-west.dreamlake.io/cruise-lines/celebrity-cruises/celebrity-edge/cruises&lt;/loc&gt;</t>
  </si>
  <si>
    <t>https://odysia-cruise-uk.client.prod.eu-west.dreamlake.io/cruise-lines/celebrity-cruises/celebrity-edge/cruises</t>
  </si>
  <si>
    <t>&lt;loc&gt;https://odysia-cruise-uk.client.prod.eu-west.dreamlake.io/cruise-lines/norwegian-cruise-line/norwegian-star/cruises&lt;/loc&gt;</t>
  </si>
  <si>
    <t>https://odysia-cruise-uk.client.prod.eu-west.dreamlake.io/cruise-lines/norwegian-cruise-line/norwegian-star/cruises</t>
  </si>
  <si>
    <t>&lt;loc&gt;https://odysia-cruise-uk.client.prod.eu-west.dreamlake.io/cruise-lines/royal-caribbean/mariner-of-the-seas/cruises&lt;/loc&gt;</t>
  </si>
  <si>
    <t>https://odysia-cruise-uk.client.prod.eu-west.dreamlake.io/cruise-lines/royal-caribbean/mariner-of-the-seas/cruises</t>
  </si>
  <si>
    <t>&lt;loc&gt;https://odysia-cruise-uk.client.prod.eu-west.dreamlake.io/cruise-lines/royal-caribbean/allure-of-the-seas/cruises&lt;/loc&gt;</t>
  </si>
  <si>
    <t>https://odysia-cruise-uk.client.prod.eu-west.dreamlake.io/cruise-lines/royal-caribbean/allure-of-the-seas/cruises</t>
  </si>
  <si>
    <t>&lt;loc&gt;https://odysia-cruise-uk.client.prod.eu-west.dreamlake.io/cruise-lines/po-cruises/cruises&lt;/loc&gt;</t>
  </si>
  <si>
    <t>https://odysia-cruise-uk.client.prod.eu-west.dreamlake.io/cruise-lines/po-cruises/cruises</t>
  </si>
  <si>
    <t>&lt;loc&gt;https://odysia-cruise-uk.client.prod.eu-west.dreamlake.io/cruise-lines/msc-cruises/msc-seaview/cruises&lt;/loc&gt;</t>
  </si>
  <si>
    <t>https://odysia-cruise-uk.client.prod.eu-west.dreamlake.io/cruise-lines/msc-cruises/msc-seaview/cruises</t>
  </si>
  <si>
    <t>&lt;loc&gt;https://odysia-cruise-uk.client.prod.eu-west.dreamlake.io/cruise-lines/norwegian-cruise-line/norwegian-sky/cruises&lt;/loc&gt;</t>
  </si>
  <si>
    <t>https://odysia-cruise-uk.client.prod.eu-west.dreamlake.io/cruise-lines/norwegian-cruise-line/norwegian-sky/cruises</t>
  </si>
  <si>
    <t>&lt;loc&gt;https://odysia-cruise-uk.client.prod.eu-west.dreamlake.io/cruise-lines/royal-caribbean/quantum-of-the-seas/cruises&lt;/loc&gt;</t>
  </si>
  <si>
    <t>https://odysia-cruise-uk.client.prod.eu-west.dreamlake.io/cruise-lines/royal-caribbean/quantum-of-the-seas/cruises</t>
  </si>
  <si>
    <t>&lt;loc&gt;https://odysia-cruise-uk.client.prod.eu-west.dreamlake.io/cruise-calendar/south-america-cruise-dates&lt;/loc&gt;</t>
  </si>
  <si>
    <t>&lt;loc&gt;https://odysia-cruise-uk.client.prod.eu-west.dreamlake.io/cruise-lines/royal-caribbean/independence-of-the-seas/cruises&lt;/loc&gt;</t>
  </si>
  <si>
    <t>https://odysia-cruise-uk.client.prod.eu-west.dreamlake.io/cruise-lines/royal-caribbean/independence-of-the-seas/cruises</t>
  </si>
  <si>
    <t>&lt;loc&gt;https://odysia-cruise-uk.client.prod.eu-west.dreamlake.io/cruise-lines/msc-cruises/msc-magnifica/cruises&lt;/loc&gt;</t>
  </si>
  <si>
    <t>https://odysia-cruise-uk.client.prod.eu-west.dreamlake.io/cruise-lines/msc-cruises/msc-magnifica/cruises</t>
  </si>
  <si>
    <t>&lt;loc&gt;https://odysia-cruise-uk.client.prod.eu-west.dreamlake.io/cruise-lines/regent-seven-seas-cruises/seven-seas-splendor&lt;/loc&gt;</t>
  </si>
  <si>
    <t>https://odysia-cruise-uk.client.prod.eu-west.dreamlake.io/cruise-lines/regent-seven-seas-cruises/seven-seas-splendor</t>
  </si>
  <si>
    <t>&lt;loc&gt;https://odysia-cruise-uk.client.prod.eu-west.dreamlake.io/cruise-lines/celebrity-cruises/celebrity-millennium&lt;/loc&gt;</t>
  </si>
  <si>
    <t>https://odysia-cruise-uk.client.prod.eu-west.dreamlake.io/cruise-lines/celebrity-cruises/celebrity-millennium</t>
  </si>
  <si>
    <t>&lt;loc&gt;https://odysia-cruise-uk.client.prod.eu-west.dreamlake.io/cruise-lines/oceania-cruises/oceania-riviera&lt;/loc&gt;</t>
  </si>
  <si>
    <t>https://odysia-cruise-uk.client.prod.eu-west.dreamlake.io/cruise-lines/oceania-cruises/oceania-riviera</t>
  </si>
  <si>
    <t>&lt;loc&gt;https://odysia-cruise-uk.client.prod.eu-west.dreamlake.io/cruise-lines/holland-america-line/zuiderdam&lt;/loc&gt;</t>
  </si>
  <si>
    <t>https://odysia-cruise-uk.client.prod.eu-west.dreamlake.io/cruise-lines/holland-america-line/zuiderdam</t>
  </si>
  <si>
    <t>&lt;loc&gt;https://odysia-cruise-uk.client.prod.eu-west.dreamlake.io/cruise-lines/royal-caribbean/brilliance-of-the-seas&lt;/loc&gt;</t>
  </si>
  <si>
    <t>https://odysia-cruise-uk.client.prod.eu-west.dreamlake.io/cruise-lines/royal-caribbean/brilliance-of-the-seas</t>
  </si>
  <si>
    <t>&lt;loc&gt;https://odysia-cruise-uk.client.prod.eu-west.dreamlake.io/cruise-lines/cunard/queen-anne&lt;/loc&gt;</t>
  </si>
  <si>
    <t>https://odysia-cruise-uk.client.prod.eu-west.dreamlake.io/cruise-lines/cunard/queen-anne</t>
  </si>
  <si>
    <t>&lt;loc&gt;https://odysia-cruise-uk.client.prod.eu-west.dreamlake.io/destinations/scandinavia-baltic-cruises&lt;/loc&gt;</t>
  </si>
  <si>
    <t>&lt;loc&gt;https://odysia-cruise-uk.client.prod.eu-west.dreamlake.io/cruise-lines/princess-cruises/majestic-princess/cruises&lt;/loc&gt;</t>
  </si>
  <si>
    <t>https://odysia-cruise-uk.client.prod.eu-west.dreamlake.io/cruise-lines/princess-cruises/majestic-princess/cruises</t>
  </si>
  <si>
    <t>&lt;loc&gt;https://odysia-cruise-uk.client.prod.eu-west.dreamlake.io/cruise-lines/msc-cruises/msc-seashore/cruises&lt;/loc&gt;</t>
  </si>
  <si>
    <t>https://odysia-cruise-uk.client.prod.eu-west.dreamlake.io/cruise-lines/msc-cruises/msc-seashore/cruises</t>
  </si>
  <si>
    <t>&lt;loc&gt;https://odysia-cruise-uk.client.prod.eu-west.dreamlake.io/cruise-lines/princess-cruises/ruby-princess&lt;/loc&gt;</t>
  </si>
  <si>
    <t>https://odysia-cruise-uk.client.prod.eu-west.dreamlake.io/cruise-lines/princess-cruises/ruby-princess</t>
  </si>
  <si>
    <t>&lt;loc&gt;https://odysia-cruise-uk.client.prod.eu-west.dreamlake.io/cruise-lines/holland-america-line/westerdam/cruises&lt;/loc&gt;</t>
  </si>
  <si>
    <t>https://odysia-cruise-uk.client.prod.eu-west.dreamlake.io/cruise-lines/holland-america-line/westerdam/cruises</t>
  </si>
  <si>
    <t>&lt;loc&gt;https://odysia-cruise-uk.client.prod.eu-west.dreamlake.io/cruise-lines/royal-caribbean/jewel-of-the-seas&lt;/loc&gt;</t>
  </si>
  <si>
    <t>https://odysia-cruise-uk.client.prod.eu-west.dreamlake.io/cruise-lines/royal-caribbean/jewel-of-the-seas</t>
  </si>
  <si>
    <t>&lt;loc&gt;https://odysia-cruise-uk.client.prod.eu-west.dreamlake.io/cruise-lines/azamara/azamara-journey&lt;/loc&gt;</t>
  </si>
  <si>
    <t>&lt;loc&gt;https://odysia-cruise-uk.client.prod.eu-west.dreamlake.io/cruise-lines/oceania-cruises/oceania-marina/cruises&lt;/loc&gt;</t>
  </si>
  <si>
    <t>https://odysia-cruise-uk.client.prod.eu-west.dreamlake.io/cruise-lines/oceania-cruises/oceania-marina/cruises</t>
  </si>
  <si>
    <t>&lt;loc&gt;https://odysia-cruise-uk.client.prod.eu-west.dreamlake.io/cruise-lines/norwegian-cruise-line/norwegian-joy&lt;/loc&gt;</t>
  </si>
  <si>
    <t>https://odysia-cruise-uk.client.prod.eu-west.dreamlake.io/cruise-lines/norwegian-cruise-line/norwegian-joy</t>
  </si>
  <si>
    <t>&lt;loc&gt;https://odysia-cruise-uk.client.prod.eu-west.dreamlake.io/cruise-lines/costa-cruises/costa-serena&lt;/loc&gt;</t>
  </si>
  <si>
    <t>https://odysia-cruise-uk.client.prod.eu-west.dreamlake.io/cruise-lines/costa-cruises/costa-serena</t>
  </si>
  <si>
    <t>&lt;loc&gt;https://odysia-cruise-uk.client.prod.eu-west.dreamlake.io/cruise-lines/royal-caribbean/cruises&lt;/loc&gt;</t>
  </si>
  <si>
    <t>https://odysia-cruise-uk.client.prod.eu-west.dreamlake.io/cruise-lines/royal-caribbean/cruises</t>
  </si>
  <si>
    <t>&lt;loc&gt;https://odysia-cruise-uk.client.prod.eu-west.dreamlake.io/cruise-lines/celebrity-cruises/celebrity-equinox/cruises&lt;/loc&gt;</t>
  </si>
  <si>
    <t>https://odysia-cruise-uk.client.prod.eu-west.dreamlake.io/cruise-lines/celebrity-cruises/celebrity-equinox/cruises</t>
  </si>
  <si>
    <t>&lt;loc&gt;https://odysia-cruise-uk.client.prod.eu-west.dreamlake.io/cruise-lines/msc-cruises/msc-world-america&lt;/loc&gt;</t>
  </si>
  <si>
    <t>https://odysia-cruise-uk.client.prod.eu-west.dreamlake.io/cruise-lines/msc-cruises/msc-world-america</t>
  </si>
  <si>
    <t>&lt;loc&gt;https://odysia-cruise-uk.client.prod.eu-west.dreamlake.io/cruise-lines/msc-cruises/msc-grandiosa&lt;/loc&gt;</t>
  </si>
  <si>
    <t>https://odysia-cruise-uk.client.prod.eu-west.dreamlake.io/cruise-lines/msc-cruises/msc-grandiosa</t>
  </si>
  <si>
    <t>&lt;loc&gt;https://odysia-cruise-uk.client.prod.eu-west.dreamlake.io/cruise-lines/celebrity-cruises/celebrity-summit/cruises&lt;/loc&gt;</t>
  </si>
  <si>
    <t>https://odysia-cruise-uk.client.prod.eu-west.dreamlake.io/cruise-lines/celebrity-cruises/celebrity-summit/cruises</t>
  </si>
  <si>
    <t>&lt;loc&gt;https://odysia-cruise-uk.client.prod.eu-west.dreamlake.io/cruise-lines/norwegian-cruise-line/norwegian-pearl/cruises&lt;/loc&gt;</t>
  </si>
  <si>
    <t>https://odysia-cruise-uk.client.prod.eu-west.dreamlake.io/cruise-lines/norwegian-cruise-line/norwegian-pearl/cruises</t>
  </si>
  <si>
    <t>&lt;loc&gt;https://odysia-cruise-uk.client.prod.eu-west.dreamlake.io/cruise-lines/princess-cruises/royal-princess&lt;/loc&gt;</t>
  </si>
  <si>
    <t>https://odysia-cruise-uk.client.prod.eu-west.dreamlake.io/cruise-lines/princess-cruises/royal-princess</t>
  </si>
  <si>
    <t>&lt;loc&gt;https://odysia-cruise-uk.client.prod.eu-west.dreamlake.io/cruise-lines/virgin-voyages/brilliant-lady&lt;/loc&gt;</t>
  </si>
  <si>
    <t>https://odysia-cruise-uk.client.prod.eu-west.dreamlake.io/cruise-lines/virgin-voyages/brilliant-lady</t>
  </si>
  <si>
    <t>&lt;loc&gt;https://odysia-cruise-uk.client.prod.eu-west.dreamlake.io/cruise-lines/royal-caribbean/wonder-of-the-seas&lt;/loc&gt;</t>
  </si>
  <si>
    <t>https://odysia-cruise-uk.client.prod.eu-west.dreamlake.io/cruise-lines/royal-caribbean/wonder-of-the-seas</t>
  </si>
  <si>
    <t>&lt;loc&gt;https://odysia-cruise-uk.client.prod.eu-west.dreamlake.io/cruise-lines/azamara/azamara-pursuit&lt;/loc&gt;</t>
  </si>
  <si>
    <t>&lt;loc&gt;https://odysia-cruise-uk.client.prod.eu-west.dreamlake.io/cruise-lines/po-cruises&lt;/loc&gt;</t>
  </si>
  <si>
    <t>https://odysia-cruise-uk.client.prod.eu-west.dreamlake.io/cruise-lines/po-cruises</t>
  </si>
  <si>
    <t>&lt;loc&gt;https://odysia-cruise-uk.client.prod.eu-west.dreamlake.io/cruise-lines/seabourn/seabourn-encore/cruises&lt;/loc&gt;</t>
  </si>
  <si>
    <t>https://odysia-cruise-uk.client.prod.eu-west.dreamlake.io/cruise-lines/seabourn/seabourn-encore/cruises</t>
  </si>
  <si>
    <t>&lt;loc&gt;https://odysia-cruise-uk.client.prod.eu-west.dreamlake.io/cruise-lines/regent-seven-seas-cruises/seven-seas-navigator&lt;/loc&gt;</t>
  </si>
  <si>
    <t>https://odysia-cruise-uk.client.prod.eu-west.dreamlake.io/cruise-lines/regent-seven-seas-cruises/seven-seas-navigator</t>
  </si>
  <si>
    <t>&lt;loc&gt;https://odysia-cruise-uk.client.prod.eu-west.dreamlake.io/cruise-deals&lt;/loc&gt;</t>
  </si>
  <si>
    <t>https://odysia-cruise-uk.client.prod.eu-west.dreamlake.io/cruise-deals</t>
  </si>
  <si>
    <t>&lt;loc&gt;https://odysia-cruise-uk.client.prod.eu-west.dreamlake.io/cruise-lines/princess-cruises/enchanted-princess/cruises&lt;/loc&gt;</t>
  </si>
  <si>
    <t>https://odysia-cruise-uk.client.prod.eu-west.dreamlake.io/cruise-lines/princess-cruises/enchanted-princess/cruises</t>
  </si>
  <si>
    <t>&lt;loc&gt;https://odysia-cruise-uk.client.prod.eu-west.dreamlake.io/cruise-lines/royal-caribbean/harmony-of-the-seas&lt;/loc&gt;</t>
  </si>
  <si>
    <t>https://odysia-cruise-uk.client.prod.eu-west.dreamlake.io/cruise-lines/royal-caribbean/harmony-of-the-seas</t>
  </si>
  <si>
    <t>&lt;loc&gt;https://odysia-cruise-uk.client.prod.eu-west.dreamlake.io/destinations/world-cruise&lt;/loc&gt;</t>
  </si>
  <si>
    <t>&lt;loc&gt;https://odysia-cruise-uk.client.prod.eu-west.dreamlake.io/cruise-lines/princess-cruises/cruises&lt;/loc&gt;</t>
  </si>
  <si>
    <t>https://odysia-cruise-uk.client.prod.eu-west.dreamlake.io/cruise-lines/princess-cruises/cruises</t>
  </si>
  <si>
    <t>&lt;loc&gt;https://odysia-cruise-uk.client.prod.eu-west.dreamlake.io/cruise-lines/msc-cruises/msc-lirica/cruises&lt;/loc&gt;</t>
  </si>
  <si>
    <t>https://odysia-cruise-uk.client.prod.eu-west.dreamlake.io/cruise-lines/msc-cruises/msc-lirica/cruises</t>
  </si>
  <si>
    <t>&lt;loc&gt;https://odysia-cruise-uk.client.prod.eu-west.dreamlake.io/cruise-lines/msc-cruises/msc-world-america/cruises&lt;/loc&gt;</t>
  </si>
  <si>
    <t>https://odysia-cruise-uk.client.prod.eu-west.dreamlake.io/cruise-lines/msc-cruises/msc-world-america/cruises</t>
  </si>
  <si>
    <t>&lt;loc&gt;https://odysia-cruise-uk.client.prod.eu-west.dreamlake.io/cruise-lines/holland-america-line/westerdam&lt;/loc&gt;</t>
  </si>
  <si>
    <t>https://odysia-cruise-uk.client.prod.eu-west.dreamlake.io/cruise-lines/holland-america-line/westerdam</t>
  </si>
  <si>
    <t>&lt;loc&gt;https://odysia-cruise-uk.client.prod.eu-west.dreamlake.io/cruise-lines/seabourn/seabourn-pursuit&lt;/loc&gt;</t>
  </si>
  <si>
    <t>https://odysia-cruise-uk.client.prod.eu-west.dreamlake.io/cruise-lines/seabourn/seabourn-pursuit</t>
  </si>
  <si>
    <t>&lt;loc&gt;https://odysia-cruise-uk.client.prod.eu-west.dreamlake.io/cruise-lines/explora-journeys/explora-ii/cruises&lt;/loc&gt;</t>
  </si>
  <si>
    <t>https://odysia-cruise-uk.client.prod.eu-west.dreamlake.io/cruise-lines/explora-journeys/explora-ii/cruises</t>
  </si>
  <si>
    <t>&lt;loc&gt;https://odysia-cruise-uk.client.prod.eu-west.dreamlake.io/cruise-lines/holland-america-line/oosterdam&lt;/loc&gt;</t>
  </si>
  <si>
    <t>https://odysia-cruise-uk.client.prod.eu-west.dreamlake.io/cruise-lines/holland-america-line/oosterdam</t>
  </si>
  <si>
    <t>&lt;loc&gt;https://odysia-cruise-uk.client.prod.eu-west.dreamlake.io/destinations/far-east-cruises&lt;/loc&gt;</t>
  </si>
  <si>
    <t>&lt;loc&gt;https://odysia-cruise-uk.client.prod.eu-west.dreamlake.io/cruise-lines/costa-cruises/costa-fortuna&lt;/loc&gt;</t>
  </si>
  <si>
    <t>https://odysia-cruise-uk.client.prod.eu-west.dreamlake.io/cruise-lines/costa-cruises/costa-fortuna</t>
  </si>
  <si>
    <t>x</t>
  </si>
  <si>
    <t>/journal</t>
  </si>
  <si>
    <t>/brochure</t>
  </si>
  <si>
    <t>https://mediahub.beechfieldbrands.com/login/redirectToken/B52996B6-2EFF-4988-B0D9AE1A000E41D5/</t>
  </si>
  <si>
    <t>/frequently-asked-questions</t>
  </si>
  <si>
    <t>/assets</t>
  </si>
  <si>
    <t>https://mediahub.beechfieldbrands.com/login/redirectToken/3F8C914A-C169-4EFB-B5FE72805708526C/</t>
  </si>
  <si>
    <t>/sustainability-3</t>
  </si>
  <si>
    <t>/sustainability</t>
  </si>
  <si>
    <t>/sustainability/our-commitment</t>
  </si>
  <si>
    <t>/certifications</t>
  </si>
  <si>
    <t>/sustainability/certifications</t>
  </si>
  <si>
    <t>/sustainability/traceability-origin</t>
  </si>
  <si>
    <t>/sustainability/our-impact</t>
  </si>
  <si>
    <t>/sustainability/ethics</t>
  </si>
  <si>
    <t>/sustainability/planet</t>
  </si>
  <si>
    <t>/how-to-buy</t>
  </si>
  <si>
    <t>/find-a-distributor</t>
  </si>
  <si>
    <t>/inventory-finder</t>
  </si>
  <si>
    <t>/about-us</t>
  </si>
  <si>
    <t>/about-us/design-philosophy</t>
  </si>
  <si>
    <t>/about-us/contact-us</t>
  </si>
  <si>
    <t>/login</t>
  </si>
  <si>
    <t>/distributors</t>
  </si>
  <si>
    <t>https://beechfieldbrands.com/</t>
  </si>
  <si>
    <t>/contact</t>
  </si>
  <si>
    <t>/terms-and-conditions</t>
  </si>
  <si>
    <t>/modern-slavery-statement</t>
  </si>
  <si>
    <t>/privacy-policy</t>
  </si>
  <si>
    <t>https://prod.odysiacruise.com</t>
  </si>
  <si>
    <t>https://prod.odysiacruise.com/about-us</t>
  </si>
  <si>
    <t>https://prod.odysiacruise.com/cruise-calendar</t>
  </si>
  <si>
    <t>https://prod.odysiacruise.com/cruise-deals</t>
  </si>
  <si>
    <t>https://prod.odysiacruise.com/cruise-deals/2025</t>
  </si>
  <si>
    <t>https://prod.odysiacruise.com/cruise-deals/2026</t>
  </si>
  <si>
    <t>https://prod.odysiacruise.com/cruise-deals/2027</t>
  </si>
  <si>
    <t>https://prod.odysiacruise.com/cruise-deals/all-inclusive-cruise-deals</t>
  </si>
  <si>
    <t>https://prod.odysiacruise.com/cruise-deals/cruises-from-dover</t>
  </si>
  <si>
    <t>https://prod.odysiacruise.com/cruise-deals/cruises-from-liverpool</t>
  </si>
  <si>
    <t>https://prod.odysiacruise.com/cruise-deals/cruises-from-newcastle</t>
  </si>
  <si>
    <t>https://prod.odysiacruise.com/cruise-deals/cruises-from-portsmouth</t>
  </si>
  <si>
    <t>https://prod.odysiacruise.com/cruise-deals/cruises-from-scotland</t>
  </si>
  <si>
    <t>https://prod.odysiacruise.com/cruise-deals/cruises-from-southampton</t>
  </si>
  <si>
    <t>https://prod.odysiacruise.com/cruise-deals/cruises-from-the-uk</t>
  </si>
  <si>
    <t>https://prod.odysiacruise.com/cruise-deals/cruises-from-tilbury</t>
  </si>
  <si>
    <t>https://prod.odysiacruise.com/cruise-deals/family-cruise-deals</t>
  </si>
  <si>
    <t>https://prod.odysiacruise.com/cruise-deals/fly-cruise-deals</t>
  </si>
  <si>
    <t>https://prod.odysiacruise.com/cruise-deals/last-minute-cruises</t>
  </si>
  <si>
    <t>https://prod.odysiacruise.com/cruise-deals/mini-cruises</t>
  </si>
  <si>
    <t>https://prod.odysiacruise.com/cruise-lines</t>
  </si>
  <si>
    <t>https://prod.odysiacruise.com/cruise-lines/ambassador-cruise-line</t>
  </si>
  <si>
    <t>https://prod.odysiacruise.com/cruise-lines/ambassador-cruise-line/ambience</t>
  </si>
  <si>
    <t>https://prod.odysiacruise.com/cruise-lines/ambassador-cruise-line/ambience/cruises</t>
  </si>
  <si>
    <t>https://prod.odysiacruise.com/cruise-lines/ambassador-cruise-line/ambition</t>
  </si>
  <si>
    <t>https://prod.odysiacruise.com/cruise-lines/ambassador-cruise-line/ambition/cruises</t>
  </si>
  <si>
    <t>https://prod.odysiacruise.com/cruise-lines/ambassador-cruise-line/cruises</t>
  </si>
  <si>
    <t>https://prod.odysiacruise.com/cruise-lines/ambassador-cruise-line/renaissance</t>
  </si>
  <si>
    <t>https://prod.odysiacruise.com/cruise-lines/ambassador-cruise-line/renaissance/cruises</t>
  </si>
  <si>
    <t>https://prod.odysiacruise.com/cruise-lines/azamara</t>
  </si>
  <si>
    <t>https://prod.odysiacruise.com/cruise-lines/azamara/azamara-journey</t>
  </si>
  <si>
    <t>https://prod.odysiacruise.com/cruise-lines/azamara/azamara-journey/cruises</t>
  </si>
  <si>
    <t>https://prod.odysiacruise.com/cruise-lines/azamara/azamara-onward</t>
  </si>
  <si>
    <t>https://prod.odysiacruise.com/cruise-lines/azamara/azamara-pursuit</t>
  </si>
  <si>
    <t>https://prod.odysiacruise.com/cruise-lines/azamara/azamara-pursuit/cruises</t>
  </si>
  <si>
    <t>https://prod.odysiacruise.com/cruise-lines/azamara/azamara-quest</t>
  </si>
  <si>
    <t>https://prod.odysiacruise.com/cruise-lines/azamara/azamara-quest/cruises</t>
  </si>
  <si>
    <t>https://prod.odysiacruise.com/cruise-lines/azamara/cruises</t>
  </si>
  <si>
    <t>https://prod.odysiacruise.com/cruise-lines/celebrity-cruises</t>
  </si>
  <si>
    <t>https://prod.odysiacruise.com/cruise-lines/celebrity-cruises/celebrity-apex</t>
  </si>
  <si>
    <t>https://prod.odysiacruise.com/cruise-lines/celebrity-cruises/celebrity-apex/cruises</t>
  </si>
  <si>
    <t>https://prod.odysiacruise.com/cruise-lines/celebrity-cruises/celebrity-ascent</t>
  </si>
  <si>
    <t>https://prod.odysiacruise.com/cruise-lines/celebrity-cruises/celebrity-ascent/cruises</t>
  </si>
  <si>
    <t>https://prod.odysiacruise.com/cruise-lines/celebrity-cruises/celebrity-beyond</t>
  </si>
  <si>
    <t>https://prod.odysiacruise.com/cruise-lines/celebrity-cruises/celebrity-beyond/cruises</t>
  </si>
  <si>
    <t>https://prod.odysiacruise.com/cruise-lines/celebrity-cruises/celebrity-constellation</t>
  </si>
  <si>
    <t>https://prod.odysiacruise.com/cruise-lines/celebrity-cruises/celebrity-constellation/cruises</t>
  </si>
  <si>
    <t>https://prod.odysiacruise.com/cruise-lines/celebrity-cruises/celebrity-eclipse</t>
  </si>
  <si>
    <t>https://prod.odysiacruise.com/cruise-lines/celebrity-cruises/celebrity-eclipse/cruises</t>
  </si>
  <si>
    <t>https://prod.odysiacruise.com/cruise-lines/celebrity-cruises/celebrity-edge</t>
  </si>
  <si>
    <t>https://prod.odysiacruise.com/cruise-lines/celebrity-cruises/celebrity-edge/cruises</t>
  </si>
  <si>
    <t>https://prod.odysiacruise.com/cruise-lines/celebrity-cruises/celebrity-equinox</t>
  </si>
  <si>
    <t>https://prod.odysiacruise.com/cruise-lines/celebrity-cruises/celebrity-equinox/cruises</t>
  </si>
  <si>
    <t>https://prod.odysiacruise.com/cruise-lines/celebrity-cruises/celebrity-flora</t>
  </si>
  <si>
    <t>https://prod.odysiacruise.com/cruise-lines/celebrity-cruises/celebrity-flora/cruises</t>
  </si>
  <si>
    <t>https://prod.odysiacruise.com/cruise-lines/celebrity-cruises/celebrity-infinity</t>
  </si>
  <si>
    <t>https://prod.odysiacruise.com/cruise-lines/celebrity-cruises/celebrity-infinity/cruises</t>
  </si>
  <si>
    <t>https://prod.odysiacruise.com/cruise-lines/celebrity-cruises/celebrity-millennium</t>
  </si>
  <si>
    <t>https://prod.odysiacruise.com/cruise-lines/celebrity-cruises/celebrity-millennium/cruises</t>
  </si>
  <si>
    <t>https://prod.odysiacruise.com/cruise-lines/celebrity-cruises/celebrity-reflection</t>
  </si>
  <si>
    <t>https://prod.odysiacruise.com/cruise-lines/celebrity-cruises/celebrity-reflection/cruises</t>
  </si>
  <si>
    <t>https://prod.odysiacruise.com/cruise-lines/celebrity-cruises/celebrity-silhouette</t>
  </si>
  <si>
    <t>https://prod.odysiacruise.com/cruise-lines/celebrity-cruises/celebrity-silhouette/cruises</t>
  </si>
  <si>
    <t>https://prod.odysiacruise.com/cruise-lines/celebrity-cruises/celebrity-solstice</t>
  </si>
  <si>
    <t>https://prod.odysiacruise.com/cruise-lines/celebrity-cruises/celebrity-solstice/cruises</t>
  </si>
  <si>
    <t>https://prod.odysiacruise.com/cruise-lines/celebrity-cruises/celebrity-summit</t>
  </si>
  <si>
    <t>https://prod.odysiacruise.com/cruise-lines/celebrity-cruises/celebrity-summit/cruises</t>
  </si>
  <si>
    <t>https://prod.odysiacruise.com/cruise-lines/celebrity-cruises/celebrity-xcel</t>
  </si>
  <si>
    <t>https://prod.odysiacruise.com/cruise-lines/celebrity-cruises/celebrity-xcel/cruises</t>
  </si>
  <si>
    <t>https://prod.odysiacruise.com/cruise-lines/celebrity-cruises/cruises</t>
  </si>
  <si>
    <t>https://prod.odysiacruise.com/cruise-lines/costa-cruises</t>
  </si>
  <si>
    <t>https://prod.odysiacruise.com/cruise-lines/costa-cruises/costa-deliziosa</t>
  </si>
  <si>
    <t>https://prod.odysiacruise.com/cruise-lines/costa-cruises/costa-deliziosa/cruises</t>
  </si>
  <si>
    <t>https://prod.odysiacruise.com/cruise-lines/costa-cruises/costa-diadema</t>
  </si>
  <si>
    <t>https://prod.odysiacruise.com/cruise-lines/costa-cruises/costa-diadema/cruises</t>
  </si>
  <si>
    <t>https://prod.odysiacruise.com/cruise-lines/costa-cruises/costa-fascinosa</t>
  </si>
  <si>
    <t>https://prod.odysiacruise.com/cruise-lines/costa-cruises/costa-fascinosa/cruises</t>
  </si>
  <si>
    <t>https://prod.odysiacruise.com/cruise-lines/costa-cruises/costa-favolosa</t>
  </si>
  <si>
    <t>https://prod.odysiacruise.com/cruise-lines/costa-cruises/costa-favolosa/cruises</t>
  </si>
  <si>
    <t>https://prod.odysiacruise.com/cruise-lines/costa-cruises/costa-fortuna</t>
  </si>
  <si>
    <t>https://prod.odysiacruise.com/cruise-lines/costa-cruises/costa-fortuna/cruises</t>
  </si>
  <si>
    <t>https://prod.odysiacruise.com/cruise-lines/costa-cruises/costa-pacifica</t>
  </si>
  <si>
    <t>https://prod.odysiacruise.com/cruise-lines/costa-cruises/costa-pacifica/cruises</t>
  </si>
  <si>
    <t>https://prod.odysiacruise.com/cruise-lines/costa-cruises/costa-serena</t>
  </si>
  <si>
    <t>https://prod.odysiacruise.com/cruise-lines/costa-cruises/costa-serena/cruises</t>
  </si>
  <si>
    <t>https://prod.odysiacruise.com/cruise-lines/costa-cruises/costa-smeralda</t>
  </si>
  <si>
    <t>https://prod.odysiacruise.com/cruise-lines/costa-cruises/costa-smeralda/cruises</t>
  </si>
  <si>
    <t>https://prod.odysiacruise.com/cruise-lines/costa-cruises/costa-toscana</t>
  </si>
  <si>
    <t>https://prod.odysiacruise.com/cruise-lines/costa-cruises/costa-toscana/cruises</t>
  </si>
  <si>
    <t>https://prod.odysiacruise.com/cruise-lines/costa-cruises/cruises</t>
  </si>
  <si>
    <t>https://prod.odysiacruise.com/cruise-lines/cunard</t>
  </si>
  <si>
    <t>https://prod.odysiacruise.com/cruise-lines/cunard/cruises</t>
  </si>
  <si>
    <t>https://prod.odysiacruise.com/cruise-lines/cunard/queen-anne</t>
  </si>
  <si>
    <t>https://prod.odysiacruise.com/cruise-lines/cunard/queen-anne/cruises</t>
  </si>
  <si>
    <t>https://prod.odysiacruise.com/cruise-lines/cunard/queen-elizabeth</t>
  </si>
  <si>
    <t>https://prod.odysiacruise.com/cruise-lines/cunard/queen-elizabeth/cruises</t>
  </si>
  <si>
    <t>https://prod.odysiacruise.com/cruise-lines/cunard/queen-mary-2</t>
  </si>
  <si>
    <t>https://prod.odysiacruise.com/cruise-lines/cunard/queen-mary-2/cruises</t>
  </si>
  <si>
    <t>https://prod.odysiacruise.com/cruise-lines/cunard/queen-victoria</t>
  </si>
  <si>
    <t>https://prod.odysiacruise.com/cruise-lines/cunard/queen-victoria/cruises</t>
  </si>
  <si>
    <t>https://prod.odysiacruise.com/cruise-lines/explora-journeys</t>
  </si>
  <si>
    <t>https://prod.odysiacruise.com/cruise-lines/explora-journeys/cruises</t>
  </si>
  <si>
    <t>https://prod.odysiacruise.com/cruise-lines/explora-journeys/explora-i</t>
  </si>
  <si>
    <t>https://prod.odysiacruise.com/cruise-lines/explora-journeys/explora-i/cruises</t>
  </si>
  <si>
    <t>https://prod.odysiacruise.com/cruise-lines/explora-journeys/explora-ii</t>
  </si>
  <si>
    <t>https://prod.odysiacruise.com/cruise-lines/explora-journeys/explora-ii/cruises</t>
  </si>
  <si>
    <t>https://prod.odysiacruise.com/cruise-lines/explora-journeys/explora-iii</t>
  </si>
  <si>
    <t>https://prod.odysiacruise.com/cruise-lines/explora-journeys/explora-iii/cruises</t>
  </si>
  <si>
    <t>https://prod.odysiacruise.com/cruise-lines/fred-olsen-cruises</t>
  </si>
  <si>
    <t>https://prod.odysiacruise.com/cruise-lines/fred-olsen-cruises/balmoral</t>
  </si>
  <si>
    <t>https://prod.odysiacruise.com/cruise-lines/fred-olsen-cruises/balmoral/cruises</t>
  </si>
  <si>
    <t>https://prod.odysiacruise.com/cruise-lines/fred-olsen-cruises/bolette</t>
  </si>
  <si>
    <t>https://prod.odysiacruise.com/cruise-lines/fred-olsen-cruises/bolette/cruises</t>
  </si>
  <si>
    <t>https://prod.odysiacruise.com/cruise-lines/fred-olsen-cruises/borealis</t>
  </si>
  <si>
    <t>https://prod.odysiacruise.com/cruise-lines/fred-olsen-cruises/borealis/cruises</t>
  </si>
  <si>
    <t>https://prod.odysiacruise.com/cruise-lines/fred-olsen-cruises/cruises</t>
  </si>
  <si>
    <t>https://prod.odysiacruise.com/cruise-lines/holland-america-line</t>
  </si>
  <si>
    <t>https://prod.odysiacruise.com/cruise-lines/holland-america-line/eurodam</t>
  </si>
  <si>
    <t>https://prod.odysiacruise.com/cruise-lines/holland-america-line/eurodam/cruises</t>
  </si>
  <si>
    <t>https://prod.odysiacruise.com/cruise-lines/holland-america-line/koningsdam</t>
  </si>
  <si>
    <t>https://prod.odysiacruise.com/cruise-lines/holland-america-line/koningsdam/cruises</t>
  </si>
  <si>
    <t>https://prod.odysiacruise.com/cruise-lines/holland-america-line/nieuw-amsterdam</t>
  </si>
  <si>
    <t>https://prod.odysiacruise.com/cruise-lines/holland-america-line/nieuw-amsterdam/cruises</t>
  </si>
  <si>
    <t>https://prod.odysiacruise.com/cruise-lines/holland-america-line/nieuw-statendam</t>
  </si>
  <si>
    <t>https://prod.odysiacruise.com/cruise-lines/holland-america-line/nieuw-statendam/cruises</t>
  </si>
  <si>
    <t>https://prod.odysiacruise.com/cruise-lines/holland-america-line/noordam</t>
  </si>
  <si>
    <t>https://prod.odysiacruise.com/cruise-lines/holland-america-line/noordam/cruises</t>
  </si>
  <si>
    <t>https://prod.odysiacruise.com/cruise-lines/holland-america-line/oosterdam</t>
  </si>
  <si>
    <t>https://prod.odysiacruise.com/cruise-lines/holland-america-line/oosterdam/cruises</t>
  </si>
  <si>
    <t>https://prod.odysiacruise.com/cruise-lines/holland-america-line/rotterdam</t>
  </si>
  <si>
    <t>https://prod.odysiacruise.com/cruise-lines/holland-america-line/rotterdam/cruises</t>
  </si>
  <si>
    <t>https://prod.odysiacruise.com/cruise-lines/holland-america-line/volendam</t>
  </si>
  <si>
    <t>https://prod.odysiacruise.com/cruise-lines/holland-america-line/volendam/cruises</t>
  </si>
  <si>
    <t>https://prod.odysiacruise.com/cruise-lines/holland-america-line/westerdam</t>
  </si>
  <si>
    <t>https://prod.odysiacruise.com/cruise-lines/holland-america-line/westerdam/cruises</t>
  </si>
  <si>
    <t>https://prod.odysiacruise.com/cruise-lines/holland-america-line/zaandam</t>
  </si>
  <si>
    <t>https://prod.odysiacruise.com/cruise-lines/holland-america-line/zaandam/cruises</t>
  </si>
  <si>
    <t>https://prod.odysiacruise.com/cruise-lines/holland-america-line/zuiderdam</t>
  </si>
  <si>
    <t>https://prod.odysiacruise.com/cruise-lines/holland-america-line/zuiderdam/cruises</t>
  </si>
  <si>
    <t>https://prod.odysiacruise.com/cruise-lines/msc-cruises</t>
  </si>
  <si>
    <t>https://prod.odysiacruise.com/cruise-lines/msc-cruises/cruises</t>
  </si>
  <si>
    <t>https://prod.odysiacruise.com/cruise-lines/msc-cruises/msc-armonia</t>
  </si>
  <si>
    <t>https://prod.odysiacruise.com/cruise-lines/msc-cruises/msc-armonia/cruises</t>
  </si>
  <si>
    <t>https://prod.odysiacruise.com/cruise-lines/msc-cruises/msc-bellissima</t>
  </si>
  <si>
    <t>https://prod.odysiacruise.com/cruise-lines/msc-cruises/msc-bellissima/cruises</t>
  </si>
  <si>
    <t>https://prod.odysiacruise.com/cruise-lines/msc-cruises/msc-divina</t>
  </si>
  <si>
    <t>https://prod.odysiacruise.com/cruise-lines/msc-cruises/msc-divina/cruises</t>
  </si>
  <si>
    <t>https://prod.odysiacruise.com/cruise-lines/msc-cruises/msc-euribia</t>
  </si>
  <si>
    <t>https://prod.odysiacruise.com/cruise-lines/msc-cruises/msc-euribia/cruises</t>
  </si>
  <si>
    <t>https://prod.odysiacruise.com/cruise-lines/msc-cruises/msc-fantasia</t>
  </si>
  <si>
    <t>https://prod.odysiacruise.com/cruise-lines/msc-cruises/msc-fantasia/cruises</t>
  </si>
  <si>
    <t>https://prod.odysiacruise.com/cruise-lines/msc-cruises/msc-grandiosa</t>
  </si>
  <si>
    <t>https://prod.odysiacruise.com/cruise-lines/msc-cruises/msc-grandiosa/cruises</t>
  </si>
  <si>
    <t>https://prod.odysiacruise.com/cruise-lines/msc-cruises/msc-lirica</t>
  </si>
  <si>
    <t>https://prod.odysiacruise.com/cruise-lines/msc-cruises/msc-lirica/cruises</t>
  </si>
  <si>
    <t>https://prod.odysiacruise.com/cruise-lines/msc-cruises/msc-magnifica</t>
  </si>
  <si>
    <t>https://prod.odysiacruise.com/cruise-lines/msc-cruises/msc-magnifica/cruises</t>
  </si>
  <si>
    <t>https://prod.odysiacruise.com/cruise-lines/msc-cruises/msc-meraviglia</t>
  </si>
  <si>
    <t>https://prod.odysiacruise.com/cruise-lines/msc-cruises/msc-meraviglia/cruises</t>
  </si>
  <si>
    <t>https://prod.odysiacruise.com/cruise-lines/msc-cruises/msc-musica</t>
  </si>
  <si>
    <t>https://prod.odysiacruise.com/cruise-lines/msc-cruises/msc-musica/cruises</t>
  </si>
  <si>
    <t>https://prod.odysiacruise.com/cruise-lines/msc-cruises/msc-opera</t>
  </si>
  <si>
    <t>https://prod.odysiacruise.com/cruise-lines/msc-cruises/msc-opera/cruises</t>
  </si>
  <si>
    <t>https://prod.odysiacruise.com/cruise-lines/msc-cruises/msc-orchestra</t>
  </si>
  <si>
    <t>https://prod.odysiacruise.com/cruise-lines/msc-cruises/msc-orchestra/cruises</t>
  </si>
  <si>
    <t>https://prod.odysiacruise.com/cruise-lines/msc-cruises/msc-poesia</t>
  </si>
  <si>
    <t>https://prod.odysiacruise.com/cruise-lines/msc-cruises/msc-poesia/cruises</t>
  </si>
  <si>
    <t>https://prod.odysiacruise.com/cruise-lines/msc-cruises/msc-preziosa</t>
  </si>
  <si>
    <t>https://prod.odysiacruise.com/cruise-lines/msc-cruises/msc-preziosa/cruises</t>
  </si>
  <si>
    <t>https://prod.odysiacruise.com/cruise-lines/msc-cruises/msc-seascape</t>
  </si>
  <si>
    <t>https://prod.odysiacruise.com/cruise-lines/msc-cruises/msc-seascape/cruises</t>
  </si>
  <si>
    <t>https://prod.odysiacruise.com/cruise-lines/msc-cruises/msc-seashore</t>
  </si>
  <si>
    <t>https://prod.odysiacruise.com/cruise-lines/msc-cruises/msc-seashore/cruises</t>
  </si>
  <si>
    <t>https://prod.odysiacruise.com/cruise-lines/msc-cruises/msc-seaside</t>
  </si>
  <si>
    <t>https://prod.odysiacruise.com/cruise-lines/msc-cruises/msc-seaside/cruises</t>
  </si>
  <si>
    <t>https://prod.odysiacruise.com/cruise-lines/msc-cruises/msc-seaview</t>
  </si>
  <si>
    <t>https://prod.odysiacruise.com/cruise-lines/msc-cruises/msc-seaview/cruises</t>
  </si>
  <si>
    <t>https://prod.odysiacruise.com/cruise-lines/msc-cruises/msc-sinfonia</t>
  </si>
  <si>
    <t>https://prod.odysiacruise.com/cruise-lines/msc-cruises/msc-sinfonia/cruises</t>
  </si>
  <si>
    <t>https://prod.odysiacruise.com/cruise-lines/msc-cruises/msc-splendida</t>
  </si>
  <si>
    <t>https://prod.odysiacruise.com/cruise-lines/msc-cruises/msc-splendida/cruises</t>
  </si>
  <si>
    <t>https://prod.odysiacruise.com/cruise-lines/msc-cruises/msc-virtuosa</t>
  </si>
  <si>
    <t>https://prod.odysiacruise.com/cruise-lines/msc-cruises/msc-virtuosa/cruises</t>
  </si>
  <si>
    <t>https://prod.odysiacruise.com/cruise-lines/msc-cruises/msc-world-america</t>
  </si>
  <si>
    <t>https://prod.odysiacruise.com/cruise-lines/msc-cruises/msc-world-america/cruises</t>
  </si>
  <si>
    <t>https://prod.odysiacruise.com/cruise-lines/msc-cruises/msc-world-europa</t>
  </si>
  <si>
    <t>https://prod.odysiacruise.com/cruise-lines/msc-cruises/msc-world-europa/cruises</t>
  </si>
  <si>
    <t>https://prod.odysiacruise.com/cruise-lines/norwegian-cruise-line</t>
  </si>
  <si>
    <t>https://prod.odysiacruise.com/cruise-lines/norwegian-cruise-line/cruises</t>
  </si>
  <si>
    <t>https://prod.odysiacruise.com/cruise-lines/norwegian-cruise-line/norwegian-aqua</t>
  </si>
  <si>
    <t>https://prod.odysiacruise.com/cruise-lines/norwegian-cruise-line/norwegian-aqua/cruises</t>
  </si>
  <si>
    <t>https://prod.odysiacruise.com/cruise-lines/norwegian-cruise-line/norwegian-bliss</t>
  </si>
  <si>
    <t>https://prod.odysiacruise.com/cruise-lines/norwegian-cruise-line/norwegian-bliss/cruises</t>
  </si>
  <si>
    <t>https://prod.odysiacruise.com/cruise-lines/norwegian-cruise-line/norwegian-breakaway</t>
  </si>
  <si>
    <t>https://prod.odysiacruise.com/cruise-lines/norwegian-cruise-line/norwegian-breakaway/cruises</t>
  </si>
  <si>
    <t>https://prod.odysiacruise.com/cruise-lines/norwegian-cruise-line/norwegian-dawn</t>
  </si>
  <si>
    <t>https://prod.odysiacruise.com/cruise-lines/norwegian-cruise-line/norwegian-dawn/cruises</t>
  </si>
  <si>
    <t>https://prod.odysiacruise.com/cruise-lines/norwegian-cruise-line/norwegian-encore</t>
  </si>
  <si>
    <t>https://prod.odysiacruise.com/cruise-lines/norwegian-cruise-line/norwegian-encore/cruises</t>
  </si>
  <si>
    <t>https://prod.odysiacruise.com/cruise-lines/norwegian-cruise-line/norwegian-epic</t>
  </si>
  <si>
    <t>https://prod.odysiacruise.com/cruise-lines/norwegian-cruise-line/norwegian-epic/cruises</t>
  </si>
  <si>
    <t>https://prod.odysiacruise.com/cruise-lines/norwegian-cruise-line/norwegian-escape</t>
  </si>
  <si>
    <t>https://prod.odysiacruise.com/cruise-lines/norwegian-cruise-line/norwegian-escape/cruises</t>
  </si>
  <si>
    <t>https://prod.odysiacruise.com/cruise-lines/norwegian-cruise-line/norwegian-gem</t>
  </si>
  <si>
    <t>https://prod.odysiacruise.com/cruise-lines/norwegian-cruise-line/norwegian-gem/cruises</t>
  </si>
  <si>
    <t>https://prod.odysiacruise.com/cruise-lines/norwegian-cruise-line/norwegian-getaway</t>
  </si>
  <si>
    <t>https://prod.odysiacruise.com/cruise-lines/norwegian-cruise-line/norwegian-getaway/cruises</t>
  </si>
  <si>
    <t>https://prod.odysiacruise.com/cruise-lines/norwegian-cruise-line/norwegian-jade</t>
  </si>
  <si>
    <t>https://prod.odysiacruise.com/cruise-lines/norwegian-cruise-line/norwegian-jade/cruises</t>
  </si>
  <si>
    <t>https://prod.odysiacruise.com/cruise-lines/norwegian-cruise-line/norwegian-jewel</t>
  </si>
  <si>
    <t>https://prod.odysiacruise.com/cruise-lines/norwegian-cruise-line/norwegian-jewel/cruises</t>
  </si>
  <si>
    <t>https://prod.odysiacruise.com/cruise-lines/norwegian-cruise-line/norwegian-joy</t>
  </si>
  <si>
    <t>https://prod.odysiacruise.com/cruise-lines/norwegian-cruise-line/norwegian-joy/cruises</t>
  </si>
  <si>
    <t>https://prod.odysiacruise.com/cruise-lines/norwegian-cruise-line/norwegian-luna</t>
  </si>
  <si>
    <t>https://prod.odysiacruise.com/cruise-lines/norwegian-cruise-line/norwegian-luna/cruises</t>
  </si>
  <si>
    <t>https://prod.odysiacruise.com/cruise-lines/norwegian-cruise-line/norwegian-pearl</t>
  </si>
  <si>
    <t>https://prod.odysiacruise.com/cruise-lines/norwegian-cruise-line/norwegian-pearl/cruises</t>
  </si>
  <si>
    <t>https://prod.odysiacruise.com/cruise-lines/norwegian-cruise-line/norwegian-prima</t>
  </si>
  <si>
    <t>https://prod.odysiacruise.com/cruise-lines/norwegian-cruise-line/norwegian-prima/cruises</t>
  </si>
  <si>
    <t>https://prod.odysiacruise.com/cruise-lines/norwegian-cruise-line/norwegian-sky</t>
  </si>
  <si>
    <t>https://prod.odysiacruise.com/cruise-lines/norwegian-cruise-line/norwegian-sky/cruises</t>
  </si>
  <si>
    <t>https://prod.odysiacruise.com/cruise-lines/norwegian-cruise-line/norwegian-spirit</t>
  </si>
  <si>
    <t>https://prod.odysiacruise.com/cruise-lines/norwegian-cruise-line/norwegian-spirit/cruises</t>
  </si>
  <si>
    <t>https://prod.odysiacruise.com/cruise-lines/norwegian-cruise-line/norwegian-star</t>
  </si>
  <si>
    <t>https://prod.odysiacruise.com/cruise-lines/norwegian-cruise-line/norwegian-star/cruises</t>
  </si>
  <si>
    <t>https://prod.odysiacruise.com/cruise-lines/norwegian-cruise-line/norwegian-sun</t>
  </si>
  <si>
    <t>https://prod.odysiacruise.com/cruise-lines/norwegian-cruise-line/norwegian-sun/cruises</t>
  </si>
  <si>
    <t>https://prod.odysiacruise.com/cruise-lines/norwegian-cruise-line/norwegian-viva</t>
  </si>
  <si>
    <t>https://prod.odysiacruise.com/cruise-lines/norwegian-cruise-line/norwegian-viva/cruises</t>
  </si>
  <si>
    <t>https://prod.odysiacruise.com/cruise-lines/norwegian-cruise-line/pride-of-america</t>
  </si>
  <si>
    <t>https://prod.odysiacruise.com/cruise-lines/norwegian-cruise-line/pride-of-america/cruises</t>
  </si>
  <si>
    <t>https://prod.odysiacruise.com/cruise-lines/oceania-cruises</t>
  </si>
  <si>
    <t>https://prod.odysiacruise.com/cruise-lines/oceania-cruises/cruises</t>
  </si>
  <si>
    <t>https://prod.odysiacruise.com/cruise-lines/oceania-cruises/oceania-allura</t>
  </si>
  <si>
    <t>https://prod.odysiacruise.com/cruise-lines/oceania-cruises/oceania-allura/cruises</t>
  </si>
  <si>
    <t>https://prod.odysiacruise.com/cruise-lines/oceania-cruises/oceania-insignia</t>
  </si>
  <si>
    <t>https://prod.odysiacruise.com/cruise-lines/oceania-cruises/oceania-insignia/cruises</t>
  </si>
  <si>
    <t>https://prod.odysiacruise.com/cruise-lines/oceania-cruises/oceania-marina</t>
  </si>
  <si>
    <t>https://prod.odysiacruise.com/cruise-lines/oceania-cruises/oceania-marina/cruises</t>
  </si>
  <si>
    <t>https://prod.odysiacruise.com/cruise-lines/oceania-cruises/oceania-nautica</t>
  </si>
  <si>
    <t>https://prod.odysiacruise.com/cruise-lines/oceania-cruises/oceania-nautica/cruises</t>
  </si>
  <si>
    <t>https://prod.odysiacruise.com/cruise-lines/oceania-cruises/oceania-regatta</t>
  </si>
  <si>
    <t>https://prod.odysiacruise.com/cruise-lines/oceania-cruises/oceania-regatta/cruises</t>
  </si>
  <si>
    <t>https://prod.odysiacruise.com/cruise-lines/oceania-cruises/oceania-riviera</t>
  </si>
  <si>
    <t>https://prod.odysiacruise.com/cruise-lines/oceania-cruises/oceania-riviera/cruises</t>
  </si>
  <si>
    <t>https://prod.odysiacruise.com/cruise-lines/oceania-cruises/oceania-sirena</t>
  </si>
  <si>
    <t>https://prod.odysiacruise.com/cruise-lines/oceania-cruises/oceania-sirena/cruises</t>
  </si>
  <si>
    <t>https://prod.odysiacruise.com/cruise-lines/oceania-cruises/oceania-vista</t>
  </si>
  <si>
    <t>https://prod.odysiacruise.com/cruise-lines/oceania-cruises/oceania-vista/cruises</t>
  </si>
  <si>
    <t>https://prod.odysiacruise.com/cruise-lines/po-cruises</t>
  </si>
  <si>
    <t>https://prod.odysiacruise.com/cruise-lines/po-cruises/arcadia</t>
  </si>
  <si>
    <t>https://prod.odysiacruise.com/cruise-lines/po-cruises/arcadia/cruises</t>
  </si>
  <si>
    <t>https://prod.odysiacruise.com/cruise-lines/po-cruises/arvia</t>
  </si>
  <si>
    <t>https://prod.odysiacruise.com/cruise-lines/po-cruises/arvia/cruises</t>
  </si>
  <si>
    <t>https://prod.odysiacruise.com/cruise-lines/po-cruises/aurora</t>
  </si>
  <si>
    <t>https://prod.odysiacruise.com/cruise-lines/po-cruises/aurora/cruises</t>
  </si>
  <si>
    <t>https://prod.odysiacruise.com/cruise-lines/po-cruises/azura</t>
  </si>
  <si>
    <t>https://prod.odysiacruise.com/cruise-lines/po-cruises/azura/cruises</t>
  </si>
  <si>
    <t>https://prod.odysiacruise.com/cruise-lines/po-cruises/britannia</t>
  </si>
  <si>
    <t>https://prod.odysiacruise.com/cruise-lines/po-cruises/britannia/cruises</t>
  </si>
  <si>
    <t>https://prod.odysiacruise.com/cruise-lines/po-cruises/cruises</t>
  </si>
  <si>
    <t>https://prod.odysiacruise.com/cruise-lines/po-cruises/iona</t>
  </si>
  <si>
    <t>https://prod.odysiacruise.com/cruise-lines/po-cruises/iona/cruises</t>
  </si>
  <si>
    <t>https://prod.odysiacruise.com/cruise-lines/po-cruises/ventura</t>
  </si>
  <si>
    <t>https://prod.odysiacruise.com/cruise-lines/po-cruises/ventura/cruises</t>
  </si>
  <si>
    <t>https://prod.odysiacruise.com/cruise-lines/princess-cruises</t>
  </si>
  <si>
    <t>https://prod.odysiacruise.com/cruise-lines/princess-cruises/caribbean-princess</t>
  </si>
  <si>
    <t>https://prod.odysiacruise.com/cruise-lines/princess-cruises/caribbean-princess/cruises</t>
  </si>
  <si>
    <t>https://prod.odysiacruise.com/cruise-lines/princess-cruises/coral-princess</t>
  </si>
  <si>
    <t>https://prod.odysiacruise.com/cruise-lines/princess-cruises/coral-princess/cruises</t>
  </si>
  <si>
    <t>https://prod.odysiacruise.com/cruise-lines/princess-cruises/crown-princess</t>
  </si>
  <si>
    <t>https://prod.odysiacruise.com/cruise-lines/princess-cruises/crown-princess/cruises</t>
  </si>
  <si>
    <t>https://prod.odysiacruise.com/cruise-lines/princess-cruises/cruises</t>
  </si>
  <si>
    <t>https://prod.odysiacruise.com/cruise-lines/princess-cruises/diamond-princess</t>
  </si>
  <si>
    <t>https://prod.odysiacruise.com/cruise-lines/princess-cruises/diamond-princess/cruises</t>
  </si>
  <si>
    <t>https://prod.odysiacruise.com/cruise-lines/princess-cruises/discovery-princess</t>
  </si>
  <si>
    <t>https://prod.odysiacruise.com/cruise-lines/princess-cruises/discovery-princess/cruises</t>
  </si>
  <si>
    <t>https://prod.odysiacruise.com/cruise-lines/princess-cruises/emerald-princess</t>
  </si>
  <si>
    <t>https://prod.odysiacruise.com/cruise-lines/princess-cruises/emerald-princess/cruises</t>
  </si>
  <si>
    <t>https://prod.odysiacruise.com/cruise-lines/princess-cruises/enchanted-princess</t>
  </si>
  <si>
    <t>https://prod.odysiacruise.com/cruise-lines/princess-cruises/enchanted-princess/cruises</t>
  </si>
  <si>
    <t>https://prod.odysiacruise.com/cruise-lines/princess-cruises/grand-princess</t>
  </si>
  <si>
    <t>https://prod.odysiacruise.com/cruise-lines/princess-cruises/grand-princess/cruises</t>
  </si>
  <si>
    <t>https://prod.odysiacruise.com/cruise-lines/princess-cruises/island-princess</t>
  </si>
  <si>
    <t>https://prod.odysiacruise.com/cruise-lines/princess-cruises/island-princess/cruises</t>
  </si>
  <si>
    <t>https://prod.odysiacruise.com/cruise-lines/princess-cruises/majestic-princess</t>
  </si>
  <si>
    <t>https://prod.odysiacruise.com/cruise-lines/princess-cruises/majestic-princess/cruises</t>
  </si>
  <si>
    <t>https://prod.odysiacruise.com/cruise-lines/princess-cruises/regal-princess</t>
  </si>
  <si>
    <t>https://prod.odysiacruise.com/cruise-lines/princess-cruises/regal-princess/cruises</t>
  </si>
  <si>
    <t>https://prod.odysiacruise.com/cruise-lines/princess-cruises/royal-princess</t>
  </si>
  <si>
    <t>https://prod.odysiacruise.com/cruise-lines/princess-cruises/royal-princess/cruises</t>
  </si>
  <si>
    <t>https://prod.odysiacruise.com/cruise-lines/princess-cruises/ruby-princess</t>
  </si>
  <si>
    <t>https://prod.odysiacruise.com/cruise-lines/princess-cruises/ruby-princess/cruises</t>
  </si>
  <si>
    <t>https://prod.odysiacruise.com/cruise-lines/princess-cruises/sapphire-princess</t>
  </si>
  <si>
    <t>https://prod.odysiacruise.com/cruise-lines/princess-cruises/sapphire-princess/cruises</t>
  </si>
  <si>
    <t>https://prod.odysiacruise.com/cruise-lines/princess-cruises/sky-princess</t>
  </si>
  <si>
    <t>https://prod.odysiacruise.com/cruise-lines/princess-cruises/sky-princess/cruises</t>
  </si>
  <si>
    <t>https://prod.odysiacruise.com/cruise-lines/princess-cruises/star-princess</t>
  </si>
  <si>
    <t>https://prod.odysiacruise.com/cruise-lines/princess-cruises/star-princess/cruises</t>
  </si>
  <si>
    <t>https://prod.odysiacruise.com/cruise-lines/princess-cruises/sun-princess</t>
  </si>
  <si>
    <t>https://prod.odysiacruise.com/cruise-lines/princess-cruises/sun-princess/cruises</t>
  </si>
  <si>
    <t>https://prod.odysiacruise.com/cruise-lines/regent-seven-seas-cruises</t>
  </si>
  <si>
    <t>https://prod.odysiacruise.com/cruise-lines/regent-seven-seas-cruises/cruises</t>
  </si>
  <si>
    <t>https://prod.odysiacruise.com/cruise-lines/regent-seven-seas-cruises/seven-seas-explorer</t>
  </si>
  <si>
    <t>https://prod.odysiacruise.com/cruise-lines/regent-seven-seas-cruises/seven-seas-explorer/cruises</t>
  </si>
  <si>
    <t>https://prod.odysiacruise.com/cruise-lines/regent-seven-seas-cruises/seven-seas-grandeur</t>
  </si>
  <si>
    <t>https://prod.odysiacruise.com/cruise-lines/regent-seven-seas-cruises/seven-seas-grandeur/cruises</t>
  </si>
  <si>
    <t>https://prod.odysiacruise.com/cruise-lines/regent-seven-seas-cruises/seven-seas-mariner</t>
  </si>
  <si>
    <t>https://prod.odysiacruise.com/cruise-lines/regent-seven-seas-cruises/seven-seas-mariner/cruises</t>
  </si>
  <si>
    <t>https://prod.odysiacruise.com/cruise-lines/regent-seven-seas-cruises/seven-seas-navigator</t>
  </si>
  <si>
    <t>https://prod.odysiacruise.com/cruise-lines/regent-seven-seas-cruises/seven-seas-splendor</t>
  </si>
  <si>
    <t>https://prod.odysiacruise.com/cruise-lines/regent-seven-seas-cruises/seven-seas-splendor/cruises</t>
  </si>
  <si>
    <t>https://prod.odysiacruise.com/cruise-lines/regent-seven-seas-cruises/seven-seas-voyager</t>
  </si>
  <si>
    <t>https://prod.odysiacruise.com/cruise-lines/regent-seven-seas-cruises/seven-seas-voyager/cruises</t>
  </si>
  <si>
    <t>https://prod.odysiacruise.com/cruise-lines/royal-caribbean</t>
  </si>
  <si>
    <t>https://prod.odysiacruise.com/cruise-lines/royal-caribbean/adventure-of-the-seas</t>
  </si>
  <si>
    <t>https://prod.odysiacruise.com/cruise-lines/royal-caribbean/adventure-of-the-seas/cruises</t>
  </si>
  <si>
    <t>https://prod.odysiacruise.com/cruise-lines/royal-caribbean/allure-of-the-seas</t>
  </si>
  <si>
    <t>https://prod.odysiacruise.com/cruise-lines/royal-caribbean/allure-of-the-seas/cruises</t>
  </si>
  <si>
    <t>https://prod.odysiacruise.com/cruise-lines/royal-caribbean/anthem-of-the-seas</t>
  </si>
  <si>
    <t>https://prod.odysiacruise.com/cruise-lines/royal-caribbean/anthem-of-the-seas/cruises</t>
  </si>
  <si>
    <t>https://prod.odysiacruise.com/cruise-lines/royal-caribbean/brilliance-of-the-seas</t>
  </si>
  <si>
    <t>https://prod.odysiacruise.com/cruise-lines/royal-caribbean/brilliance-of-the-seas/cruises</t>
  </si>
  <si>
    <t>https://prod.odysiacruise.com/cruise-lines/royal-caribbean/cruises</t>
  </si>
  <si>
    <t>https://prod.odysiacruise.com/cruise-lines/royal-caribbean/enchantment-of-the-seas</t>
  </si>
  <si>
    <t>https://prod.odysiacruise.com/cruise-lines/royal-caribbean/enchantment-of-the-seas/cruises</t>
  </si>
  <si>
    <t>https://prod.odysiacruise.com/cruise-lines/royal-caribbean/explorer-of-the-seas</t>
  </si>
  <si>
    <t>https://prod.odysiacruise.com/cruise-lines/royal-caribbean/explorer-of-the-seas/cruises</t>
  </si>
  <si>
    <t>https://prod.odysiacruise.com/cruise-lines/royal-caribbean/freedom-of-the-seas</t>
  </si>
  <si>
    <t>https://prod.odysiacruise.com/cruise-lines/royal-caribbean/freedom-of-the-seas/cruises</t>
  </si>
  <si>
    <t>https://prod.odysiacruise.com/cruise-lines/royal-caribbean/grandeur-of-the-seas</t>
  </si>
  <si>
    <t>https://prod.odysiacruise.com/cruise-lines/royal-caribbean/grandeur-of-the-seas/cruises</t>
  </si>
  <si>
    <t>https://prod.odysiacruise.com/cruise-lines/royal-caribbean/harmony-of-the-seas</t>
  </si>
  <si>
    <t>https://prod.odysiacruise.com/cruise-lines/royal-caribbean/harmony-of-the-seas/cruises</t>
  </si>
  <si>
    <t>https://prod.odysiacruise.com/cruise-lines/royal-caribbean/icon-of-the-seas</t>
  </si>
  <si>
    <t>https://prod.odysiacruise.com/cruise-lines/royal-caribbean/icon-of-the-seas/cruises</t>
  </si>
  <si>
    <t>https://prod.odysiacruise.com/cruise-lines/royal-caribbean/independence-of-the-seas</t>
  </si>
  <si>
    <t>https://prod.odysiacruise.com/cruise-lines/royal-caribbean/independence-of-the-seas/cruises</t>
  </si>
  <si>
    <t>https://prod.odysiacruise.com/cruise-lines/royal-caribbean/jewel-of-the-seas</t>
  </si>
  <si>
    <t>https://prod.odysiacruise.com/cruise-lines/royal-caribbean/jewel-of-the-seas/cruises</t>
  </si>
  <si>
    <t>https://prod.odysiacruise.com/cruise-lines/royal-caribbean/legend-of-the-seas</t>
  </si>
  <si>
    <t>https://prod.odysiacruise.com/cruise-lines/royal-caribbean/legend-of-the-seas/cruises</t>
  </si>
  <si>
    <t>https://prod.odysiacruise.com/cruise-lines/royal-caribbean/liberty-of-the-seas</t>
  </si>
  <si>
    <t>https://prod.odysiacruise.com/cruise-lines/royal-caribbean/liberty-of-the-seas/cruises</t>
  </si>
  <si>
    <t>https://prod.odysiacruise.com/cruise-lines/royal-caribbean/mariner-of-the-seas</t>
  </si>
  <si>
    <t>https://prod.odysiacruise.com/cruise-lines/royal-caribbean/mariner-of-the-seas/cruises</t>
  </si>
  <si>
    <t>https://prod.odysiacruise.com/cruise-lines/royal-caribbean/navigator-of-the-seas</t>
  </si>
  <si>
    <t>https://prod.odysiacruise.com/cruise-lines/royal-caribbean/navigator-of-the-seas/cruises</t>
  </si>
  <si>
    <t>https://prod.odysiacruise.com/cruise-lines/royal-caribbean/oasis-of-the-seas</t>
  </si>
  <si>
    <t>https://prod.odysiacruise.com/cruise-lines/royal-caribbean/oasis-of-the-seas/cruises</t>
  </si>
  <si>
    <t>https://prod.odysiacruise.com/cruise-lines/royal-caribbean/odyssey-of-the-seas</t>
  </si>
  <si>
    <t>https://prod.odysiacruise.com/cruise-lines/royal-caribbean/odyssey-of-the-seas/cruises</t>
  </si>
  <si>
    <t>https://prod.odysiacruise.com/cruise-lines/royal-caribbean/ovation-of-the-seas</t>
  </si>
  <si>
    <t>https://prod.odysiacruise.com/cruise-lines/royal-caribbean/ovation-of-the-seas/cruises</t>
  </si>
  <si>
    <t>https://prod.odysiacruise.com/cruise-lines/royal-caribbean/quantum-of-the-seas</t>
  </si>
  <si>
    <t>https://prod.odysiacruise.com/cruise-lines/royal-caribbean/quantum-of-the-seas/cruises</t>
  </si>
  <si>
    <t>https://prod.odysiacruise.com/cruise-lines/royal-caribbean/radiance-of-the-seas</t>
  </si>
  <si>
    <t>https://prod.odysiacruise.com/cruise-lines/royal-caribbean/radiance-of-the-seas/cruises</t>
  </si>
  <si>
    <t>https://prod.odysiacruise.com/cruise-lines/royal-caribbean/rhapsody-of-the-seas</t>
  </si>
  <si>
    <t>https://prod.odysiacruise.com/cruise-lines/royal-caribbean/rhapsody-of-the-seas/cruises</t>
  </si>
  <si>
    <t>https://prod.odysiacruise.com/cruise-lines/royal-caribbean/serenade-of-the-seas</t>
  </si>
  <si>
    <t>https://prod.odysiacruise.com/cruise-lines/royal-caribbean/serenade-of-the-seas/cruises</t>
  </si>
  <si>
    <t>https://prod.odysiacruise.com/cruise-lines/royal-caribbean/spectrum-of-the-seas</t>
  </si>
  <si>
    <t>https://prod.odysiacruise.com/cruise-lines/royal-caribbean/spectrum-of-the-seas/cruises</t>
  </si>
  <si>
    <t>https://prod.odysiacruise.com/cruise-lines/royal-caribbean/star-of-the-seas</t>
  </si>
  <si>
    <t>https://prod.odysiacruise.com/cruise-lines/royal-caribbean/star-of-the-seas/cruises</t>
  </si>
  <si>
    <t>https://prod.odysiacruise.com/cruise-lines/royal-caribbean/symphony-of-the-seas</t>
  </si>
  <si>
    <t>https://prod.odysiacruise.com/cruise-lines/royal-caribbean/symphony-of-the-seas/cruises</t>
  </si>
  <si>
    <t>https://prod.odysiacruise.com/cruise-lines/royal-caribbean/utopia-of-the-seas</t>
  </si>
  <si>
    <t>https://prod.odysiacruise.com/cruise-lines/royal-caribbean/utopia-of-the-seas/cruises</t>
  </si>
  <si>
    <t>https://prod.odysiacruise.com/cruise-lines/royal-caribbean/vision-of-the-seas</t>
  </si>
  <si>
    <t>https://prod.odysiacruise.com/cruise-lines/royal-caribbean/vision-of-the-seas/cruises</t>
  </si>
  <si>
    <t>https://prod.odysiacruise.com/cruise-lines/royal-caribbean/voyager-of-the-seas</t>
  </si>
  <si>
    <t>https://prod.odysiacruise.com/cruise-lines/royal-caribbean/wonder-of-the-seas</t>
  </si>
  <si>
    <t>https://prod.odysiacruise.com/cruise-lines/royal-caribbean/wonder-of-the-seas/cruises</t>
  </si>
  <si>
    <t>https://prod.odysiacruise.com/cruise-lines/seabourn</t>
  </si>
  <si>
    <t>https://prod.odysiacruise.com/cruise-lines/seabourn/cruises</t>
  </si>
  <si>
    <t>https://prod.odysiacruise.com/cruise-lines/seabourn/seabourn-encore</t>
  </si>
  <si>
    <t>https://prod.odysiacruise.com/cruise-lines/seabourn/seabourn-encore/cruises</t>
  </si>
  <si>
    <t>https://prod.odysiacruise.com/cruise-lines/seabourn/seabourn-ovation</t>
  </si>
  <si>
    <t>https://prod.odysiacruise.com/cruise-lines/seabourn/seabourn-ovation/cruises</t>
  </si>
  <si>
    <t>https://prod.odysiacruise.com/cruise-lines/seabourn/seabourn-pursuit</t>
  </si>
  <si>
    <t>https://prod.odysiacruise.com/cruise-lines/seabourn/seabourn-pursuit/cruises</t>
  </si>
  <si>
    <t>https://prod.odysiacruise.com/cruise-lines/seabourn/seabourn-quest</t>
  </si>
  <si>
    <t>https://prod.odysiacruise.com/cruise-lines/seabourn/seabourn-quest/cruises</t>
  </si>
  <si>
    <t>https://prod.odysiacruise.com/cruise-lines/seabourn/seabourn-sojourn</t>
  </si>
  <si>
    <t>https://prod.odysiacruise.com/cruise-lines/seabourn/seabourn-sojourn/cruises</t>
  </si>
  <si>
    <t>https://prod.odysiacruise.com/cruise-lines/seabourn/seabourn-venture</t>
  </si>
  <si>
    <t>https://prod.odysiacruise.com/cruise-lines/seabourn/seabourn-venture/cruises</t>
  </si>
  <si>
    <t>https://prod.odysiacruise.com/cruise-lines/virgin-voyages</t>
  </si>
  <si>
    <t>https://prod.odysiacruise.com/cruise-lines/virgin-voyages/brilliant-lady</t>
  </si>
  <si>
    <t>https://prod.odysiacruise.com/cruise-lines/virgin-voyages/brilliant-lady/cruises</t>
  </si>
  <si>
    <t>https://prod.odysiacruise.com/cruise-lines/virgin-voyages/cruises</t>
  </si>
  <si>
    <t>https://prod.odysiacruise.com/cruise-lines/virgin-voyages/resilient-lady</t>
  </si>
  <si>
    <t>https://prod.odysiacruise.com/cruise-lines/virgin-voyages/resilient-lady/cruises</t>
  </si>
  <si>
    <t>https://prod.odysiacruise.com/cruise-lines/virgin-voyages/scarlet-lady</t>
  </si>
  <si>
    <t>https://prod.odysiacruise.com/cruise-lines/virgin-voyages/scarlet-lady/cruises</t>
  </si>
  <si>
    <t>https://prod.odysiacruise.com/cruise-lines/virgin-voyages/valiant-lady</t>
  </si>
  <si>
    <t>https://prod.odysiacruise.com/cruise-lines/virgin-voyages/valiant-lady/cruises</t>
  </si>
  <si>
    <t>https://prod.odysiacruise.com/cruises</t>
  </si>
  <si>
    <t>https://prod.odysiacruise.com/destinations</t>
  </si>
  <si>
    <t>https://prod.odysiacruise.com/destinations/africa</t>
  </si>
  <si>
    <t>https://prod.odysiacruise.com/destinations/africa/cruises</t>
  </si>
  <si>
    <t>https://prod.odysiacruise.com/destinations/australasia</t>
  </si>
  <si>
    <t>https://prod.odysiacruise.com/destinations/australasia/cruises</t>
  </si>
  <si>
    <t>https://prod.odysiacruise.com/destinations/british-isles</t>
  </si>
  <si>
    <t>https://prod.odysiacruise.com/destinations/british-isles/cruises</t>
  </si>
  <si>
    <t>https://prod.odysiacruise.com/destinations/canada</t>
  </si>
  <si>
    <t>https://prod.odysiacruise.com/destinations/canary-islands</t>
  </si>
  <si>
    <t>https://prod.odysiacruise.com/destinations/canary-islands/cruises</t>
  </si>
  <si>
    <t>https://prod.odysiacruise.com/destinations/caribbean</t>
  </si>
  <si>
    <t>https://prod.odysiacruise.com/destinations/caribbean/cruises</t>
  </si>
  <si>
    <t>https://prod.odysiacruise.com/destinations/central-south-america</t>
  </si>
  <si>
    <t>https://prod.odysiacruise.com/destinations/central-south-america/cruises</t>
  </si>
  <si>
    <t>https://prod.odysiacruise.com/destinations/far-east</t>
  </si>
  <si>
    <t>https://prod.odysiacruise.com/destinations/far-east/cruises</t>
  </si>
  <si>
    <t>https://prod.odysiacruise.com/destinations/mediterranean</t>
  </si>
  <si>
    <t>https://prod.odysiacruise.com/destinations/mediterranean/cruises</t>
  </si>
  <si>
    <t>https://prod.odysiacruise.com/destinations/middle-east</t>
  </si>
  <si>
    <t>https://prod.odysiacruise.com/destinations/middle-east/cruises</t>
  </si>
  <si>
    <t>https://prod.odysiacruise.com/destinations/north-america</t>
  </si>
  <si>
    <t>https://prod.odysiacruise.com/destinations/north-america/cruises</t>
  </si>
  <si>
    <t>https://prod.odysiacruise.com/destinations/northern-europe</t>
  </si>
  <si>
    <t>https://prod.odysiacruise.com/destinations/northern-europe/cruises</t>
  </si>
  <si>
    <t>https://prod.odysiacruise.com/destinations/norway-norwegian-fjords</t>
  </si>
  <si>
    <t>https://prod.odysiacruise.com/destinations/norway-norwegian-fjords/cruises</t>
  </si>
  <si>
    <t>https://prod.odysiacruise.com/destinations/pacific-island-cruises</t>
  </si>
  <si>
    <t>https://prod.odysiacruise.com/destinations/polar-regions</t>
  </si>
  <si>
    <t>https://prod.odysiacruise.com/destinations/polar-regions/cruises</t>
  </si>
  <si>
    <t>https://prod.odysiacruise.com/destinations/scandinavia-baltic</t>
  </si>
  <si>
    <t>https://prod.odysiacruise.com/destinations/transatlantic</t>
  </si>
  <si>
    <t>https://prod.odysiacruise.com/destinations/transatlantic/cruises</t>
  </si>
  <si>
    <t>https://prod.odysiacruise.com/destinations/world</t>
  </si>
  <si>
    <t>https://prod.odysiacruise.com/destinations/world/cruises</t>
  </si>
  <si>
    <t>/cruise-lines/virgin-voyages/resilient-lady</t>
  </si>
  <si>
    <t>/cruises</t>
  </si>
  <si>
    <t>/cruise-lines/virgin-voyages/scarlet-lady</t>
  </si>
  <si>
    <t>/cruise-lines/virgin-voyages/valiant-lady</t>
  </si>
  <si>
    <t>/cruise-lines/virgin-voyages/brilliant-lady</t>
  </si>
  <si>
    <t>/cruise-lines/seabourn/seabourn-sojourn</t>
  </si>
  <si>
    <t>/cruise-lines/seabourn/seabourn-venture</t>
  </si>
  <si>
    <t>/cruise-lines/royal-caribbean/freedom-of-the-seas</t>
  </si>
  <si>
    <t>/cruise-lines/royal-caribbean/grandeur-of-the-seas</t>
  </si>
  <si>
    <t>/cruise-lines/royal-caribbean/harmony-of-the-seas</t>
  </si>
  <si>
    <t>/cruise-lines/royal-caribbean/icon-of-the-seas</t>
  </si>
  <si>
    <t>/cruise-lines/royal-caribbean/independence-of-the-seas</t>
  </si>
  <si>
    <t>/cruise-lines/royal-caribbean/jewel-of-the-seas</t>
  </si>
  <si>
    <t>/cruise-lines/royal-caribbean/legend-of-the-seas</t>
  </si>
  <si>
    <t>/cruise-lines/royal-caribbean/liberty-of-the-seas</t>
  </si>
  <si>
    <t>/cruise-lines/royal-caribbean/mariner-of-the-seas</t>
  </si>
  <si>
    <t>/cruise-lines/royal-caribbean/navigator-of-the-seas</t>
  </si>
  <si>
    <t>/cruise-lines/royal-caribbean/oasis-of-the-seas</t>
  </si>
  <si>
    <t>/cruise-lines/royal-caribbean/odyssey-of-the-seas</t>
  </si>
  <si>
    <t>/cruise-lines/royal-caribbean/ovation-of-the-seas</t>
  </si>
  <si>
    <t>/cruise-lines/royal-caribbean/quantum-of-the-seas</t>
  </si>
  <si>
    <t>/cruise-lines/royal-caribbean/radiance-of-the-seas</t>
  </si>
  <si>
    <t>/cruise-lines/royal-caribbean/rhapsody-of-the-seas</t>
  </si>
  <si>
    <t>/cruise-lines/royal-caribbean/serenade-of-the-seas</t>
  </si>
  <si>
    <t>/cruise-lines/royal-caribbean/spectrum-of-the-seas</t>
  </si>
  <si>
    <t>/cruise-lines/royal-caribbean/star-of-the-seas</t>
  </si>
  <si>
    <t>/cruise-lines/royal-caribbean/symphony-of-the-seas</t>
  </si>
  <si>
    <t>/cruise-lines/royal-caribbean/utopia-of-the-seas</t>
  </si>
  <si>
    <t>/cruise-lines/royal-caribbean/vision-of-the-seas</t>
  </si>
  <si>
    <t>/cruise-lines/royal-caribbean/voyager-of-the-seas</t>
  </si>
  <si>
    <t>/cruise-lines/royal-caribbean/wonder-of-the-seas</t>
  </si>
  <si>
    <t>Resilient Lady</t>
  </si>
  <si>
    <t xml:space="preserve"> Cruises</t>
  </si>
  <si>
    <t>Scarlet Lady</t>
  </si>
  <si>
    <t>Valiant Lady</t>
  </si>
  <si>
    <t>Brilliant Lady</t>
  </si>
  <si>
    <t>Seabourn Sojourn</t>
  </si>
  <si>
    <t>Seabourn Venture</t>
  </si>
  <si>
    <t>Freedom Of The Seas</t>
  </si>
  <si>
    <t>Grandeur Of The Seas</t>
  </si>
  <si>
    <t>Harmony Of The Seas</t>
  </si>
  <si>
    <t>Icon Of The Seas</t>
  </si>
  <si>
    <t>Independence Of The Seas</t>
  </si>
  <si>
    <t>Jewel Of The Seas</t>
  </si>
  <si>
    <t>Legend Of The Seas</t>
  </si>
  <si>
    <t>Liberty Of The Seas</t>
  </si>
  <si>
    <t>Mariner Of The Seas</t>
  </si>
  <si>
    <t>Navigator Of The Seas</t>
  </si>
  <si>
    <t>Oasis Of The Seas</t>
  </si>
  <si>
    <t>Odyssey Of The Seas</t>
  </si>
  <si>
    <t>Ovation Of The Seas</t>
  </si>
  <si>
    <t>Quantum Of The Seas</t>
  </si>
  <si>
    <t>Radiance Of The Seas</t>
  </si>
  <si>
    <t>Rhapsody Of The Seas</t>
  </si>
  <si>
    <t>Serenade Of The Seas</t>
  </si>
  <si>
    <t>Spectrum Of The Seas</t>
  </si>
  <si>
    <t>Star Of The Seas</t>
  </si>
  <si>
    <t>Symphony Of The Seas</t>
  </si>
  <si>
    <t>Utopia Of The Seas</t>
  </si>
  <si>
    <t>Vision Of The Seas</t>
  </si>
  <si>
    <t>Voyager Of The Seas</t>
  </si>
  <si>
    <t>Wonder Of The Seas</t>
  </si>
  <si>
    <t>Cruise Lines</t>
  </si>
  <si>
    <t>resilient-lady</t>
  </si>
  <si>
    <t>scarlet-lady</t>
  </si>
  <si>
    <t>valiant-lady</t>
  </si>
  <si>
    <t>brilliant-lady</t>
  </si>
  <si>
    <t>ovation-of-the-seas</t>
  </si>
  <si>
    <t>quantum-of-the-seas</t>
  </si>
  <si>
    <t>radiance-of-the-seas</t>
  </si>
  <si>
    <t>rhapsody-of-the-seas</t>
  </si>
  <si>
    <t>serenade-of-the-seas</t>
  </si>
  <si>
    <t>spectrum-of-the-seas</t>
  </si>
  <si>
    <t>star-of-the-seas</t>
  </si>
  <si>
    <t>symphony-of-the-seas</t>
  </si>
  <si>
    <t>utopia-of-the-seas</t>
  </si>
  <si>
    <t>vision-of-the-seas</t>
  </si>
  <si>
    <t>voyager-of-the-seas</t>
  </si>
  <si>
    <t>wonder-of-the-seas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</si>
</sst>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theme="1"/>
      <name val="DM Sans"/>
    </font>
    <font>
      <b/>
      <sz val="11.0"/>
      <color rgb="FFFFFFFF"/>
      <name val="DM Sans"/>
    </font>
    <font>
      <b/>
      <color rgb="FFFFFFFF"/>
      <name val="DM Sans"/>
    </font>
    <font>
      <b/>
      <color theme="1"/>
      <name val="DM Sans"/>
    </font>
    <font>
      <b/>
      <color rgb="FF000000"/>
      <name val="DM Sans"/>
    </font>
    <font/>
    <font>
      <color theme="1"/>
      <name val="Arial"/>
    </font>
    <font>
      <b/>
      <sz val="11.0"/>
      <color rgb="FFFFFFFF"/>
      <name val="&quot;DM Sans&quot;"/>
    </font>
    <font>
      <color rgb="FFFFFFFF"/>
      <name val="Arial"/>
    </font>
    <font>
      <color rgb="FFFCF7F0"/>
      <name val="DM Sans"/>
    </font>
    <font>
      <color theme="1"/>
      <name val="Arial"/>
      <scheme val="minor"/>
    </font>
    <font>
      <color rgb="FFFFFFFF"/>
      <name val="DM Sans"/>
    </font>
    <font>
      <u/>
      <color rgb="FF0000FF"/>
      <name val="DM Sans"/>
    </font>
    <font>
      <color rgb="FF000000"/>
      <name val="Arial"/>
    </font>
    <font>
      <color rgb="FF000000"/>
      <name val="Monospace"/>
    </font>
    <font>
      <u/>
      <color rgb="FF0000FF"/>
    </font>
    <font>
      <u/>
      <color rgb="FF0000FF"/>
    </font>
    <font>
      <u/>
      <color rgb="FF0000FF"/>
      <name val="DM Sans"/>
    </font>
    <font>
      <u/>
      <color rgb="FF1155CC"/>
      <name val="DM Sans"/>
    </font>
    <font>
      <u/>
      <color rgb="FF1155CC"/>
      <name val="DM Sans"/>
    </font>
    <font>
      <u/>
      <color rgb="FF0000FF"/>
      <name val="DM Sans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CF7F0"/>
        <bgColor rgb="FFFCF7F0"/>
      </patternFill>
    </fill>
    <fill>
      <patternFill patternType="solid">
        <fgColor rgb="FF2F3D4D"/>
        <bgColor rgb="FF2F3D4D"/>
      </patternFill>
    </fill>
    <fill>
      <patternFill patternType="solid">
        <fgColor rgb="FFC5864A"/>
        <bgColor rgb="FFC5864A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2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ck">
        <color rgb="FFFFFFFF"/>
      </bottom>
    </border>
    <border>
      <top style="thick">
        <color rgb="FF000000"/>
      </top>
      <bottom style="thick">
        <color rgb="FFFFFFFF"/>
      </bottom>
    </border>
    <border>
      <right style="thin">
        <color rgb="FF000000"/>
      </right>
      <top style="thick">
        <color rgb="FF000000"/>
      </top>
      <bottom style="thick">
        <color rgb="FFFFFFFF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1" fillId="3" fontId="1" numFmtId="0" xfId="0" applyAlignment="1" applyBorder="1" applyFill="1" applyFont="1">
      <alignment vertical="center"/>
    </xf>
    <xf borderId="2" fillId="3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0" fillId="2" fontId="2" numFmtId="0" xfId="0" applyAlignment="1" applyFont="1">
      <alignment horizontal="center" readingOrder="0" vertical="center"/>
    </xf>
    <xf borderId="3" fillId="4" fontId="2" numFmtId="0" xfId="0" applyAlignment="1" applyBorder="1" applyFill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/>
    </xf>
    <xf borderId="9" fillId="2" fontId="1" numFmtId="0" xfId="0" applyAlignment="1" applyBorder="1" applyFont="1">
      <alignment horizontal="center" readingOrder="0" vertical="center"/>
    </xf>
    <xf borderId="10" fillId="2" fontId="1" numFmtId="0" xfId="0" applyAlignment="1" applyBorder="1" applyFont="1">
      <alignment horizontal="center" readingOrder="0" vertical="center"/>
    </xf>
    <xf borderId="11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/>
    </xf>
    <xf borderId="13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readingOrder="0" vertical="bottom"/>
    </xf>
    <xf borderId="14" fillId="2" fontId="1" numFmtId="0" xfId="0" applyAlignment="1" applyBorder="1" applyFont="1">
      <alignment horizontal="center" readingOrder="0" vertical="center"/>
    </xf>
    <xf borderId="10" fillId="2" fontId="1" numFmtId="0" xfId="0" applyAlignment="1" applyBorder="1" applyFont="1">
      <alignment horizontal="center" readingOrder="0" shrinkToFit="0" vertical="center" wrapText="0"/>
    </xf>
    <xf borderId="15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shrinkToFit="0" wrapText="1"/>
    </xf>
    <xf borderId="11" fillId="2" fontId="1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 readingOrder="0" shrinkToFit="0" vertical="center" wrapText="1"/>
    </xf>
    <xf borderId="9" fillId="2" fontId="1" numFmtId="0" xfId="0" applyAlignment="1" applyBorder="1" applyFont="1">
      <alignment horizontal="center" readingOrder="0" shrinkToFit="0" wrapText="1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11" fillId="2" fontId="1" numFmtId="0" xfId="0" applyAlignment="1" applyBorder="1" applyFont="1">
      <alignment horizontal="center" readingOrder="0" shrinkToFit="0" wrapText="1"/>
    </xf>
    <xf borderId="0" fillId="2" fontId="1" numFmtId="0" xfId="0" applyAlignment="1" applyFont="1">
      <alignment horizontal="center" shrinkToFit="0" wrapText="1"/>
    </xf>
    <xf borderId="0" fillId="2" fontId="4" numFmtId="0" xfId="0" applyAlignment="1" applyFont="1">
      <alignment horizontal="center" readingOrder="0" vertical="center"/>
    </xf>
    <xf borderId="16" fillId="4" fontId="2" numFmtId="0" xfId="0" applyAlignment="1" applyBorder="1" applyFont="1">
      <alignment horizontal="center" vertical="center"/>
    </xf>
    <xf borderId="17" fillId="0" fontId="6" numFmtId="0" xfId="0" applyBorder="1" applyFont="1"/>
    <xf borderId="18" fillId="0" fontId="6" numFmtId="0" xfId="0" applyBorder="1" applyFont="1"/>
    <xf borderId="5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9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0" fillId="2" fontId="7" numFmtId="0" xfId="0" applyAlignment="1" applyFont="1">
      <alignment vertical="bottom"/>
    </xf>
    <xf borderId="0" fillId="2" fontId="7" numFmtId="0" xfId="0" applyFont="1"/>
    <xf borderId="0" fillId="2" fontId="1" numFmtId="3" xfId="0" applyAlignment="1" applyFont="1" applyNumberFormat="1">
      <alignment horizontal="center" readingOrder="0" vertical="center"/>
    </xf>
    <xf borderId="19" fillId="3" fontId="7" numFmtId="0" xfId="0" applyAlignment="1" applyBorder="1" applyFont="1">
      <alignment vertical="bottom"/>
    </xf>
    <xf borderId="20" fillId="0" fontId="6" numFmtId="0" xfId="0" applyBorder="1" applyFont="1"/>
    <xf borderId="20" fillId="3" fontId="7" numFmtId="0" xfId="0" applyBorder="1" applyFont="1"/>
    <xf borderId="10" fillId="4" fontId="8" numFmtId="0" xfId="0" applyAlignment="1" applyBorder="1" applyFont="1">
      <alignment horizontal="center" readingOrder="0"/>
    </xf>
    <xf borderId="12" fillId="0" fontId="6" numFmtId="0" xfId="0" applyBorder="1" applyFont="1"/>
    <xf borderId="10" fillId="3" fontId="3" numFmtId="0" xfId="0" applyAlignment="1" applyBorder="1" applyFont="1">
      <alignment horizontal="center" readingOrder="0" shrinkToFit="0" vertical="center" wrapText="1"/>
    </xf>
    <xf borderId="10" fillId="5" fontId="4" numFmtId="0" xfId="0" applyAlignment="1" applyBorder="1" applyFill="1" applyFont="1">
      <alignment horizontal="center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horizontal="center" shrinkToFit="0" vertical="center" wrapText="1"/>
    </xf>
    <xf borderId="12" fillId="5" fontId="4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center" readingOrder="0" vertical="center"/>
    </xf>
    <xf borderId="10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 vertical="center"/>
    </xf>
    <xf borderId="12" fillId="2" fontId="1" numFmtId="3" xfId="0" applyAlignment="1" applyBorder="1" applyFont="1" applyNumberFormat="1">
      <alignment horizontal="center" readingOrder="0" vertical="center"/>
    </xf>
    <xf borderId="13" fillId="2" fontId="1" numFmtId="3" xfId="0" applyAlignment="1" applyBorder="1" applyFont="1" applyNumberFormat="1">
      <alignment horizontal="center" readingOrder="0" vertical="center"/>
    </xf>
    <xf borderId="14" fillId="2" fontId="1" numFmtId="3" xfId="0" applyAlignment="1" applyBorder="1" applyFont="1" applyNumberFormat="1">
      <alignment horizontal="center" readingOrder="0" vertical="center"/>
    </xf>
    <xf borderId="0" fillId="2" fontId="7" numFmtId="0" xfId="0" applyFont="1"/>
    <xf borderId="20" fillId="3" fontId="9" numFmtId="0" xfId="0" applyAlignment="1" applyBorder="1" applyFont="1">
      <alignment readingOrder="0"/>
    </xf>
    <xf borderId="21" fillId="0" fontId="6" numFmtId="0" xfId="0" applyBorder="1" applyFont="1"/>
    <xf borderId="7" fillId="2" fontId="1" numFmtId="3" xfId="0" applyAlignment="1" applyBorder="1" applyFont="1" applyNumberFormat="1">
      <alignment horizontal="center" readingOrder="0" vertical="center"/>
    </xf>
    <xf borderId="6" fillId="2" fontId="1" numFmtId="0" xfId="0" applyAlignment="1" applyBorder="1" applyFont="1">
      <alignment horizontal="center" readingOrder="0" shrinkToFit="0" vertical="center" wrapText="0"/>
    </xf>
    <xf borderId="8" fillId="2" fontId="1" numFmtId="0" xfId="0" applyAlignment="1" applyBorder="1" applyFont="1">
      <alignment horizontal="center" readingOrder="0" shrinkToFit="0" vertical="center" wrapText="0"/>
    </xf>
    <xf borderId="10" fillId="0" fontId="6" numFmtId="0" xfId="0" applyBorder="1" applyFont="1"/>
    <xf borderId="0" fillId="2" fontId="1" numFmtId="0" xfId="0" applyAlignment="1" applyFont="1">
      <alignment horizontal="center" readingOrder="0" shrinkToFit="0" vertical="center" wrapText="0"/>
    </xf>
    <xf borderId="15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0" fillId="2" fontId="1" numFmtId="3" xfId="0" applyAlignment="1" applyBorder="1" applyFont="1" applyNumberFormat="1">
      <alignment horizontal="center" readingOrder="0" vertical="center"/>
    </xf>
    <xf borderId="15" fillId="2" fontId="1" numFmtId="3" xfId="0" applyAlignment="1" applyBorder="1" applyFont="1" applyNumberFormat="1">
      <alignment horizontal="center" readingOrder="0" vertical="center"/>
    </xf>
    <xf borderId="0" fillId="2" fontId="1" numFmtId="3" xfId="0" applyAlignment="1" applyFont="1" applyNumberFormat="1">
      <alignment horizontal="center" readingOrder="0" shrinkToFit="0" vertical="center" wrapText="1"/>
    </xf>
    <xf borderId="10" fillId="5" fontId="4" numFmtId="0" xfId="0" applyAlignment="1" applyBorder="1" applyFont="1">
      <alignment horizontal="center" shrinkToFit="0" wrapText="1"/>
    </xf>
    <xf borderId="0" fillId="5" fontId="4" numFmtId="0" xfId="0" applyAlignment="1" applyFont="1">
      <alignment horizontal="center" shrinkToFit="0" wrapText="1"/>
    </xf>
    <xf borderId="12" fillId="5" fontId="4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readingOrder="0" vertical="bottom"/>
    </xf>
    <xf borderId="8" fillId="2" fontId="1" numFmtId="3" xfId="0" applyAlignment="1" applyBorder="1" applyFont="1" applyNumberFormat="1">
      <alignment horizontal="center" vertical="bottom"/>
    </xf>
    <xf borderId="7" fillId="2" fontId="1" numFmtId="3" xfId="0" applyAlignment="1" applyBorder="1" applyFont="1" applyNumberFormat="1">
      <alignment horizontal="center" vertical="bottom"/>
    </xf>
    <xf borderId="0" fillId="2" fontId="10" numFmtId="0" xfId="0" applyAlignment="1" applyFont="1">
      <alignment horizontal="center" readingOrder="0" vertical="center"/>
    </xf>
    <xf borderId="10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bottom"/>
    </xf>
    <xf borderId="0" fillId="2" fontId="1" numFmtId="3" xfId="0" applyAlignment="1" applyFont="1" applyNumberFormat="1">
      <alignment horizontal="center" readingOrder="0" vertical="bottom"/>
    </xf>
    <xf borderId="12" fillId="2" fontId="1" numFmtId="3" xfId="0" applyAlignment="1" applyBorder="1" applyFont="1" applyNumberFormat="1">
      <alignment horizontal="center" readingOrder="0" vertical="bottom"/>
    </xf>
    <xf borderId="0" fillId="2" fontId="1" numFmtId="3" xfId="0" applyAlignment="1" applyFont="1" applyNumberFormat="1">
      <alignment horizontal="center" vertical="bottom"/>
    </xf>
    <xf borderId="12" fillId="2" fontId="1" numFmtId="3" xfId="0" applyAlignment="1" applyBorder="1" applyFont="1" applyNumberFormat="1">
      <alignment horizontal="center" vertical="bottom"/>
    </xf>
    <xf borderId="15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readingOrder="0" vertical="bottom"/>
    </xf>
    <xf borderId="13" fillId="2" fontId="1" numFmtId="3" xfId="0" applyAlignment="1" applyBorder="1" applyFont="1" applyNumberFormat="1">
      <alignment horizontal="center" readingOrder="0" vertical="bottom"/>
    </xf>
    <xf borderId="14" fillId="2" fontId="1" numFmtId="3" xfId="0" applyAlignment="1" applyBorder="1" applyFont="1" applyNumberFormat="1">
      <alignment horizontal="center" readingOrder="0" vertical="bottom"/>
    </xf>
    <xf borderId="0" fillId="5" fontId="4" numFmtId="0" xfId="0" applyAlignment="1" applyFont="1">
      <alignment horizontal="center" readingOrder="0" shrinkToFit="0" wrapText="1"/>
    </xf>
    <xf borderId="8" fillId="2" fontId="1" numFmtId="3" xfId="0" applyAlignment="1" applyBorder="1" applyFont="1" applyNumberFormat="1">
      <alignment horizontal="center" readingOrder="0" vertical="center"/>
    </xf>
    <xf borderId="0" fillId="2" fontId="1" numFmtId="3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12" fillId="2" fontId="1" numFmtId="3" xfId="0" applyAlignment="1" applyBorder="1" applyFont="1" applyNumberFormat="1">
      <alignment horizontal="center" readingOrder="0"/>
    </xf>
    <xf borderId="15" fillId="2" fontId="1" numFmtId="0" xfId="0" applyAlignment="1" applyBorder="1" applyFont="1">
      <alignment horizontal="center" readingOrder="0"/>
    </xf>
    <xf borderId="13" fillId="2" fontId="1" numFmtId="0" xfId="0" applyAlignment="1" applyBorder="1" applyFont="1">
      <alignment horizontal="center" readingOrder="0"/>
    </xf>
    <xf borderId="13" fillId="2" fontId="1" numFmtId="3" xfId="0" applyAlignment="1" applyBorder="1" applyFont="1" applyNumberFormat="1">
      <alignment horizontal="center" readingOrder="0"/>
    </xf>
    <xf borderId="14" fillId="2" fontId="1" numFmtId="3" xfId="0" applyAlignment="1" applyBorder="1" applyFont="1" applyNumberFormat="1">
      <alignment horizontal="center" readingOrder="0"/>
    </xf>
    <xf borderId="0" fillId="2" fontId="1" numFmtId="0" xfId="0" applyAlignment="1" applyFont="1">
      <alignment horizontal="left" readingOrder="0" shrinkToFit="0" wrapText="1"/>
    </xf>
    <xf borderId="0" fillId="2" fontId="1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readingOrder="0"/>
    </xf>
    <xf borderId="0" fillId="2" fontId="1" numFmtId="0" xfId="0" applyAlignment="1" applyFont="1">
      <alignment vertical="bottom"/>
    </xf>
    <xf borderId="0" fillId="2" fontId="1" numFmtId="0" xfId="0" applyFont="1"/>
    <xf borderId="0" fillId="2" fontId="1" numFmtId="0" xfId="0" applyFont="1"/>
    <xf borderId="19" fillId="3" fontId="1" numFmtId="0" xfId="0" applyAlignment="1" applyBorder="1" applyFont="1">
      <alignment vertical="bottom"/>
    </xf>
    <xf borderId="20" fillId="3" fontId="1" numFmtId="0" xfId="0" applyBorder="1" applyFont="1"/>
    <xf borderId="20" fillId="3" fontId="12" numFmtId="0" xfId="0" applyAlignment="1" applyBorder="1" applyFont="1">
      <alignment readingOrder="0"/>
    </xf>
    <xf borderId="10" fillId="4" fontId="2" numFmtId="0" xfId="0" applyAlignment="1" applyBorder="1" applyFont="1">
      <alignment horizontal="center" readingOrder="0"/>
    </xf>
    <xf borderId="0" fillId="3" fontId="3" numFmtId="0" xfId="0" applyAlignment="1" applyFont="1">
      <alignment horizontal="center" shrinkToFit="0" wrapText="1"/>
    </xf>
    <xf borderId="15" fillId="5" fontId="4" numFmtId="0" xfId="0" applyAlignment="1" applyBorder="1" applyFont="1">
      <alignment horizontal="center" shrinkToFit="0" vertical="center" wrapText="1"/>
    </xf>
    <xf borderId="13" fillId="5" fontId="4" numFmtId="0" xfId="0" applyAlignment="1" applyBorder="1" applyFont="1">
      <alignment horizontal="center" readingOrder="0" shrinkToFit="0" vertical="center" wrapText="1"/>
    </xf>
    <xf borderId="13" fillId="5" fontId="4" numFmtId="0" xfId="0" applyAlignment="1" applyBorder="1" applyFont="1">
      <alignment horizontal="center" shrinkToFit="0" vertical="center" wrapText="1"/>
    </xf>
    <xf borderId="14" fillId="5" fontId="4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1" numFmtId="3" xfId="0" applyAlignment="1" applyFont="1" applyNumberFormat="1">
      <alignment horizontal="center" vertical="center"/>
    </xf>
    <xf borderId="12" fillId="2" fontId="1" numFmtId="3" xfId="0" applyAlignment="1" applyBorder="1" applyFont="1" applyNumberFormat="1">
      <alignment horizontal="center" vertical="center"/>
    </xf>
    <xf borderId="10" fillId="6" fontId="1" numFmtId="0" xfId="0" applyAlignment="1" applyBorder="1" applyFill="1" applyFont="1">
      <alignment horizontal="center" readingOrder="0" shrinkToFit="0" vertical="center" wrapText="0"/>
    </xf>
    <xf borderId="15" fillId="2" fontId="1" numFmtId="3" xfId="0" applyAlignment="1" applyBorder="1" applyFont="1" applyNumberFormat="1">
      <alignment horizontal="center" vertical="center"/>
    </xf>
    <xf borderId="13" fillId="2" fontId="1" numFmtId="3" xfId="0" applyAlignment="1" applyBorder="1" applyFont="1" applyNumberFormat="1">
      <alignment horizontal="center" vertical="center"/>
    </xf>
    <xf borderId="14" fillId="2" fontId="1" numFmtId="3" xfId="0" applyAlignment="1" applyBorder="1" applyFont="1" applyNumberFormat="1">
      <alignment horizontal="center" vertical="center"/>
    </xf>
    <xf borderId="16" fillId="2" fontId="1" numFmtId="3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left" readingOrder="0" vertical="center"/>
    </xf>
    <xf borderId="0" fillId="2" fontId="1" numFmtId="0" xfId="0" applyAlignment="1" applyFont="1">
      <alignment readingOrder="0"/>
    </xf>
    <xf borderId="13" fillId="2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/>
    </xf>
    <xf borderId="8" fillId="0" fontId="6" numFmtId="0" xfId="0" applyBorder="1" applyFont="1"/>
    <xf borderId="7" fillId="0" fontId="6" numFmtId="0" xfId="0" applyBorder="1" applyFont="1"/>
    <xf borderId="16" fillId="2" fontId="1" numFmtId="0" xfId="0" applyAlignment="1" applyBorder="1" applyFont="1">
      <alignment horizontal="center" readingOrder="0" vertical="center"/>
    </xf>
    <xf borderId="17" fillId="2" fontId="1" numFmtId="0" xfId="0" applyAlignment="1" applyBorder="1" applyFont="1">
      <alignment horizontal="center" readingOrder="0" vertical="center"/>
    </xf>
    <xf borderId="18" fillId="2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/>
    </xf>
    <xf borderId="8" fillId="2" fontId="13" numFmtId="0" xfId="0" applyAlignment="1" applyBorder="1" applyFont="1">
      <alignment horizontal="center" readingOrder="0" vertical="center"/>
    </xf>
    <xf borderId="18" fillId="2" fontId="1" numFmtId="3" xfId="0" applyAlignment="1" applyBorder="1" applyFont="1" applyNumberFormat="1">
      <alignment horizontal="center" readingOrder="0" vertical="center"/>
    </xf>
    <xf borderId="16" fillId="2" fontId="1" numFmtId="0" xfId="0" applyAlignment="1" applyBorder="1" applyFont="1">
      <alignment horizontal="center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1" numFmtId="0" xfId="0" applyFont="1"/>
    <xf borderId="0" fillId="0" fontId="16" numFmtId="0" xfId="0" applyFont="1"/>
    <xf borderId="0" fillId="0" fontId="15" numFmtId="0" xfId="0" applyAlignment="1" applyFont="1">
      <alignment readingOrder="0" vertical="bottom"/>
    </xf>
    <xf borderId="0" fillId="0" fontId="17" numFmtId="0" xfId="0" applyAlignment="1" applyFont="1">
      <alignment readingOrder="0"/>
    </xf>
    <xf borderId="0" fillId="4" fontId="8" numFmtId="0" xfId="0" applyAlignment="1" applyFont="1">
      <alignment horizontal="center" readingOrder="0"/>
    </xf>
    <xf borderId="0" fillId="2" fontId="18" numFmtId="0" xfId="0" applyAlignment="1" applyFont="1">
      <alignment horizontal="left" readingOrder="0" shrinkToFit="0" vertical="center" wrapText="0"/>
    </xf>
    <xf borderId="10" fillId="2" fontId="1" numFmtId="0" xfId="0" applyAlignment="1" applyBorder="1" applyFont="1">
      <alignment horizontal="center"/>
    </xf>
    <xf borderId="0" fillId="2" fontId="19" numFmtId="0" xfId="0" applyAlignment="1" applyFont="1">
      <alignment shrinkToFit="0" wrapText="0"/>
    </xf>
    <xf borderId="0" fillId="2" fontId="1" numFmtId="3" xfId="0" applyAlignment="1" applyFont="1" applyNumberFormat="1">
      <alignment horizontal="center"/>
    </xf>
    <xf borderId="12" fillId="2" fontId="1" numFmtId="3" xfId="0" applyAlignment="1" applyBorder="1" applyFont="1" applyNumberFormat="1">
      <alignment horizontal="center"/>
    </xf>
    <xf borderId="15" fillId="2" fontId="1" numFmtId="0" xfId="0" applyAlignment="1" applyBorder="1" applyFont="1">
      <alignment horizontal="center"/>
    </xf>
    <xf borderId="13" fillId="2" fontId="20" numFmtId="0" xfId="0" applyAlignment="1" applyBorder="1" applyFont="1">
      <alignment shrinkToFit="0" wrapText="0"/>
    </xf>
    <xf borderId="13" fillId="2" fontId="1" numFmtId="3" xfId="0" applyAlignment="1" applyBorder="1" applyFont="1" applyNumberFormat="1">
      <alignment horizontal="center"/>
    </xf>
    <xf borderId="14" fillId="2" fontId="1" numFmtId="3" xfId="0" applyAlignment="1" applyBorder="1" applyFont="1" applyNumberFormat="1">
      <alignment horizontal="center"/>
    </xf>
    <xf borderId="20" fillId="3" fontId="7" numFmtId="0" xfId="0" applyAlignment="1" applyBorder="1" applyFont="1">
      <alignment vertical="bottom"/>
    </xf>
    <xf borderId="0" fillId="2" fontId="1" numFmtId="0" xfId="0" applyAlignment="1" applyFont="1">
      <alignment horizontal="center" readingOrder="0" shrinkToFit="0" wrapText="0"/>
    </xf>
    <xf borderId="0" fillId="2" fontId="7" numFmtId="3" xfId="0" applyFont="1" applyNumberFormat="1"/>
    <xf borderId="0" fillId="2" fontId="7" numFmtId="0" xfId="0" applyAlignment="1" applyFont="1">
      <alignment vertical="center"/>
    </xf>
    <xf borderId="10" fillId="4" fontId="2" numFmtId="0" xfId="0" applyAlignment="1" applyBorder="1" applyFont="1">
      <alignment horizontal="center" vertical="center"/>
    </xf>
    <xf borderId="10" fillId="3" fontId="3" numFmtId="0" xfId="0" applyAlignment="1" applyBorder="1" applyFont="1">
      <alignment horizontal="center" shrinkToFit="0" vertical="center" wrapText="1"/>
    </xf>
    <xf borderId="6" fillId="5" fontId="4" numFmtId="0" xfId="0" applyAlignment="1" applyBorder="1" applyFont="1">
      <alignment horizontal="center" shrinkToFit="0" vertical="center" wrapText="1"/>
    </xf>
    <xf borderId="17" fillId="5" fontId="4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7" fillId="5" fontId="4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vertical="center"/>
    </xf>
    <xf borderId="7" fillId="2" fontId="1" numFmtId="3" xfId="0" applyAlignment="1" applyBorder="1" applyFont="1" applyNumberFormat="1">
      <alignment horizontal="center" vertical="center"/>
    </xf>
    <xf borderId="10" fillId="2" fontId="1" numFmtId="0" xfId="0" applyAlignment="1" applyBorder="1" applyFont="1">
      <alignment horizontal="center" shrinkToFit="0" vertical="center" wrapText="0"/>
    </xf>
    <xf borderId="15" fillId="2" fontId="1" numFmtId="0" xfId="0" applyAlignment="1" applyBorder="1" applyFont="1">
      <alignment horizontal="center" shrinkToFit="0" vertical="center" wrapText="0"/>
    </xf>
    <xf borderId="13" fillId="2" fontId="1" numFmtId="0" xfId="0" applyAlignment="1" applyBorder="1" applyFont="1">
      <alignment horizontal="center" readingOrder="0" shrinkToFit="0" vertical="center" wrapText="0"/>
    </xf>
    <xf borderId="15" fillId="2" fontId="1" numFmtId="0" xfId="0" applyAlignment="1" applyBorder="1" applyFont="1">
      <alignment horizontal="center" readingOrder="0" shrinkToFit="0" vertical="center" wrapText="0"/>
    </xf>
    <xf borderId="21" fillId="3" fontId="9" numFmtId="0" xfId="0" applyAlignment="1" applyBorder="1" applyFont="1">
      <alignment readingOrder="0"/>
    </xf>
    <xf borderId="10" fillId="2" fontId="1" numFmtId="0" xfId="0" applyAlignment="1" applyBorder="1" applyFont="1">
      <alignment horizontal="center" vertical="center"/>
    </xf>
    <xf borderId="0" fillId="2" fontId="21" numFmtId="0" xfId="0" applyAlignment="1" applyFont="1">
      <alignment horizontal="center" readingOrder="0" vertical="center"/>
    </xf>
    <xf borderId="0" fillId="0" fontId="22" numFmtId="0" xfId="0" applyAlignment="1" applyFont="1">
      <alignment readingOrder="0"/>
    </xf>
    <xf borderId="0" fillId="0" fontId="22" numFmtId="0" xfId="0" applyFont="1"/>
    <xf borderId="0" fillId="7" fontId="23" numFmtId="0" xfId="0" applyAlignment="1" applyFill="1" applyFont="1">
      <alignment readingOrder="0"/>
    </xf>
    <xf borderId="0" fillId="8" fontId="24" numFmtId="0" xfId="0" applyAlignment="1" applyFill="1" applyFont="1">
      <alignment readingOrder="0"/>
    </xf>
    <xf borderId="8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>
  <Task id="{3a43bb61-f7ec-411d-9150-da8d3ab6dddc}">
    <Anchor>
      <Comment id="{fafdae4a-a2f0-414a-9725-d30b815b1c5e}"/>
    </Anchor>
    <History>
      <Event time="2026-01-07T14:28:21.00" id="{79a74bc1-a370-41ea-ad9c-268e393d922b}">
        <Attribution userId="placeholder@email.com" userName="Julia Ward" userProvider="google-sheets"/>
        <Anchor>
          <Comment id="{fafdae4a-a2f0-414a-9725-d30b815b1c5e}"/>
        </Anchor>
        <Create/>
      </Event>
      <Event time="2026-01-07T14:28:21.00" id="{15b8d732-bb60-48d5-858d-59da16f2e37b}">
        <Attribution userId="placeholder@email.com" userName="Julia Ward" userProvider="google-sheets"/>
        <Anchor>
          <Comment id="{fafdae4a-a2f0-414a-9725-d30b815b1c5e}"/>
        </Anchor>
        <Assign userId="bethany.walker@housedigital.co.uk" userName="bethany.walker@housedigital.co.uk" userProvider="google-sheets"/>
      </Event>
    </History>
  </Task>
  <Task id="{6b2e3f66-4d83-4391-b24d-4a78e81eb3f9}">
    <Anchor>
      <Comment id="{f54a3037-7a48-419d-b544-b20e237b8ac6}"/>
    </Anchor>
    <History>
      <Event time="2026-01-07T14:33:24.00" id="{9af22ac4-cf6f-44f9-bfaa-73e6b643ad88}">
        <Attribution userId="placeholder@email.com" userName="Julia Ward" userProvider="google-sheets"/>
        <Anchor>
          <Comment id="{f54a3037-7a48-419d-b544-b20e237b8ac6}"/>
        </Anchor>
        <Create/>
      </Event>
      <Event time="2026-01-07T14:33:24.00" id="{faa0215c-36af-42bb-9a58-e82726ccc8b8}">
        <Attribution userId="placeholder@email.com" userName="Julia Ward" userProvider="google-sheets"/>
        <Anchor>
          <Comment id="{f54a3037-7a48-419d-b544-b20e237b8ac6}"/>
        </Anchor>
        <Assign userId="bethany.walker@housedigital.co.uk" userName="bethany.walker@housedigital.co.uk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>
  <Task id="{e6c7f0ff-f830-42b6-ad6e-25c5d7ac25d9}">
    <Anchor>
      <Comment id="{95cbc5d5-ddec-4b09-803b-6d77588539db}"/>
    </Anchor>
    <History>
      <Event time="2026-01-07T14:31:26.00" id="{6521f62b-efb8-4421-8bfc-509d3da9eb4f}">
        <Attribution userId="placeholder@email.com" userName="Julia Ward" userProvider="google-sheets"/>
        <Anchor>
          <Comment id="{95cbc5d5-ddec-4b09-803b-6d77588539db}"/>
        </Anchor>
        <Create/>
      </Event>
      <Event time="2026-01-07T14:31:26.00" id="{3b9af982-4854-4409-ae5f-ffb58321a529}">
        <Attribution userId="placeholder@email.com" userName="Julia Ward" userProvider="google-sheets"/>
        <Anchor>
          <Comment id="{95cbc5d5-ddec-4b09-803b-6d77588539db}"/>
        </Anchor>
        <Assign userId="bethany.walker@housedigital.co.uk" userName="bethany.walker@housedigital.co.uk" userProvider="google-sheets"/>
      </Event>
    </History>
  </Task>
</Tasks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3133725" cy="933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752600" cy="514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ethany.walker@housedigital.co.uk" id="{715c0fcf-9c26-4d98-b7f1-d676316d6073}" userId="bethany.walker@housedigital.co.uk" providerId="google-sheets"/>
  <x18tc:person displayName="Bethany Howard" id="{13ece3a3-d7ef-4288-9f5e-2bf227e88264}" providerId="google-sheets"/>
  <x18tc:person displayName="Julia Ward" id="{81b52375-f040-4f67-8b54-306018ca668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07T14:28:21.00" personId="{81b52375-f040-4f67-8b54-306018ca6688}" id="{fafdae4a-a2f0-414a-9725-d30b815b1c5e}" done="1">
    <x18tc:text xml:space="preserve">@bethany.walker@housedigital.co.uk I think for this one, we do the same as BagBase and turn these into collections so Shop by Decoration - then we can have all-encompassing guides on the blog
Assigned to bethany.walker@housedigital.co.uk</x18tc:text>
    <x18tc:mentions>
      <x18tc:mention mentionpersonId="{715c0fcf-9c26-4d98-b7f1-d676316d6073}" mentionId="{b7810a95-ede6-4ca9-8dea-80b41ab8b0bf}" startIndex="0" length="34"/>
    </x18tc:mentions>
  </x18tc:threadedComment>
  <x18tc:threadedComment ref="A1" dT="2026-01-14T15:48:21.00" personId="{13ece3a3-d7ef-4288-9f5e-2bf227e88264}" id="{b3bd38fe-4b8f-4fb5-b7d9-d45b2b2667fb}" done="0">
    <x18tc:text xml:space="preserve">Watch page using all the YT videos. Inspiration on how to decorate. Sustainable design.</x18tc:text>
  </x18tc:threadedComment>
  <x18tc:threadedComment ref="B38" dT="2026-01-28T11:38:27.00" personId="{81b52375-f040-4f67-8b54-306018ca6688}" id="{c28bdc28-c228-498a-bf18-b51601e86100}" done="0">
    <x18tc:text xml:space="preserve">This will link to Beechfield Brands.</x18tc:text>
  </x18tc:threadedComment>
  <x18tc:threadedComment ref="A1" dT="2026-01-14T15:50:08.00" personId="{13ece3a3-d7ef-4288-9f5e-2bf227e88264}" id="{8a3e3061-5330-4266-bc90-f01453cf17eb}" done="0">
    <x18tc:text xml:space="preserve">Eco-Fact Sheets and Labels Claims Guide to be included</x18tc:text>
  </x18tc:threadedComment>
  <x18tc:threadedComment ref="N5" dT="2026-01-15T09:28:11.00" personId="{13ece3a3-d7ef-4288-9f5e-2bf227e88264}" id="{539184f2-2599-4ac6-9377-6e0584920720}" done="0">
    <x18tc:text xml:space="preserve">Split journey - Decorator/Distributor</x18tc:text>
  </x18tc:threadedComment>
  <x18tc:threadedComment ref="A1" dT="2026-01-12T13:36:28.00" personId="{13ece3a3-d7ef-4288-9f5e-2bf227e88264}" id="{1d79aa40-6d0f-4eb7-9707-27a2dde73534}" done="0">
    <x18tc:text xml:space="preserve">Could be grouped into one section</x18tc:text>
  </x18tc:threadedComment>
  <x18tc:threadedComment ref="A1" dT="2026-01-07T14:33:24.00" personId="{81b52375-f040-4f67-8b54-306018ca6688}" id="{f54a3037-7a48-419d-b544-b20e237b8ac6}" done="1">
    <x18tc:text xml:space="preserve">@bethany.walker@housedigital.co.uk same again here, it can be standard PLPs
Assigned to bethany.walker@housedigital.co.uk</x18tc:text>
    <x18tc:mentions>
      <x18tc:mention mentionpersonId="{715c0fcf-9c26-4d98-b7f1-d676316d6073}" mentionId="{2ff0b2ed-d6e5-4c04-b04a-e79066b112b4}" startIndex="0" length="34"/>
    </x18tc:mentions>
  </x18tc:threadedComment>
  <x18tc:threadedComment ref="A1" dT="2026-01-06T15:46:36.00" personId="{13ece3a3-d7ef-4288-9f5e-2bf227e88264}" id="{7f3ec74c-da80-41f2-bdaf-03de0e5ed021}" done="1">
    <x18tc:text xml:space="preserve">No SV for this category</x18tc:text>
  </x18tc:threadedComment>
  <x18tc:threadedComment ref="A1" dT="2026-01-12T13:20:28.00" personId="{13ece3a3-d7ef-4288-9f5e-2bf227e88264}" id="{5bfd8e4b-e13e-40bb-b39f-f10312991e42}" parentId="{7f3ec74c-da80-41f2-bdaf-03de0e5ed021}">
    <x18tc:text xml:space="preserve">Organic, sustainable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3" dT="2026-01-28T13:31:17.00" personId="{13ece3a3-d7ef-4288-9f5e-2bf227e88264}" id="{803926c4-397b-4eb7-a981-c8aad7b82863}" done="0">
    <x18tc:text xml:space="preserve">Merch Packs &amp; Kits (packaging + team kits: sacks/stuff bags/gymsacs/bottle bags)</x18tc:text>
  </x18tc:threadedComment>
  <x18tc:threadedComment ref="G6" dT="2026-01-28T13:29:56.00" personId="{13ece3a3-d7ef-4288-9f5e-2bf227e88264}" id="{cbbf7986-3deb-49f0-9531-801d1e1e4565}" done="0">
    <x18tc:text xml:space="preserve">Gift Bags &amp; Wrap (Gift bags, stuff bags, sacks, bottle bags—everything you “wrap it in”.)</x18tc:text>
  </x18tc:threadedComment>
  <x18tc:threadedComment ref="G12" dT="2026-01-28T13:31:10.00" personId="{13ece3a3-d7ef-4288-9f5e-2bf227e88264}" id="{7ff18ba7-31e8-452d-b21f-8c0d6142c546}" done="0">
    <x18tc:text xml:space="preserve">Jute &amp; Natural-Look (that classic natural fibre promo look/feel)</x18tc:text>
  </x18tc:threadedComment>
  <x18tc:threadedComment ref="G11" dT="2026-01-28T13:31:03.00" personId="{13ece3a3-d7ef-4288-9f5e-2bf227e88264}" id="{0e7caa5c-17bc-4978-8b31-6eb38421a9bb}" done="0">
    <x18tc:text xml:space="preserve">Retail-Ready Carriers (nicer totes/shoppers used as “the bag is the merch”)</x18tc:text>
  </x18tc:threadedComment>
  <x18tc:threadedComment ref="I7" dT="2026-01-06T14:09:01.00" personId="{13ece3a3-d7ef-4288-9f5e-2bf227e88264}" id="{e43d3ce2-f4d8-4f8b-bd32-c1d2cb53dd92}" done="1">
    <x18tc:text xml:space="preserve">No SV for this category</x18tc:text>
  </x18tc:threadedComment>
  <x18tc:threadedComment ref="G10" dT="2026-01-28T13:30:57.00" personId="{13ece3a3-d7ef-4288-9f5e-2bf227e88264}" id="{7fd634be-5a85-496b-86b9-fe7576aace3b}" done="0">
    <x18tc:text xml:space="preserve">Giveaways &amp; Events (high-volume staples for handouts)</x18tc:text>
  </x18tc:threadedComment>
  <x18tc:threadedComment ref="G9" dT="2026-01-28T13:30:53.00" personId="{13ece3a3-d7ef-4288-9f5e-2bf227e88264}" id="{7d82c8e9-4864-4d53-bb79-683e527a7bfc}" done="0">
    <x18tc:text xml:space="preserve">Giftable Totes &amp; Shoppers (The “gift is the bag” set—totes/shoppers/carryalls with a premium feel.)</x18tc:text>
  </x18tc:threadedComment>
  <x18tc:threadedComment ref="G8" dT="2026-01-28T13:30:37.00" personId="{13ece3a3-d7ef-4288-9f5e-2bf227e88264}" id="{4bfb28d6-f0a0-4508-bd0e-d72ba0ad2e88}" done="0">
    <x18tc:text xml:space="preserve">Home &amp; Craft Gifts (Aprons, cushion covers, tea towels, storage/organisers—practical, decorate-ready home gifting)</x18tc:text>
  </x18tc:threadedComment>
  <x18tc:threadedComment ref="G7" dT="2026-01-28T13:30:19.00" personId="{13ece3a3-d7ef-4288-9f5e-2bf227e88264}" id="{b801ea80-f6ae-426a-b474-3b8690f319b5}" done="0">
    <x18tc:text xml:space="preserve">Pouches &amp; Personal Extras (Wristlets, accessory pouches, vanity cases, purses—small pieces made for initials.)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" dT="2026-01-07T14:31:26.00" personId="{81b52375-f040-4f67-8b54-306018ca6688}" id="{95cbc5d5-ddec-4b09-803b-6d77588539db}" done="1">
    <x18tc:text xml:space="preserve">@bethany.walker@housedigital.co.uk I think change this to Inspiration as a full tab and then have the blog and lookbooks coming off that
Assigned to bethany.walker@housedigital.co.uk</x18tc:text>
    <x18tc:mentions>
      <x18tc:mention mentionpersonId="{715c0fcf-9c26-4d98-b7f1-d676316d6073}" mentionId="{f7e99dc8-bdff-422f-b487-f6411e9a8ff3}" startIndex="0" length="34"/>
    </x18tc:mentions>
  </x18tc:threadedComment>
  <x18tc:threadedComment ref="P7" dT="2026-01-12T13:22:25.00" personId="{13ece3a3-d7ef-4288-9f5e-2bf227e88264}" id="{9e4356df-d7f9-40e7-a138-c7246d99047e}" done="1">
    <x18tc:text xml:space="preserve">fabric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1" dT="2026-01-29T16:34:18.00" personId="{81b52375-f040-4f67-8b54-306018ca6688}" id="{a537709e-3013-4612-8a93-82ac02ab6f1e}" done="0">
    <x18tc:text xml:space="preserve">Link to Media Hub with copy explaining you can find Placement Templates, Campaign Assets, Product Assets, Printability Notes here.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0" dT="2026-01-16T10:49:33.00" personId="{81b52375-f040-4f67-8b54-306018ca6688}" id="{b8b9829f-069d-47e6-ae96-68323b87baaa}" done="0">
    <x18tc:text xml:space="preserve">Eco-Fact Sheets and Labels Claims Guide to be included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" dT="2026-01-30T10:31:48.00" personId="{13ece3a3-d7ef-4288-9f5e-2bf227e88264}" id="{47af9ac7-29a9-42ec-92bd-f6aaf85bfb54}" done="0">
    <x18tc:text xml:space="preserve">Care &amp; Repair info included here</x18tc:text>
  </x18tc:threadedComment>
  <x18tc:threadedComment ref="D6" dT="2026-01-30T10:18:58.00" personId="{13ece3a3-d7ef-4288-9f5e-2bf227e88264}" id="{3596a5dc-2bce-45d7-a152-4216fa91e823}" done="0">
    <x18tc:text xml:space="preserve">Include information on 1% of the planet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mediahub.beechfieldbrands.com/login/" TargetMode="External"/><Relationship Id="rId5" Type="http://schemas.openxmlformats.org/officeDocument/2006/relationships/drawing" Target="../drawings/drawing8.xml"/><Relationship Id="rId6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odysia-cruise-uk.client.prod.eu-west.dreamlake.io/cruise-lines/msc-cruises/msc-armonia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mediahub.beechfieldbrands.com/login/redirectToken/B52996B6-2EFF-4988-B0D9AE1A000E41D5/" TargetMode="External"/><Relationship Id="rId5" Type="http://schemas.openxmlformats.org/officeDocument/2006/relationships/hyperlink" Target="https://mediahub.beechfieldbrands.com/login/redirectToken/3F8C914A-C169-4EFB-B5FE72805708526C/" TargetMode="External"/><Relationship Id="rId6" Type="http://schemas.openxmlformats.org/officeDocument/2006/relationships/hyperlink" Target="https://mediahub.beechfieldbrands.com/login/redirectToken/3F8C914A-C169-4EFB-B5FE72805708526C/" TargetMode="External"/><Relationship Id="rId7" Type="http://schemas.openxmlformats.org/officeDocument/2006/relationships/drawing" Target="../drawings/drawing10.xml"/><Relationship Id="rId8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beechfieldbrands.com/" TargetMode="External"/><Relationship Id="rId2" Type="http://schemas.openxmlformats.org/officeDocument/2006/relationships/hyperlink" Target="https://beechfieldbrands.com/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90" Type="http://schemas.openxmlformats.org/officeDocument/2006/relationships/hyperlink" Target="https://odysia-cruise-uk.client.prod.eu-west.dreamlake.io/cruise-lines/norwegian-cruise-line/norwegian-aqua" TargetMode="External"/><Relationship Id="rId194" Type="http://schemas.openxmlformats.org/officeDocument/2006/relationships/hyperlink" Target="https://odysia-cruise-uk.client.prod.eu-west.dreamlake.io/cruise-lines/norwegian-cruise-line/norwegian-breakaway" TargetMode="External"/><Relationship Id="rId193" Type="http://schemas.openxmlformats.org/officeDocument/2006/relationships/hyperlink" Target="https://odysia-cruise-uk.client.prod.eu-west.dreamlake.io/cruise-lines/norwegian-cruise-line/norwegian-bliss/cruises" TargetMode="External"/><Relationship Id="rId192" Type="http://schemas.openxmlformats.org/officeDocument/2006/relationships/hyperlink" Target="https://odysia-cruise-uk.client.prod.eu-west.dreamlake.io/cruise-lines/norwegian-cruise-line/norwegian-bliss" TargetMode="External"/><Relationship Id="rId191" Type="http://schemas.openxmlformats.org/officeDocument/2006/relationships/hyperlink" Target="https://odysia-cruise-uk.client.prod.eu-west.dreamlake.io/cruise-lines/norwegian-cruise-line/norwegian-aqua/cruises" TargetMode="External"/><Relationship Id="rId187" Type="http://schemas.openxmlformats.org/officeDocument/2006/relationships/hyperlink" Target="https://odysia-cruise-uk.client.prod.eu-west.dreamlake.io/cruise-lines/msc-cruises/msc-world-europa/cruises" TargetMode="External"/><Relationship Id="rId186" Type="http://schemas.openxmlformats.org/officeDocument/2006/relationships/hyperlink" Target="https://odysia-cruise-uk.client.prod.eu-west.dreamlake.io/cruise-lines/msc-cruises/msc-world-europa" TargetMode="External"/><Relationship Id="rId185" Type="http://schemas.openxmlformats.org/officeDocument/2006/relationships/hyperlink" Target="https://odysia-cruise-uk.client.prod.eu-west.dreamlake.io/cruise-lines/msc-cruises/msc-world-america/cruises" TargetMode="External"/><Relationship Id="rId184" Type="http://schemas.openxmlformats.org/officeDocument/2006/relationships/hyperlink" Target="https://odysia-cruise-uk.client.prod.eu-west.dreamlake.io/cruise-lines/msc-cruises/msc-world-america" TargetMode="External"/><Relationship Id="rId189" Type="http://schemas.openxmlformats.org/officeDocument/2006/relationships/hyperlink" Target="https://odysia-cruise-uk.client.prod.eu-west.dreamlake.io/cruise-lines/norwegian-cruise-line/cruises" TargetMode="External"/><Relationship Id="rId188" Type="http://schemas.openxmlformats.org/officeDocument/2006/relationships/hyperlink" Target="https://odysia-cruise-uk.client.prod.eu-west.dreamlake.io/cruise-lines/norwegian-cruise-line" TargetMode="External"/><Relationship Id="rId183" Type="http://schemas.openxmlformats.org/officeDocument/2006/relationships/hyperlink" Target="https://odysia-cruise-uk.client.prod.eu-west.dreamlake.io/cruise-lines/msc-cruises/msc-virtuosa/cruises" TargetMode="External"/><Relationship Id="rId182" Type="http://schemas.openxmlformats.org/officeDocument/2006/relationships/hyperlink" Target="https://odysia-cruise-uk.client.prod.eu-west.dreamlake.io/cruise-lines/msc-cruises/msc-virtuosa" TargetMode="External"/><Relationship Id="rId181" Type="http://schemas.openxmlformats.org/officeDocument/2006/relationships/hyperlink" Target="https://odysia-cruise-uk.client.prod.eu-west.dreamlake.io/cruise-lines/msc-cruises/msc-splendida/cruises" TargetMode="External"/><Relationship Id="rId180" Type="http://schemas.openxmlformats.org/officeDocument/2006/relationships/hyperlink" Target="https://odysia-cruise-uk.client.prod.eu-west.dreamlake.io/cruise-lines/msc-cruises/msc-splendida" TargetMode="External"/><Relationship Id="rId176" Type="http://schemas.openxmlformats.org/officeDocument/2006/relationships/hyperlink" Target="https://odysia-cruise-uk.client.prod.eu-west.dreamlake.io/cruise-lines/msc-cruises/msc-seaview" TargetMode="External"/><Relationship Id="rId297" Type="http://schemas.openxmlformats.org/officeDocument/2006/relationships/hyperlink" Target="https://odysia-cruise-uk.client.prod.eu-west.dreamlake.io/cruise-lines/princess-cruises/sky-princess/cruises" TargetMode="External"/><Relationship Id="rId175" Type="http://schemas.openxmlformats.org/officeDocument/2006/relationships/hyperlink" Target="https://odysia-cruise-uk.client.prod.eu-west.dreamlake.io/cruise-lines/msc-cruises/msc-seaside/cruises" TargetMode="External"/><Relationship Id="rId296" Type="http://schemas.openxmlformats.org/officeDocument/2006/relationships/hyperlink" Target="https://odysia-cruise-uk.client.prod.eu-west.dreamlake.io/cruise-lines/princess-cruises/sky-princess" TargetMode="External"/><Relationship Id="rId174" Type="http://schemas.openxmlformats.org/officeDocument/2006/relationships/hyperlink" Target="https://odysia-cruise-uk.client.prod.eu-west.dreamlake.io/cruise-lines/msc-cruises/msc-seaside" TargetMode="External"/><Relationship Id="rId295" Type="http://schemas.openxmlformats.org/officeDocument/2006/relationships/hyperlink" Target="https://odysia-cruise-uk.client.prod.eu-west.dreamlake.io/cruise-lines/princess-cruises/sapphire-princess/cruises" TargetMode="External"/><Relationship Id="rId173" Type="http://schemas.openxmlformats.org/officeDocument/2006/relationships/hyperlink" Target="https://odysia-cruise-uk.client.prod.eu-west.dreamlake.io/cruise-lines/msc-cruises/msc-seashore/cruises" TargetMode="External"/><Relationship Id="rId294" Type="http://schemas.openxmlformats.org/officeDocument/2006/relationships/hyperlink" Target="https://odysia-cruise-uk.client.prod.eu-west.dreamlake.io/cruise-lines/princess-cruises/sapphire-princess" TargetMode="External"/><Relationship Id="rId179" Type="http://schemas.openxmlformats.org/officeDocument/2006/relationships/hyperlink" Target="https://odysia-cruise-uk.client.prod.eu-west.dreamlake.io/cruise-lines/msc-cruises/msc-sinfonia/cruises" TargetMode="External"/><Relationship Id="rId178" Type="http://schemas.openxmlformats.org/officeDocument/2006/relationships/hyperlink" Target="https://odysia-cruise-uk.client.prod.eu-west.dreamlake.io/cruise-lines/msc-cruises/msc-sinfonia" TargetMode="External"/><Relationship Id="rId299" Type="http://schemas.openxmlformats.org/officeDocument/2006/relationships/hyperlink" Target="https://odysia-cruise-uk.client.prod.eu-west.dreamlake.io/cruise-lines/princess-cruises/star-princess/cruises" TargetMode="External"/><Relationship Id="rId177" Type="http://schemas.openxmlformats.org/officeDocument/2006/relationships/hyperlink" Target="https://odysia-cruise-uk.client.prod.eu-west.dreamlake.io/cruise-lines/msc-cruises/msc-seaview/cruises" TargetMode="External"/><Relationship Id="rId298" Type="http://schemas.openxmlformats.org/officeDocument/2006/relationships/hyperlink" Target="https://odysia-cruise-uk.client.prod.eu-west.dreamlake.io/cruise-lines/princess-cruises/star-princess" TargetMode="External"/><Relationship Id="rId198" Type="http://schemas.openxmlformats.org/officeDocument/2006/relationships/hyperlink" Target="https://odysia-cruise-uk.client.prod.eu-west.dreamlake.io/cruise-lines/norwegian-cruise-line/norwegian-encore" TargetMode="External"/><Relationship Id="rId197" Type="http://schemas.openxmlformats.org/officeDocument/2006/relationships/hyperlink" Target="https://odysia-cruise-uk.client.prod.eu-west.dreamlake.io/cruise-lines/norwegian-cruise-line/norwegian-dawn/cruises" TargetMode="External"/><Relationship Id="rId196" Type="http://schemas.openxmlformats.org/officeDocument/2006/relationships/hyperlink" Target="https://odysia-cruise-uk.client.prod.eu-west.dreamlake.io/cruise-lines/norwegian-cruise-line/norwegian-dawn" TargetMode="External"/><Relationship Id="rId195" Type="http://schemas.openxmlformats.org/officeDocument/2006/relationships/hyperlink" Target="https://odysia-cruise-uk.client.prod.eu-west.dreamlake.io/cruise-lines/norwegian-cruise-line/norwegian-breakaway/cruises" TargetMode="External"/><Relationship Id="rId199" Type="http://schemas.openxmlformats.org/officeDocument/2006/relationships/hyperlink" Target="https://odysia-cruise-uk.client.prod.eu-west.dreamlake.io/cruise-lines/norwegian-cruise-line/norwegian-encore/cruises" TargetMode="External"/><Relationship Id="rId150" Type="http://schemas.openxmlformats.org/officeDocument/2006/relationships/hyperlink" Target="https://odysia-cruise-uk.client.prod.eu-west.dreamlake.io/cruise-lines/msc-cruises/msc-fantasia" TargetMode="External"/><Relationship Id="rId271" Type="http://schemas.openxmlformats.org/officeDocument/2006/relationships/hyperlink" Target="https://odysia-cruise-uk.client.prod.eu-west.dreamlake.io/cruise-lines/princess-cruises/crown-princess" TargetMode="External"/><Relationship Id="rId392" Type="http://schemas.openxmlformats.org/officeDocument/2006/relationships/hyperlink" Target="https://odysia-cruise-uk.client.prod.eu-west.dreamlake.io/cruise-lines/virgin-voyages/brilliant-lady/cruises" TargetMode="External"/><Relationship Id="rId270" Type="http://schemas.openxmlformats.org/officeDocument/2006/relationships/hyperlink" Target="https://odysia-cruise-uk.client.prod.eu-west.dreamlake.io/cruise-lines/princess-cruises/coral-princess/cruises" TargetMode="External"/><Relationship Id="rId391" Type="http://schemas.openxmlformats.org/officeDocument/2006/relationships/hyperlink" Target="https://odysia-cruise-uk.client.prod.eu-west.dreamlake.io/cruise-lines/virgin-voyages/brilliant-lady" TargetMode="External"/><Relationship Id="rId390" Type="http://schemas.openxmlformats.org/officeDocument/2006/relationships/hyperlink" Target="https://odysia-cruise-uk.client.prod.eu-west.dreamlake.io/cruise-lines/virgin-voyages" TargetMode="External"/><Relationship Id="rId1" Type="http://schemas.openxmlformats.org/officeDocument/2006/relationships/hyperlink" Target="https://odysia-cruise-uk.client.prod.eu-west.dreamlake.io/" TargetMode="External"/><Relationship Id="rId2" Type="http://schemas.openxmlformats.org/officeDocument/2006/relationships/hyperlink" Target="https://odysia-cruise-uk.client.prod.eu-west.dreamlake.io/about-us" TargetMode="External"/><Relationship Id="rId3" Type="http://schemas.openxmlformats.org/officeDocument/2006/relationships/hyperlink" Target="https://odysia-cruise-uk.client.prod.eu-west.dreamlake.io/cruise-calendar" TargetMode="External"/><Relationship Id="rId149" Type="http://schemas.openxmlformats.org/officeDocument/2006/relationships/hyperlink" Target="https://odysia-cruise-uk.client.prod.eu-west.dreamlake.io/cruise-lines/msc-cruises/msc-euribia/cruises" TargetMode="External"/><Relationship Id="rId4" Type="http://schemas.openxmlformats.org/officeDocument/2006/relationships/hyperlink" Target="https://odysia-cruise-uk.client.prod.eu-west.dreamlake.io/cruise-deals" TargetMode="External"/><Relationship Id="rId148" Type="http://schemas.openxmlformats.org/officeDocument/2006/relationships/hyperlink" Target="https://odysia-cruise-uk.client.prod.eu-west.dreamlake.io/cruise-lines/msc-cruises/msc-euribia" TargetMode="External"/><Relationship Id="rId269" Type="http://schemas.openxmlformats.org/officeDocument/2006/relationships/hyperlink" Target="https://odysia-cruise-uk.client.prod.eu-west.dreamlake.io/cruise-lines/princess-cruises/coral-princess" TargetMode="External"/><Relationship Id="rId9" Type="http://schemas.openxmlformats.org/officeDocument/2006/relationships/hyperlink" Target="https://odysia-cruise-uk.client.prod.eu-west.dreamlake.io/cruise-deals/cruises-from-dover" TargetMode="External"/><Relationship Id="rId143" Type="http://schemas.openxmlformats.org/officeDocument/2006/relationships/hyperlink" Target="https://odysia-cruise-uk.client.prod.eu-west.dreamlake.io/cruise-lines/msc-cruises/msc-armonia/cruises" TargetMode="External"/><Relationship Id="rId264" Type="http://schemas.openxmlformats.org/officeDocument/2006/relationships/hyperlink" Target="https://odysia-cruise-uk.client.prod.eu-west.dreamlake.io/cruise-lines/po-cruises/ventura" TargetMode="External"/><Relationship Id="rId385" Type="http://schemas.openxmlformats.org/officeDocument/2006/relationships/hyperlink" Target="https://odysia-cruise-uk.client.prod.eu-west.dreamlake.io/cruise-lines/seabourn/seabourn-quest/cruises" TargetMode="External"/><Relationship Id="rId142" Type="http://schemas.openxmlformats.org/officeDocument/2006/relationships/hyperlink" Target="https://odysia-cruise-uk.client.prod.eu-west.dreamlake.io/cruise-lines/msc-cruises/msc-armonia" TargetMode="External"/><Relationship Id="rId263" Type="http://schemas.openxmlformats.org/officeDocument/2006/relationships/hyperlink" Target="https://odysia-cruise-uk.client.prod.eu-west.dreamlake.io/cruise-lines/po-cruises/iona/cruises" TargetMode="External"/><Relationship Id="rId384" Type="http://schemas.openxmlformats.org/officeDocument/2006/relationships/hyperlink" Target="https://odysia-cruise-uk.client.prod.eu-west.dreamlake.io/cruise-lines/seabourn/seabourn-quest" TargetMode="External"/><Relationship Id="rId141" Type="http://schemas.openxmlformats.org/officeDocument/2006/relationships/hyperlink" Target="https://odysia-cruise-uk.client.prod.eu-west.dreamlake.io/cruise-lines/msc-cruises/cruises" TargetMode="External"/><Relationship Id="rId262" Type="http://schemas.openxmlformats.org/officeDocument/2006/relationships/hyperlink" Target="https://odysia-cruise-uk.client.prod.eu-west.dreamlake.io/cruise-lines/po-cruises/iona" TargetMode="External"/><Relationship Id="rId383" Type="http://schemas.openxmlformats.org/officeDocument/2006/relationships/hyperlink" Target="https://odysia-cruise-uk.client.prod.eu-west.dreamlake.io/cruise-lines/seabourn/seabourn-pursuit/cruises" TargetMode="External"/><Relationship Id="rId140" Type="http://schemas.openxmlformats.org/officeDocument/2006/relationships/hyperlink" Target="https://odysia-cruise-uk.client.prod.eu-west.dreamlake.io/cruise-lines/msc-cruises" TargetMode="External"/><Relationship Id="rId261" Type="http://schemas.openxmlformats.org/officeDocument/2006/relationships/hyperlink" Target="https://odysia-cruise-uk.client.prod.eu-west.dreamlake.io/cruise-lines/po-cruises/cruises" TargetMode="External"/><Relationship Id="rId382" Type="http://schemas.openxmlformats.org/officeDocument/2006/relationships/hyperlink" Target="https://odysia-cruise-uk.client.prod.eu-west.dreamlake.io/cruise-lines/seabourn/seabourn-pursuit" TargetMode="External"/><Relationship Id="rId5" Type="http://schemas.openxmlformats.org/officeDocument/2006/relationships/hyperlink" Target="https://odysia-cruise-uk.client.prod.eu-west.dreamlake.io/cruise-deals/2025" TargetMode="External"/><Relationship Id="rId147" Type="http://schemas.openxmlformats.org/officeDocument/2006/relationships/hyperlink" Target="https://odysia-cruise-uk.client.prod.eu-west.dreamlake.io/cruise-lines/msc-cruises/msc-divina/cruises" TargetMode="External"/><Relationship Id="rId268" Type="http://schemas.openxmlformats.org/officeDocument/2006/relationships/hyperlink" Target="https://odysia-cruise-uk.client.prod.eu-west.dreamlake.io/cruise-lines/princess-cruises/caribbean-princess/cruises" TargetMode="External"/><Relationship Id="rId389" Type="http://schemas.openxmlformats.org/officeDocument/2006/relationships/hyperlink" Target="https://odysia-cruise-uk.client.prod.eu-west.dreamlake.io/cruise-lines/seabourn/seabourn-venture/cruises" TargetMode="External"/><Relationship Id="rId6" Type="http://schemas.openxmlformats.org/officeDocument/2006/relationships/hyperlink" Target="https://odysia-cruise-uk.client.prod.eu-west.dreamlake.io/cruise-deals/2026" TargetMode="External"/><Relationship Id="rId146" Type="http://schemas.openxmlformats.org/officeDocument/2006/relationships/hyperlink" Target="https://odysia-cruise-uk.client.prod.eu-west.dreamlake.io/cruise-lines/msc-cruises/msc-divina" TargetMode="External"/><Relationship Id="rId267" Type="http://schemas.openxmlformats.org/officeDocument/2006/relationships/hyperlink" Target="https://odysia-cruise-uk.client.prod.eu-west.dreamlake.io/cruise-lines/princess-cruises/caribbean-princess" TargetMode="External"/><Relationship Id="rId388" Type="http://schemas.openxmlformats.org/officeDocument/2006/relationships/hyperlink" Target="https://odysia-cruise-uk.client.prod.eu-west.dreamlake.io/cruise-lines/seabourn/seabourn-venture" TargetMode="External"/><Relationship Id="rId7" Type="http://schemas.openxmlformats.org/officeDocument/2006/relationships/hyperlink" Target="https://odysia-cruise-uk.client.prod.eu-west.dreamlake.io/cruise-deals/2027" TargetMode="External"/><Relationship Id="rId145" Type="http://schemas.openxmlformats.org/officeDocument/2006/relationships/hyperlink" Target="https://odysia-cruise-uk.client.prod.eu-west.dreamlake.io/cruise-lines/msc-cruises/msc-bellissima/cruises" TargetMode="External"/><Relationship Id="rId266" Type="http://schemas.openxmlformats.org/officeDocument/2006/relationships/hyperlink" Target="https://odysia-cruise-uk.client.prod.eu-west.dreamlake.io/cruise-lines/princess-cruises" TargetMode="External"/><Relationship Id="rId387" Type="http://schemas.openxmlformats.org/officeDocument/2006/relationships/hyperlink" Target="https://odysia-cruise-uk.client.prod.eu-west.dreamlake.io/cruise-lines/seabourn/seabourn-sojourn/cruises" TargetMode="External"/><Relationship Id="rId8" Type="http://schemas.openxmlformats.org/officeDocument/2006/relationships/hyperlink" Target="https://odysia-cruise-uk.client.prod.eu-west.dreamlake.io/cruise-deals/all-inclusive-cruise-deals" TargetMode="External"/><Relationship Id="rId144" Type="http://schemas.openxmlformats.org/officeDocument/2006/relationships/hyperlink" Target="https://odysia-cruise-uk.client.prod.eu-west.dreamlake.io/cruise-lines/msc-cruises/msc-bellissima" TargetMode="External"/><Relationship Id="rId265" Type="http://schemas.openxmlformats.org/officeDocument/2006/relationships/hyperlink" Target="https://odysia-cruise-uk.client.prod.eu-west.dreamlake.io/cruise-lines/po-cruises/ventura/cruises" TargetMode="External"/><Relationship Id="rId386" Type="http://schemas.openxmlformats.org/officeDocument/2006/relationships/hyperlink" Target="https://odysia-cruise-uk.client.prod.eu-west.dreamlake.io/cruise-lines/seabourn/seabourn-sojourn" TargetMode="External"/><Relationship Id="rId260" Type="http://schemas.openxmlformats.org/officeDocument/2006/relationships/hyperlink" Target="https://odysia-cruise-uk.client.prod.eu-west.dreamlake.io/cruise-lines/po-cruises/britannia/cruises" TargetMode="External"/><Relationship Id="rId381" Type="http://schemas.openxmlformats.org/officeDocument/2006/relationships/hyperlink" Target="https://odysia-cruise-uk.client.prod.eu-west.dreamlake.io/cruise-lines/seabourn/seabourn-ovation/cruises" TargetMode="External"/><Relationship Id="rId380" Type="http://schemas.openxmlformats.org/officeDocument/2006/relationships/hyperlink" Target="https://odysia-cruise-uk.client.prod.eu-west.dreamlake.io/cruise-lines/seabourn/seabourn-ovation" TargetMode="External"/><Relationship Id="rId139" Type="http://schemas.openxmlformats.org/officeDocument/2006/relationships/hyperlink" Target="https://odysia-cruise-uk.client.prod.eu-west.dreamlake.io/cruise-lines/holland-america-line/zuiderdam/cruises" TargetMode="External"/><Relationship Id="rId138" Type="http://schemas.openxmlformats.org/officeDocument/2006/relationships/hyperlink" Target="https://odysia-cruise-uk.client.prod.eu-west.dreamlake.io/cruise-lines/holland-america-line/zuiderdam" TargetMode="External"/><Relationship Id="rId259" Type="http://schemas.openxmlformats.org/officeDocument/2006/relationships/hyperlink" Target="https://odysia-cruise-uk.client.prod.eu-west.dreamlake.io/cruise-lines/po-cruises/britannia" TargetMode="External"/><Relationship Id="rId137" Type="http://schemas.openxmlformats.org/officeDocument/2006/relationships/hyperlink" Target="https://odysia-cruise-uk.client.prod.eu-west.dreamlake.io/cruise-lines/holland-america-line/zaandam/cruises" TargetMode="External"/><Relationship Id="rId258" Type="http://schemas.openxmlformats.org/officeDocument/2006/relationships/hyperlink" Target="https://odysia-cruise-uk.client.prod.eu-west.dreamlake.io/cruise-lines/po-cruises/azura/cruises" TargetMode="External"/><Relationship Id="rId379" Type="http://schemas.openxmlformats.org/officeDocument/2006/relationships/hyperlink" Target="https://odysia-cruise-uk.client.prod.eu-west.dreamlake.io/cruise-lines/seabourn/seabourn-encore/cruises" TargetMode="External"/><Relationship Id="rId132" Type="http://schemas.openxmlformats.org/officeDocument/2006/relationships/hyperlink" Target="https://odysia-cruise-uk.client.prod.eu-west.dreamlake.io/cruise-lines/holland-america-line/volendam" TargetMode="External"/><Relationship Id="rId253" Type="http://schemas.openxmlformats.org/officeDocument/2006/relationships/hyperlink" Target="https://odysia-cruise-uk.client.prod.eu-west.dreamlake.io/cruise-lines/po-cruises/arvia" TargetMode="External"/><Relationship Id="rId374" Type="http://schemas.openxmlformats.org/officeDocument/2006/relationships/hyperlink" Target="https://odysia-cruise-uk.client.prod.eu-west.dreamlake.io/cruise-lines/royal-caribbean/wonder-of-the-seas" TargetMode="External"/><Relationship Id="rId131" Type="http://schemas.openxmlformats.org/officeDocument/2006/relationships/hyperlink" Target="https://odysia-cruise-uk.client.prod.eu-west.dreamlake.io/cruise-lines/holland-america-line/rotterdam/cruises" TargetMode="External"/><Relationship Id="rId252" Type="http://schemas.openxmlformats.org/officeDocument/2006/relationships/hyperlink" Target="https://odysia-cruise-uk.client.prod.eu-west.dreamlake.io/cruise-lines/po-cruises/arcadia/cruises" TargetMode="External"/><Relationship Id="rId373" Type="http://schemas.openxmlformats.org/officeDocument/2006/relationships/hyperlink" Target="https://odysia-cruise-uk.client.prod.eu-west.dreamlake.io/cruise-lines/royal-caribbean/voyager-of-the-seas" TargetMode="External"/><Relationship Id="rId130" Type="http://schemas.openxmlformats.org/officeDocument/2006/relationships/hyperlink" Target="https://odysia-cruise-uk.client.prod.eu-west.dreamlake.io/cruise-lines/holland-america-line/rotterdam" TargetMode="External"/><Relationship Id="rId251" Type="http://schemas.openxmlformats.org/officeDocument/2006/relationships/hyperlink" Target="https://odysia-cruise-uk.client.prod.eu-west.dreamlake.io/cruise-lines/po-cruises/arcadia" TargetMode="External"/><Relationship Id="rId372" Type="http://schemas.openxmlformats.org/officeDocument/2006/relationships/hyperlink" Target="https://odysia-cruise-uk.client.prod.eu-west.dreamlake.io/cruise-lines/royal-caribbean/vision-of-the-seas/cruises" TargetMode="External"/><Relationship Id="rId250" Type="http://schemas.openxmlformats.org/officeDocument/2006/relationships/hyperlink" Target="https://odysia-cruise-uk.client.prod.eu-west.dreamlake.io/cruise-lines/po-cruises" TargetMode="External"/><Relationship Id="rId371" Type="http://schemas.openxmlformats.org/officeDocument/2006/relationships/hyperlink" Target="https://odysia-cruise-uk.client.prod.eu-west.dreamlake.io/cruise-lines/royal-caribbean/vision-of-the-seas" TargetMode="External"/><Relationship Id="rId136" Type="http://schemas.openxmlformats.org/officeDocument/2006/relationships/hyperlink" Target="https://odysia-cruise-uk.client.prod.eu-west.dreamlake.io/cruise-lines/holland-america-line/zaandam" TargetMode="External"/><Relationship Id="rId257" Type="http://schemas.openxmlformats.org/officeDocument/2006/relationships/hyperlink" Target="https://odysia-cruise-uk.client.prod.eu-west.dreamlake.io/cruise-lines/po-cruises/azura" TargetMode="External"/><Relationship Id="rId378" Type="http://schemas.openxmlformats.org/officeDocument/2006/relationships/hyperlink" Target="https://odysia-cruise-uk.client.prod.eu-west.dreamlake.io/cruise-lines/seabourn/seabourn-encore" TargetMode="External"/><Relationship Id="rId135" Type="http://schemas.openxmlformats.org/officeDocument/2006/relationships/hyperlink" Target="https://odysia-cruise-uk.client.prod.eu-west.dreamlake.io/cruise-lines/holland-america-line/westerdam/cruises" TargetMode="External"/><Relationship Id="rId256" Type="http://schemas.openxmlformats.org/officeDocument/2006/relationships/hyperlink" Target="https://odysia-cruise-uk.client.prod.eu-west.dreamlake.io/cruise-lines/po-cruises/aurora/cruises" TargetMode="External"/><Relationship Id="rId377" Type="http://schemas.openxmlformats.org/officeDocument/2006/relationships/hyperlink" Target="https://odysia-cruise-uk.client.prod.eu-west.dreamlake.io/cruise-lines/seabourn/cruises" TargetMode="External"/><Relationship Id="rId134" Type="http://schemas.openxmlformats.org/officeDocument/2006/relationships/hyperlink" Target="https://odysia-cruise-uk.client.prod.eu-west.dreamlake.io/cruise-lines/holland-america-line/westerdam" TargetMode="External"/><Relationship Id="rId255" Type="http://schemas.openxmlformats.org/officeDocument/2006/relationships/hyperlink" Target="https://odysia-cruise-uk.client.prod.eu-west.dreamlake.io/cruise-lines/po-cruises/aurora" TargetMode="External"/><Relationship Id="rId376" Type="http://schemas.openxmlformats.org/officeDocument/2006/relationships/hyperlink" Target="https://odysia-cruise-uk.client.prod.eu-west.dreamlake.io/cruise-lines/seabourn" TargetMode="External"/><Relationship Id="rId133" Type="http://schemas.openxmlformats.org/officeDocument/2006/relationships/hyperlink" Target="https://odysia-cruise-uk.client.prod.eu-west.dreamlake.io/cruise-lines/holland-america-line/volendam/cruises" TargetMode="External"/><Relationship Id="rId254" Type="http://schemas.openxmlformats.org/officeDocument/2006/relationships/hyperlink" Target="https://odysia-cruise-uk.client.prod.eu-west.dreamlake.io/cruise-lines/po-cruises/arvia/cruises" TargetMode="External"/><Relationship Id="rId375" Type="http://schemas.openxmlformats.org/officeDocument/2006/relationships/hyperlink" Target="https://odysia-cruise-uk.client.prod.eu-west.dreamlake.io/cruise-lines/royal-caribbean/wonder-of-the-seas/cruises" TargetMode="External"/><Relationship Id="rId172" Type="http://schemas.openxmlformats.org/officeDocument/2006/relationships/hyperlink" Target="https://odysia-cruise-uk.client.prod.eu-west.dreamlake.io/cruise-lines/msc-cruises/msc-seashore" TargetMode="External"/><Relationship Id="rId293" Type="http://schemas.openxmlformats.org/officeDocument/2006/relationships/hyperlink" Target="https://odysia-cruise-uk.client.prod.eu-west.dreamlake.io/cruise-lines/princess-cruises/ruby-princess/cruises" TargetMode="External"/><Relationship Id="rId171" Type="http://schemas.openxmlformats.org/officeDocument/2006/relationships/hyperlink" Target="https://odysia-cruise-uk.client.prod.eu-west.dreamlake.io/cruise-lines/msc-cruises/msc-seascape/cruises" TargetMode="External"/><Relationship Id="rId292" Type="http://schemas.openxmlformats.org/officeDocument/2006/relationships/hyperlink" Target="https://odysia-cruise-uk.client.prod.eu-west.dreamlake.io/cruise-lines/princess-cruises/ruby-princess" TargetMode="External"/><Relationship Id="rId170" Type="http://schemas.openxmlformats.org/officeDocument/2006/relationships/hyperlink" Target="https://odysia-cruise-uk.client.prod.eu-west.dreamlake.io/cruise-lines/msc-cruises/msc-seascape" TargetMode="External"/><Relationship Id="rId291" Type="http://schemas.openxmlformats.org/officeDocument/2006/relationships/hyperlink" Target="https://odysia-cruise-uk.client.prod.eu-west.dreamlake.io/cruise-lines/princess-cruises/royal-princess/cruises" TargetMode="External"/><Relationship Id="rId290" Type="http://schemas.openxmlformats.org/officeDocument/2006/relationships/hyperlink" Target="https://odysia-cruise-uk.client.prod.eu-west.dreamlake.io/cruise-lines/princess-cruises/royal-princess" TargetMode="External"/><Relationship Id="rId165" Type="http://schemas.openxmlformats.org/officeDocument/2006/relationships/hyperlink" Target="https://odysia-cruise-uk.client.prod.eu-west.dreamlake.io/cruise-lines/msc-cruises/msc-orchestra/cruises" TargetMode="External"/><Relationship Id="rId286" Type="http://schemas.openxmlformats.org/officeDocument/2006/relationships/hyperlink" Target="https://odysia-cruise-uk.client.prod.eu-west.dreamlake.io/cruise-lines/princess-cruises/majestic-princess" TargetMode="External"/><Relationship Id="rId164" Type="http://schemas.openxmlformats.org/officeDocument/2006/relationships/hyperlink" Target="https://odysia-cruise-uk.client.prod.eu-west.dreamlake.io/cruise-lines/msc-cruises/msc-orchestra" TargetMode="External"/><Relationship Id="rId285" Type="http://schemas.openxmlformats.org/officeDocument/2006/relationships/hyperlink" Target="https://odysia-cruise-uk.client.prod.eu-west.dreamlake.io/cruise-lines/princess-cruises/island-princess/cruises" TargetMode="External"/><Relationship Id="rId163" Type="http://schemas.openxmlformats.org/officeDocument/2006/relationships/hyperlink" Target="https://odysia-cruise-uk.client.prod.eu-west.dreamlake.io/cruise-lines/msc-cruises/msc-opera/cruises" TargetMode="External"/><Relationship Id="rId284" Type="http://schemas.openxmlformats.org/officeDocument/2006/relationships/hyperlink" Target="https://odysia-cruise-uk.client.prod.eu-west.dreamlake.io/cruise-lines/princess-cruises/island-princess" TargetMode="External"/><Relationship Id="rId162" Type="http://schemas.openxmlformats.org/officeDocument/2006/relationships/hyperlink" Target="https://odysia-cruise-uk.client.prod.eu-west.dreamlake.io/cruise-lines/msc-cruises/msc-opera" TargetMode="External"/><Relationship Id="rId283" Type="http://schemas.openxmlformats.org/officeDocument/2006/relationships/hyperlink" Target="https://odysia-cruise-uk.client.prod.eu-west.dreamlake.io/cruise-lines/princess-cruises/grand-princess/cruises" TargetMode="External"/><Relationship Id="rId169" Type="http://schemas.openxmlformats.org/officeDocument/2006/relationships/hyperlink" Target="https://odysia-cruise-uk.client.prod.eu-west.dreamlake.io/cruise-lines/msc-cruises/msc-preziosa/cruises" TargetMode="External"/><Relationship Id="rId168" Type="http://schemas.openxmlformats.org/officeDocument/2006/relationships/hyperlink" Target="https://odysia-cruise-uk.client.prod.eu-west.dreamlake.io/cruise-lines/msc-cruises/msc-preziosa" TargetMode="External"/><Relationship Id="rId289" Type="http://schemas.openxmlformats.org/officeDocument/2006/relationships/hyperlink" Target="https://odysia-cruise-uk.client.prod.eu-west.dreamlake.io/cruise-lines/princess-cruises/regal-princess/cruises" TargetMode="External"/><Relationship Id="rId167" Type="http://schemas.openxmlformats.org/officeDocument/2006/relationships/hyperlink" Target="https://odysia-cruise-uk.client.prod.eu-west.dreamlake.io/cruise-lines/msc-cruises/msc-poesia/cruises" TargetMode="External"/><Relationship Id="rId288" Type="http://schemas.openxmlformats.org/officeDocument/2006/relationships/hyperlink" Target="https://odysia-cruise-uk.client.prod.eu-west.dreamlake.io/cruise-lines/princess-cruises/regal-princess" TargetMode="External"/><Relationship Id="rId166" Type="http://schemas.openxmlformats.org/officeDocument/2006/relationships/hyperlink" Target="https://odysia-cruise-uk.client.prod.eu-west.dreamlake.io/cruise-lines/msc-cruises/msc-poesia" TargetMode="External"/><Relationship Id="rId287" Type="http://schemas.openxmlformats.org/officeDocument/2006/relationships/hyperlink" Target="https://odysia-cruise-uk.client.prod.eu-west.dreamlake.io/cruise-lines/princess-cruises/majestic-princess/cruises" TargetMode="External"/><Relationship Id="rId161" Type="http://schemas.openxmlformats.org/officeDocument/2006/relationships/hyperlink" Target="https://odysia-cruise-uk.client.prod.eu-west.dreamlake.io/cruise-lines/msc-cruises/msc-musica/cruises" TargetMode="External"/><Relationship Id="rId282" Type="http://schemas.openxmlformats.org/officeDocument/2006/relationships/hyperlink" Target="https://odysia-cruise-uk.client.prod.eu-west.dreamlake.io/cruise-lines/princess-cruises/grand-princess" TargetMode="External"/><Relationship Id="rId160" Type="http://schemas.openxmlformats.org/officeDocument/2006/relationships/hyperlink" Target="https://odysia-cruise-uk.client.prod.eu-west.dreamlake.io/cruise-lines/msc-cruises/msc-musica" TargetMode="External"/><Relationship Id="rId281" Type="http://schemas.openxmlformats.org/officeDocument/2006/relationships/hyperlink" Target="https://odysia-cruise-uk.client.prod.eu-west.dreamlake.io/cruise-lines/princess-cruises/enchanted-princess/cruises" TargetMode="External"/><Relationship Id="rId280" Type="http://schemas.openxmlformats.org/officeDocument/2006/relationships/hyperlink" Target="https://odysia-cruise-uk.client.prod.eu-west.dreamlake.io/cruise-lines/princess-cruises/enchanted-princess" TargetMode="External"/><Relationship Id="rId159" Type="http://schemas.openxmlformats.org/officeDocument/2006/relationships/hyperlink" Target="https://odysia-cruise-uk.client.prod.eu-west.dreamlake.io/cruise-lines/msc-cruises/msc-meraviglia/cruises" TargetMode="External"/><Relationship Id="rId154" Type="http://schemas.openxmlformats.org/officeDocument/2006/relationships/hyperlink" Target="https://odysia-cruise-uk.client.prod.eu-west.dreamlake.io/cruise-lines/msc-cruises/msc-lirica" TargetMode="External"/><Relationship Id="rId275" Type="http://schemas.openxmlformats.org/officeDocument/2006/relationships/hyperlink" Target="https://odysia-cruise-uk.client.prod.eu-west.dreamlake.io/cruise-lines/princess-cruises/diamond-princess/cruises" TargetMode="External"/><Relationship Id="rId396" Type="http://schemas.openxmlformats.org/officeDocument/2006/relationships/hyperlink" Target="https://odysia-cruise-uk.client.prod.eu-west.dreamlake.io/cruise-lines/virgin-voyages/scarlet-lady" TargetMode="External"/><Relationship Id="rId153" Type="http://schemas.openxmlformats.org/officeDocument/2006/relationships/hyperlink" Target="https://odysia-cruise-uk.client.prod.eu-west.dreamlake.io/cruise-lines/msc-cruises/msc-grandiosa/cruises" TargetMode="External"/><Relationship Id="rId274" Type="http://schemas.openxmlformats.org/officeDocument/2006/relationships/hyperlink" Target="https://odysia-cruise-uk.client.prod.eu-west.dreamlake.io/cruise-lines/princess-cruises/diamond-princess" TargetMode="External"/><Relationship Id="rId395" Type="http://schemas.openxmlformats.org/officeDocument/2006/relationships/hyperlink" Target="https://odysia-cruise-uk.client.prod.eu-west.dreamlake.io/cruise-lines/virgin-voyages/resilient-lady/cruises" TargetMode="External"/><Relationship Id="rId152" Type="http://schemas.openxmlformats.org/officeDocument/2006/relationships/hyperlink" Target="https://odysia-cruise-uk.client.prod.eu-west.dreamlake.io/cruise-lines/msc-cruises/msc-grandiosa" TargetMode="External"/><Relationship Id="rId273" Type="http://schemas.openxmlformats.org/officeDocument/2006/relationships/hyperlink" Target="https://odysia-cruise-uk.client.prod.eu-west.dreamlake.io/cruise-lines/princess-cruises/cruises" TargetMode="External"/><Relationship Id="rId394" Type="http://schemas.openxmlformats.org/officeDocument/2006/relationships/hyperlink" Target="https://odysia-cruise-uk.client.prod.eu-west.dreamlake.io/cruise-lines/virgin-voyages/resilient-lady" TargetMode="External"/><Relationship Id="rId151" Type="http://schemas.openxmlformats.org/officeDocument/2006/relationships/hyperlink" Target="https://odysia-cruise-uk.client.prod.eu-west.dreamlake.io/cruise-lines/msc-cruises/msc-fantasia/cruises" TargetMode="External"/><Relationship Id="rId272" Type="http://schemas.openxmlformats.org/officeDocument/2006/relationships/hyperlink" Target="https://odysia-cruise-uk.client.prod.eu-west.dreamlake.io/cruise-lines/princess-cruises/crown-princess/cruises" TargetMode="External"/><Relationship Id="rId393" Type="http://schemas.openxmlformats.org/officeDocument/2006/relationships/hyperlink" Target="https://odysia-cruise-uk.client.prod.eu-west.dreamlake.io/cruise-lines/virgin-voyages/cruises" TargetMode="External"/><Relationship Id="rId158" Type="http://schemas.openxmlformats.org/officeDocument/2006/relationships/hyperlink" Target="https://odysia-cruise-uk.client.prod.eu-west.dreamlake.io/cruise-lines/msc-cruises/msc-meraviglia" TargetMode="External"/><Relationship Id="rId279" Type="http://schemas.openxmlformats.org/officeDocument/2006/relationships/hyperlink" Target="https://odysia-cruise-uk.client.prod.eu-west.dreamlake.io/cruise-lines/princess-cruises/emerald-princess/cruises" TargetMode="External"/><Relationship Id="rId157" Type="http://schemas.openxmlformats.org/officeDocument/2006/relationships/hyperlink" Target="https://odysia-cruise-uk.client.prod.eu-west.dreamlake.io/cruise-lines/msc-cruises/msc-magnifica/cruises" TargetMode="External"/><Relationship Id="rId278" Type="http://schemas.openxmlformats.org/officeDocument/2006/relationships/hyperlink" Target="https://odysia-cruise-uk.client.prod.eu-west.dreamlake.io/cruise-lines/princess-cruises/emerald-princess" TargetMode="External"/><Relationship Id="rId399" Type="http://schemas.openxmlformats.org/officeDocument/2006/relationships/hyperlink" Target="https://odysia-cruise-uk.client.prod.eu-west.dreamlake.io/cruise-lines/virgin-voyages/valiant-lady/cruises" TargetMode="External"/><Relationship Id="rId156" Type="http://schemas.openxmlformats.org/officeDocument/2006/relationships/hyperlink" Target="https://odysia-cruise-uk.client.prod.eu-west.dreamlake.io/cruise-lines/msc-cruises/msc-magnifica" TargetMode="External"/><Relationship Id="rId277" Type="http://schemas.openxmlformats.org/officeDocument/2006/relationships/hyperlink" Target="https://odysia-cruise-uk.client.prod.eu-west.dreamlake.io/cruise-lines/princess-cruises/discovery-princess/cruises" TargetMode="External"/><Relationship Id="rId398" Type="http://schemas.openxmlformats.org/officeDocument/2006/relationships/hyperlink" Target="https://odysia-cruise-uk.client.prod.eu-west.dreamlake.io/cruise-lines/virgin-voyages/valiant-lady" TargetMode="External"/><Relationship Id="rId155" Type="http://schemas.openxmlformats.org/officeDocument/2006/relationships/hyperlink" Target="https://odysia-cruise-uk.client.prod.eu-west.dreamlake.io/cruise-lines/msc-cruises/msc-lirica/cruises" TargetMode="External"/><Relationship Id="rId276" Type="http://schemas.openxmlformats.org/officeDocument/2006/relationships/hyperlink" Target="https://odysia-cruise-uk.client.prod.eu-west.dreamlake.io/cruise-lines/princess-cruises/discovery-princess" TargetMode="External"/><Relationship Id="rId397" Type="http://schemas.openxmlformats.org/officeDocument/2006/relationships/hyperlink" Target="https://odysia-cruise-uk.client.prod.eu-west.dreamlake.io/cruise-lines/virgin-voyages/scarlet-lady/cruises" TargetMode="External"/><Relationship Id="rId40" Type="http://schemas.openxmlformats.org/officeDocument/2006/relationships/hyperlink" Target="https://odysia-cruise-uk.client.prod.eu-west.dreamlake.io/cruise-lines/celebrity-cruises/celebrity-apex" TargetMode="External"/><Relationship Id="rId42" Type="http://schemas.openxmlformats.org/officeDocument/2006/relationships/hyperlink" Target="https://odysia-cruise-uk.client.prod.eu-west.dreamlake.io/cruise-lines/celebrity-cruises/celebrity-ascent" TargetMode="External"/><Relationship Id="rId41" Type="http://schemas.openxmlformats.org/officeDocument/2006/relationships/hyperlink" Target="https://odysia-cruise-uk.client.prod.eu-west.dreamlake.io/cruise-lines/celebrity-cruises/celebrity-apex/cruises" TargetMode="External"/><Relationship Id="rId44" Type="http://schemas.openxmlformats.org/officeDocument/2006/relationships/hyperlink" Target="https://odysia-cruise-uk.client.prod.eu-west.dreamlake.io/cruise-lines/celebrity-cruises/celebrity-beyond" TargetMode="External"/><Relationship Id="rId43" Type="http://schemas.openxmlformats.org/officeDocument/2006/relationships/hyperlink" Target="https://odysia-cruise-uk.client.prod.eu-west.dreamlake.io/cruise-lines/celebrity-cruises/celebrity-ascent/cruises" TargetMode="External"/><Relationship Id="rId46" Type="http://schemas.openxmlformats.org/officeDocument/2006/relationships/hyperlink" Target="https://odysia-cruise-uk.client.prod.eu-west.dreamlake.io/cruise-lines/celebrity-cruises/celebrity-constellation" TargetMode="External"/><Relationship Id="rId45" Type="http://schemas.openxmlformats.org/officeDocument/2006/relationships/hyperlink" Target="https://odysia-cruise-uk.client.prod.eu-west.dreamlake.io/cruise-lines/celebrity-cruises/celebrity-beyond/cruises" TargetMode="External"/><Relationship Id="rId48" Type="http://schemas.openxmlformats.org/officeDocument/2006/relationships/hyperlink" Target="https://odysia-cruise-uk.client.prod.eu-west.dreamlake.io/cruise-lines/celebrity-cruises/celebrity-eclipse" TargetMode="External"/><Relationship Id="rId47" Type="http://schemas.openxmlformats.org/officeDocument/2006/relationships/hyperlink" Target="https://odysia-cruise-uk.client.prod.eu-west.dreamlake.io/cruise-lines/celebrity-cruises/celebrity-constellation/cruises" TargetMode="External"/><Relationship Id="rId49" Type="http://schemas.openxmlformats.org/officeDocument/2006/relationships/hyperlink" Target="https://odysia-cruise-uk.client.prod.eu-west.dreamlake.io/cruise-lines/celebrity-cruises/celebrity-eclipse/cruises" TargetMode="External"/><Relationship Id="rId31" Type="http://schemas.openxmlformats.org/officeDocument/2006/relationships/hyperlink" Target="https://odysia-cruise-uk.client.prod.eu-west.dreamlake.io/cruise-lines/azamara/azamara-journey" TargetMode="External"/><Relationship Id="rId30" Type="http://schemas.openxmlformats.org/officeDocument/2006/relationships/hyperlink" Target="https://odysia-cruise-uk.client.prod.eu-west.dreamlake.io/cruise-lines/azamara" TargetMode="External"/><Relationship Id="rId33" Type="http://schemas.openxmlformats.org/officeDocument/2006/relationships/hyperlink" Target="https://odysia-cruise-uk.client.prod.eu-west.dreamlake.io/cruise-lines/azamara/azamara-onward" TargetMode="External"/><Relationship Id="rId32" Type="http://schemas.openxmlformats.org/officeDocument/2006/relationships/hyperlink" Target="https://odysia-cruise-uk.client.prod.eu-west.dreamlake.io/cruise-lines/azamara/azamara-journey/cruises" TargetMode="External"/><Relationship Id="rId35" Type="http://schemas.openxmlformats.org/officeDocument/2006/relationships/hyperlink" Target="https://odysia-cruise-uk.client.prod.eu-west.dreamlake.io/cruise-lines/azamara/azamara-pursuit/cruises" TargetMode="External"/><Relationship Id="rId34" Type="http://schemas.openxmlformats.org/officeDocument/2006/relationships/hyperlink" Target="https://odysia-cruise-uk.client.prod.eu-west.dreamlake.io/cruise-lines/azamara/azamara-pursuit" TargetMode="External"/><Relationship Id="rId37" Type="http://schemas.openxmlformats.org/officeDocument/2006/relationships/hyperlink" Target="https://odysia-cruise-uk.client.prod.eu-west.dreamlake.io/cruise-lines/azamara/azamara-quest/cruises" TargetMode="External"/><Relationship Id="rId36" Type="http://schemas.openxmlformats.org/officeDocument/2006/relationships/hyperlink" Target="https://odysia-cruise-uk.client.prod.eu-west.dreamlake.io/cruise-lines/azamara/azamara-quest" TargetMode="External"/><Relationship Id="rId39" Type="http://schemas.openxmlformats.org/officeDocument/2006/relationships/hyperlink" Target="https://odysia-cruise-uk.client.prod.eu-west.dreamlake.io/cruise-lines/celebrity-cruises" TargetMode="External"/><Relationship Id="rId38" Type="http://schemas.openxmlformats.org/officeDocument/2006/relationships/hyperlink" Target="https://odysia-cruise-uk.client.prod.eu-west.dreamlake.io/cruise-lines/azamara/cruises" TargetMode="External"/><Relationship Id="rId20" Type="http://schemas.openxmlformats.org/officeDocument/2006/relationships/hyperlink" Target="https://odysia-cruise-uk.client.prod.eu-west.dreamlake.io/cruise-deals/mini-cruises" TargetMode="External"/><Relationship Id="rId22" Type="http://schemas.openxmlformats.org/officeDocument/2006/relationships/hyperlink" Target="https://odysia-cruise-uk.client.prod.eu-west.dreamlake.io/cruise-lines/ambassador-cruise-line" TargetMode="External"/><Relationship Id="rId21" Type="http://schemas.openxmlformats.org/officeDocument/2006/relationships/hyperlink" Target="https://odysia-cruise-uk.client.prod.eu-west.dreamlake.io/cruise-lines" TargetMode="External"/><Relationship Id="rId24" Type="http://schemas.openxmlformats.org/officeDocument/2006/relationships/hyperlink" Target="https://odysia-cruise-uk.client.prod.eu-west.dreamlake.io/cruise-lines/ambassador-cruise-line/ambience/cruises" TargetMode="External"/><Relationship Id="rId23" Type="http://schemas.openxmlformats.org/officeDocument/2006/relationships/hyperlink" Target="https://odysia-cruise-uk.client.prod.eu-west.dreamlake.io/cruise-lines/ambassador-cruise-line/ambience" TargetMode="External"/><Relationship Id="rId409" Type="http://schemas.openxmlformats.org/officeDocument/2006/relationships/hyperlink" Target="https://odysia-cruise-uk.client.prod.eu-west.dreamlake.io/destinations/canary-islands" TargetMode="External"/><Relationship Id="rId404" Type="http://schemas.openxmlformats.org/officeDocument/2006/relationships/hyperlink" Target="https://odysia-cruise-uk.client.prod.eu-west.dreamlake.io/destinations/australasia" TargetMode="External"/><Relationship Id="rId403" Type="http://schemas.openxmlformats.org/officeDocument/2006/relationships/hyperlink" Target="https://odysia-cruise-uk.client.prod.eu-west.dreamlake.io/destinations/africa/cruises" TargetMode="External"/><Relationship Id="rId402" Type="http://schemas.openxmlformats.org/officeDocument/2006/relationships/hyperlink" Target="https://odysia-cruise-uk.client.prod.eu-west.dreamlake.io/destinations/africa" TargetMode="External"/><Relationship Id="rId401" Type="http://schemas.openxmlformats.org/officeDocument/2006/relationships/hyperlink" Target="https://odysia-cruise-uk.client.prod.eu-west.dreamlake.io/destinations" TargetMode="External"/><Relationship Id="rId408" Type="http://schemas.openxmlformats.org/officeDocument/2006/relationships/hyperlink" Target="https://odysia-cruise-uk.client.prod.eu-west.dreamlake.io/destinations/canada" TargetMode="External"/><Relationship Id="rId407" Type="http://schemas.openxmlformats.org/officeDocument/2006/relationships/hyperlink" Target="https://odysia-cruise-uk.client.prod.eu-west.dreamlake.io/destinations/british-isles/cruises" TargetMode="External"/><Relationship Id="rId406" Type="http://schemas.openxmlformats.org/officeDocument/2006/relationships/hyperlink" Target="https://odysia-cruise-uk.client.prod.eu-west.dreamlake.io/destinations/british-isles" TargetMode="External"/><Relationship Id="rId405" Type="http://schemas.openxmlformats.org/officeDocument/2006/relationships/hyperlink" Target="https://odysia-cruise-uk.client.prod.eu-west.dreamlake.io/destinations/australasia/cruises" TargetMode="External"/><Relationship Id="rId26" Type="http://schemas.openxmlformats.org/officeDocument/2006/relationships/hyperlink" Target="https://odysia-cruise-uk.client.prod.eu-west.dreamlake.io/cruise-lines/ambassador-cruise-line/ambition/cruises" TargetMode="External"/><Relationship Id="rId25" Type="http://schemas.openxmlformats.org/officeDocument/2006/relationships/hyperlink" Target="https://odysia-cruise-uk.client.prod.eu-west.dreamlake.io/cruise-lines/ambassador-cruise-line/ambition" TargetMode="External"/><Relationship Id="rId28" Type="http://schemas.openxmlformats.org/officeDocument/2006/relationships/hyperlink" Target="https://odysia-cruise-uk.client.prod.eu-west.dreamlake.io/cruise-lines/ambassador-cruise-line/renaissance" TargetMode="External"/><Relationship Id="rId27" Type="http://schemas.openxmlformats.org/officeDocument/2006/relationships/hyperlink" Target="https://odysia-cruise-uk.client.prod.eu-west.dreamlake.io/cruise-lines/ambassador-cruise-line/cruises" TargetMode="External"/><Relationship Id="rId400" Type="http://schemas.openxmlformats.org/officeDocument/2006/relationships/hyperlink" Target="https://odysia-cruise-uk.client.prod.eu-west.dreamlake.io/cruises" TargetMode="External"/><Relationship Id="rId29" Type="http://schemas.openxmlformats.org/officeDocument/2006/relationships/hyperlink" Target="https://odysia-cruise-uk.client.prod.eu-west.dreamlake.io/cruise-lines/ambassador-cruise-line/renaissance/cruises" TargetMode="External"/><Relationship Id="rId11" Type="http://schemas.openxmlformats.org/officeDocument/2006/relationships/hyperlink" Target="https://odysia-cruise-uk.client.prod.eu-west.dreamlake.io/cruise-deals/cruises-from-newcastle" TargetMode="External"/><Relationship Id="rId10" Type="http://schemas.openxmlformats.org/officeDocument/2006/relationships/hyperlink" Target="https://odysia-cruise-uk.client.prod.eu-west.dreamlake.io/cruise-deals/cruises-from-liverpool" TargetMode="External"/><Relationship Id="rId13" Type="http://schemas.openxmlformats.org/officeDocument/2006/relationships/hyperlink" Target="https://odysia-cruise-uk.client.prod.eu-west.dreamlake.io/cruise-deals/cruises-from-scotland" TargetMode="External"/><Relationship Id="rId12" Type="http://schemas.openxmlformats.org/officeDocument/2006/relationships/hyperlink" Target="https://odysia-cruise-uk.client.prod.eu-west.dreamlake.io/cruise-deals/cruises-from-portsmouth" TargetMode="External"/><Relationship Id="rId15" Type="http://schemas.openxmlformats.org/officeDocument/2006/relationships/hyperlink" Target="https://odysia-cruise-uk.client.prod.eu-west.dreamlake.io/cruise-deals/cruises-from-the-uk" TargetMode="External"/><Relationship Id="rId14" Type="http://schemas.openxmlformats.org/officeDocument/2006/relationships/hyperlink" Target="https://odysia-cruise-uk.client.prod.eu-west.dreamlake.io/cruise-deals/cruises-from-southampton" TargetMode="External"/><Relationship Id="rId17" Type="http://schemas.openxmlformats.org/officeDocument/2006/relationships/hyperlink" Target="https://odysia-cruise-uk.client.prod.eu-west.dreamlake.io/cruise-deals/family-cruise-deals" TargetMode="External"/><Relationship Id="rId16" Type="http://schemas.openxmlformats.org/officeDocument/2006/relationships/hyperlink" Target="https://odysia-cruise-uk.client.prod.eu-west.dreamlake.io/cruise-deals/cruises-from-tilbury" TargetMode="External"/><Relationship Id="rId19" Type="http://schemas.openxmlformats.org/officeDocument/2006/relationships/hyperlink" Target="https://odysia-cruise-uk.client.prod.eu-west.dreamlake.io/cruise-deals/last-minute-cruises" TargetMode="External"/><Relationship Id="rId18" Type="http://schemas.openxmlformats.org/officeDocument/2006/relationships/hyperlink" Target="https://odysia-cruise-uk.client.prod.eu-west.dreamlake.io/cruise-deals/fly-cruise-deals" TargetMode="External"/><Relationship Id="rId84" Type="http://schemas.openxmlformats.org/officeDocument/2006/relationships/hyperlink" Target="https://odysia-cruise-uk.client.prod.eu-west.dreamlake.io/cruise-lines/costa-cruises/costa-serena" TargetMode="External"/><Relationship Id="rId83" Type="http://schemas.openxmlformats.org/officeDocument/2006/relationships/hyperlink" Target="https://odysia-cruise-uk.client.prod.eu-west.dreamlake.io/cruise-lines/costa-cruises/costa-pacifica/cruises" TargetMode="External"/><Relationship Id="rId86" Type="http://schemas.openxmlformats.org/officeDocument/2006/relationships/hyperlink" Target="https://odysia-cruise-uk.client.prod.eu-west.dreamlake.io/cruise-lines/costa-cruises/costa-smeralda" TargetMode="External"/><Relationship Id="rId85" Type="http://schemas.openxmlformats.org/officeDocument/2006/relationships/hyperlink" Target="https://odysia-cruise-uk.client.prod.eu-west.dreamlake.io/cruise-lines/costa-cruises/costa-serena/cruises" TargetMode="External"/><Relationship Id="rId88" Type="http://schemas.openxmlformats.org/officeDocument/2006/relationships/hyperlink" Target="https://odysia-cruise-uk.client.prod.eu-west.dreamlake.io/cruise-lines/costa-cruises/costa-toscana" TargetMode="External"/><Relationship Id="rId87" Type="http://schemas.openxmlformats.org/officeDocument/2006/relationships/hyperlink" Target="https://odysia-cruise-uk.client.prod.eu-west.dreamlake.io/cruise-lines/costa-cruises/costa-smeralda/cruises" TargetMode="External"/><Relationship Id="rId89" Type="http://schemas.openxmlformats.org/officeDocument/2006/relationships/hyperlink" Target="https://odysia-cruise-uk.client.prod.eu-west.dreamlake.io/cruise-lines/costa-cruises/costa-toscana/cruises" TargetMode="External"/><Relationship Id="rId80" Type="http://schemas.openxmlformats.org/officeDocument/2006/relationships/hyperlink" Target="https://odysia-cruise-uk.client.prod.eu-west.dreamlake.io/cruise-lines/costa-cruises/costa-fortuna" TargetMode="External"/><Relationship Id="rId82" Type="http://schemas.openxmlformats.org/officeDocument/2006/relationships/hyperlink" Target="https://odysia-cruise-uk.client.prod.eu-west.dreamlake.io/cruise-lines/costa-cruises/costa-pacifica" TargetMode="External"/><Relationship Id="rId81" Type="http://schemas.openxmlformats.org/officeDocument/2006/relationships/hyperlink" Target="https://odysia-cruise-uk.client.prod.eu-west.dreamlake.io/cruise-lines/costa-cruises/costa-fortuna/cruises" TargetMode="External"/><Relationship Id="rId73" Type="http://schemas.openxmlformats.org/officeDocument/2006/relationships/hyperlink" Target="https://odysia-cruise-uk.client.prod.eu-west.dreamlake.io/cruise-lines/costa-cruises/costa-deliziosa/cruises" TargetMode="External"/><Relationship Id="rId72" Type="http://schemas.openxmlformats.org/officeDocument/2006/relationships/hyperlink" Target="https://odysia-cruise-uk.client.prod.eu-west.dreamlake.io/cruise-lines/costa-cruises/costa-deliziosa" TargetMode="External"/><Relationship Id="rId75" Type="http://schemas.openxmlformats.org/officeDocument/2006/relationships/hyperlink" Target="https://odysia-cruise-uk.client.prod.eu-west.dreamlake.io/cruise-lines/costa-cruises/costa-diadema/cruises" TargetMode="External"/><Relationship Id="rId74" Type="http://schemas.openxmlformats.org/officeDocument/2006/relationships/hyperlink" Target="https://odysia-cruise-uk.client.prod.eu-west.dreamlake.io/cruise-lines/costa-cruises/costa-diadema" TargetMode="External"/><Relationship Id="rId77" Type="http://schemas.openxmlformats.org/officeDocument/2006/relationships/hyperlink" Target="https://odysia-cruise-uk.client.prod.eu-west.dreamlake.io/cruise-lines/costa-cruises/costa-fascinosa/cruises" TargetMode="External"/><Relationship Id="rId76" Type="http://schemas.openxmlformats.org/officeDocument/2006/relationships/hyperlink" Target="https://odysia-cruise-uk.client.prod.eu-west.dreamlake.io/cruise-lines/costa-cruises/costa-fascinosa" TargetMode="External"/><Relationship Id="rId79" Type="http://schemas.openxmlformats.org/officeDocument/2006/relationships/hyperlink" Target="https://odysia-cruise-uk.client.prod.eu-west.dreamlake.io/cruise-lines/costa-cruises/costa-favolosa/cruises" TargetMode="External"/><Relationship Id="rId78" Type="http://schemas.openxmlformats.org/officeDocument/2006/relationships/hyperlink" Target="https://odysia-cruise-uk.client.prod.eu-west.dreamlake.io/cruise-lines/costa-cruises/costa-favolosa" TargetMode="External"/><Relationship Id="rId71" Type="http://schemas.openxmlformats.org/officeDocument/2006/relationships/hyperlink" Target="https://odysia-cruise-uk.client.prod.eu-west.dreamlake.io/cruise-lines/costa-cruises" TargetMode="External"/><Relationship Id="rId70" Type="http://schemas.openxmlformats.org/officeDocument/2006/relationships/hyperlink" Target="https://odysia-cruise-uk.client.prod.eu-west.dreamlake.io/cruise-lines/celebrity-cruises/cruises" TargetMode="External"/><Relationship Id="rId62" Type="http://schemas.openxmlformats.org/officeDocument/2006/relationships/hyperlink" Target="https://odysia-cruise-uk.client.prod.eu-west.dreamlake.io/cruise-lines/celebrity-cruises/celebrity-silhouette" TargetMode="External"/><Relationship Id="rId61" Type="http://schemas.openxmlformats.org/officeDocument/2006/relationships/hyperlink" Target="https://odysia-cruise-uk.client.prod.eu-west.dreamlake.io/cruise-lines/celebrity-cruises/celebrity-reflection/cruises" TargetMode="External"/><Relationship Id="rId64" Type="http://schemas.openxmlformats.org/officeDocument/2006/relationships/hyperlink" Target="https://odysia-cruise-uk.client.prod.eu-west.dreamlake.io/cruise-lines/celebrity-cruises/celebrity-solstice" TargetMode="External"/><Relationship Id="rId63" Type="http://schemas.openxmlformats.org/officeDocument/2006/relationships/hyperlink" Target="https://odysia-cruise-uk.client.prod.eu-west.dreamlake.io/cruise-lines/celebrity-cruises/celebrity-silhouette/cruises" TargetMode="External"/><Relationship Id="rId66" Type="http://schemas.openxmlformats.org/officeDocument/2006/relationships/hyperlink" Target="https://odysia-cruise-uk.client.prod.eu-west.dreamlake.io/cruise-lines/celebrity-cruises/celebrity-summit" TargetMode="External"/><Relationship Id="rId65" Type="http://schemas.openxmlformats.org/officeDocument/2006/relationships/hyperlink" Target="https://odysia-cruise-uk.client.prod.eu-west.dreamlake.io/cruise-lines/celebrity-cruises/celebrity-solstice/cruises" TargetMode="External"/><Relationship Id="rId68" Type="http://schemas.openxmlformats.org/officeDocument/2006/relationships/hyperlink" Target="https://odysia-cruise-uk.client.prod.eu-west.dreamlake.io/cruise-lines/celebrity-cruises/celebrity-xcel" TargetMode="External"/><Relationship Id="rId67" Type="http://schemas.openxmlformats.org/officeDocument/2006/relationships/hyperlink" Target="https://odysia-cruise-uk.client.prod.eu-west.dreamlake.io/cruise-lines/celebrity-cruises/celebrity-summit/cruises" TargetMode="External"/><Relationship Id="rId60" Type="http://schemas.openxmlformats.org/officeDocument/2006/relationships/hyperlink" Target="https://odysia-cruise-uk.client.prod.eu-west.dreamlake.io/cruise-lines/celebrity-cruises/celebrity-reflection" TargetMode="External"/><Relationship Id="rId69" Type="http://schemas.openxmlformats.org/officeDocument/2006/relationships/hyperlink" Target="https://odysia-cruise-uk.client.prod.eu-west.dreamlake.io/cruise-lines/celebrity-cruises/celebrity-xcel/cruises" TargetMode="External"/><Relationship Id="rId51" Type="http://schemas.openxmlformats.org/officeDocument/2006/relationships/hyperlink" Target="https://odysia-cruise-uk.client.prod.eu-west.dreamlake.io/cruise-lines/celebrity-cruises/celebrity-edge/cruises" TargetMode="External"/><Relationship Id="rId50" Type="http://schemas.openxmlformats.org/officeDocument/2006/relationships/hyperlink" Target="https://odysia-cruise-uk.client.prod.eu-west.dreamlake.io/cruise-lines/celebrity-cruises/celebrity-edge" TargetMode="External"/><Relationship Id="rId53" Type="http://schemas.openxmlformats.org/officeDocument/2006/relationships/hyperlink" Target="https://odysia-cruise-uk.client.prod.eu-west.dreamlake.io/cruise-lines/celebrity-cruises/celebrity-equinox/cruises" TargetMode="External"/><Relationship Id="rId52" Type="http://schemas.openxmlformats.org/officeDocument/2006/relationships/hyperlink" Target="https://odysia-cruise-uk.client.prod.eu-west.dreamlake.io/cruise-lines/celebrity-cruises/celebrity-equinox" TargetMode="External"/><Relationship Id="rId55" Type="http://schemas.openxmlformats.org/officeDocument/2006/relationships/hyperlink" Target="https://odysia-cruise-uk.client.prod.eu-west.dreamlake.io/cruise-lines/celebrity-cruises/celebrity-flora/cruises" TargetMode="External"/><Relationship Id="rId54" Type="http://schemas.openxmlformats.org/officeDocument/2006/relationships/hyperlink" Target="https://odysia-cruise-uk.client.prod.eu-west.dreamlake.io/cruise-lines/celebrity-cruises/celebrity-flora" TargetMode="External"/><Relationship Id="rId57" Type="http://schemas.openxmlformats.org/officeDocument/2006/relationships/hyperlink" Target="https://odysia-cruise-uk.client.prod.eu-west.dreamlake.io/cruise-lines/celebrity-cruises/celebrity-infinity/cruises" TargetMode="External"/><Relationship Id="rId56" Type="http://schemas.openxmlformats.org/officeDocument/2006/relationships/hyperlink" Target="https://odysia-cruise-uk.client.prod.eu-west.dreamlake.io/cruise-lines/celebrity-cruises/celebrity-infinity" TargetMode="External"/><Relationship Id="rId59" Type="http://schemas.openxmlformats.org/officeDocument/2006/relationships/hyperlink" Target="https://odysia-cruise-uk.client.prod.eu-west.dreamlake.io/cruise-lines/celebrity-cruises/celebrity-millennium/cruises" TargetMode="External"/><Relationship Id="rId58" Type="http://schemas.openxmlformats.org/officeDocument/2006/relationships/hyperlink" Target="https://odysia-cruise-uk.client.prod.eu-west.dreamlake.io/cruise-lines/celebrity-cruises/celebrity-millennium" TargetMode="External"/><Relationship Id="rId107" Type="http://schemas.openxmlformats.org/officeDocument/2006/relationships/hyperlink" Target="https://odysia-cruise-uk.client.prod.eu-west.dreamlake.io/cruise-lines/explora-journeys/explora-iii" TargetMode="External"/><Relationship Id="rId228" Type="http://schemas.openxmlformats.org/officeDocument/2006/relationships/hyperlink" Target="https://odysia-cruise-uk.client.prod.eu-west.dreamlake.io/cruise-lines/norwegian-cruise-line/norwegian-viva" TargetMode="External"/><Relationship Id="rId349" Type="http://schemas.openxmlformats.org/officeDocument/2006/relationships/hyperlink" Target="https://odysia-cruise-uk.client.prod.eu-west.dreamlake.io/cruise-lines/royal-caribbean/oasis-of-the-seas" TargetMode="External"/><Relationship Id="rId106" Type="http://schemas.openxmlformats.org/officeDocument/2006/relationships/hyperlink" Target="https://odysia-cruise-uk.client.prod.eu-west.dreamlake.io/cruise-lines/explora-journeys/explora-ii/cruises" TargetMode="External"/><Relationship Id="rId227" Type="http://schemas.openxmlformats.org/officeDocument/2006/relationships/hyperlink" Target="https://odysia-cruise-uk.client.prod.eu-west.dreamlake.io/cruise-lines/norwegian-cruise-line/norwegian-sun/cruises" TargetMode="External"/><Relationship Id="rId348" Type="http://schemas.openxmlformats.org/officeDocument/2006/relationships/hyperlink" Target="https://odysia-cruise-uk.client.prod.eu-west.dreamlake.io/cruise-lines/royal-caribbean/navigator-of-the-seas/cruises" TargetMode="External"/><Relationship Id="rId105" Type="http://schemas.openxmlformats.org/officeDocument/2006/relationships/hyperlink" Target="https://odysia-cruise-uk.client.prod.eu-west.dreamlake.io/cruise-lines/explora-journeys/explora-ii" TargetMode="External"/><Relationship Id="rId226" Type="http://schemas.openxmlformats.org/officeDocument/2006/relationships/hyperlink" Target="https://odysia-cruise-uk.client.prod.eu-west.dreamlake.io/cruise-lines/norwegian-cruise-line/norwegian-sun" TargetMode="External"/><Relationship Id="rId347" Type="http://schemas.openxmlformats.org/officeDocument/2006/relationships/hyperlink" Target="https://odysia-cruise-uk.client.prod.eu-west.dreamlake.io/cruise-lines/royal-caribbean/navigator-of-the-seas" TargetMode="External"/><Relationship Id="rId104" Type="http://schemas.openxmlformats.org/officeDocument/2006/relationships/hyperlink" Target="https://odysia-cruise-uk.client.prod.eu-west.dreamlake.io/cruise-lines/explora-journeys/explora-i/cruises" TargetMode="External"/><Relationship Id="rId225" Type="http://schemas.openxmlformats.org/officeDocument/2006/relationships/hyperlink" Target="https://odysia-cruise-uk.client.prod.eu-west.dreamlake.io/cruise-lines/norwegian-cruise-line/norwegian-star/cruises" TargetMode="External"/><Relationship Id="rId346" Type="http://schemas.openxmlformats.org/officeDocument/2006/relationships/hyperlink" Target="https://odysia-cruise-uk.client.prod.eu-west.dreamlake.io/cruise-lines/royal-caribbean/mariner-of-the-seas/cruises" TargetMode="External"/><Relationship Id="rId109" Type="http://schemas.openxmlformats.org/officeDocument/2006/relationships/hyperlink" Target="https://odysia-cruise-uk.client.prod.eu-west.dreamlake.io/cruise-lines/fred-olsen-cruises" TargetMode="External"/><Relationship Id="rId108" Type="http://schemas.openxmlformats.org/officeDocument/2006/relationships/hyperlink" Target="https://odysia-cruise-uk.client.prod.eu-west.dreamlake.io/cruise-lines/explora-journeys/explora-iii/cruises" TargetMode="External"/><Relationship Id="rId229" Type="http://schemas.openxmlformats.org/officeDocument/2006/relationships/hyperlink" Target="https://odysia-cruise-uk.client.prod.eu-west.dreamlake.io/cruise-lines/norwegian-cruise-line/norwegian-viva/cruises" TargetMode="External"/><Relationship Id="rId220" Type="http://schemas.openxmlformats.org/officeDocument/2006/relationships/hyperlink" Target="https://odysia-cruise-uk.client.prod.eu-west.dreamlake.io/cruise-lines/norwegian-cruise-line/norwegian-sky" TargetMode="External"/><Relationship Id="rId341" Type="http://schemas.openxmlformats.org/officeDocument/2006/relationships/hyperlink" Target="https://odysia-cruise-uk.client.prod.eu-west.dreamlake.io/cruise-lines/royal-caribbean/legend-of-the-seas" TargetMode="External"/><Relationship Id="rId340" Type="http://schemas.openxmlformats.org/officeDocument/2006/relationships/hyperlink" Target="https://odysia-cruise-uk.client.prod.eu-west.dreamlake.io/cruise-lines/royal-caribbean/jewel-of-the-seas/cruises" TargetMode="External"/><Relationship Id="rId103" Type="http://schemas.openxmlformats.org/officeDocument/2006/relationships/hyperlink" Target="https://odysia-cruise-uk.client.prod.eu-west.dreamlake.io/cruise-lines/explora-journeys/explora-i" TargetMode="External"/><Relationship Id="rId224" Type="http://schemas.openxmlformats.org/officeDocument/2006/relationships/hyperlink" Target="https://odysia-cruise-uk.client.prod.eu-west.dreamlake.io/cruise-lines/norwegian-cruise-line/norwegian-star" TargetMode="External"/><Relationship Id="rId345" Type="http://schemas.openxmlformats.org/officeDocument/2006/relationships/hyperlink" Target="https://odysia-cruise-uk.client.prod.eu-west.dreamlake.io/cruise-lines/royal-caribbean/mariner-of-the-seas" TargetMode="External"/><Relationship Id="rId102" Type="http://schemas.openxmlformats.org/officeDocument/2006/relationships/hyperlink" Target="https://odysia-cruise-uk.client.prod.eu-west.dreamlake.io/cruise-lines/explora-journeys/cruises" TargetMode="External"/><Relationship Id="rId223" Type="http://schemas.openxmlformats.org/officeDocument/2006/relationships/hyperlink" Target="https://odysia-cruise-uk.client.prod.eu-west.dreamlake.io/cruise-lines/norwegian-cruise-line/norwegian-spirit/cruises" TargetMode="External"/><Relationship Id="rId344" Type="http://schemas.openxmlformats.org/officeDocument/2006/relationships/hyperlink" Target="https://odysia-cruise-uk.client.prod.eu-west.dreamlake.io/cruise-lines/royal-caribbean/liberty-of-the-seas/cruises" TargetMode="External"/><Relationship Id="rId101" Type="http://schemas.openxmlformats.org/officeDocument/2006/relationships/hyperlink" Target="https://odysia-cruise-uk.client.prod.eu-west.dreamlake.io/cruise-lines/explora-journeys" TargetMode="External"/><Relationship Id="rId222" Type="http://schemas.openxmlformats.org/officeDocument/2006/relationships/hyperlink" Target="https://odysia-cruise-uk.client.prod.eu-west.dreamlake.io/cruise-lines/norwegian-cruise-line/norwegian-spirit" TargetMode="External"/><Relationship Id="rId343" Type="http://schemas.openxmlformats.org/officeDocument/2006/relationships/hyperlink" Target="https://odysia-cruise-uk.client.prod.eu-west.dreamlake.io/cruise-lines/royal-caribbean/liberty-of-the-seas" TargetMode="External"/><Relationship Id="rId100" Type="http://schemas.openxmlformats.org/officeDocument/2006/relationships/hyperlink" Target="https://odysia-cruise-uk.client.prod.eu-west.dreamlake.io/cruise-lines/cunard/queen-victoria/cruises" TargetMode="External"/><Relationship Id="rId221" Type="http://schemas.openxmlformats.org/officeDocument/2006/relationships/hyperlink" Target="https://odysia-cruise-uk.client.prod.eu-west.dreamlake.io/cruise-lines/norwegian-cruise-line/norwegian-sky/cruises" TargetMode="External"/><Relationship Id="rId342" Type="http://schemas.openxmlformats.org/officeDocument/2006/relationships/hyperlink" Target="https://odysia-cruise-uk.client.prod.eu-west.dreamlake.io/cruise-lines/royal-caribbean/legend-of-the-seas/cruises" TargetMode="External"/><Relationship Id="rId217" Type="http://schemas.openxmlformats.org/officeDocument/2006/relationships/hyperlink" Target="https://odysia-cruise-uk.client.prod.eu-west.dreamlake.io/cruise-lines/norwegian-cruise-line/norwegian-pearl/cruises" TargetMode="External"/><Relationship Id="rId338" Type="http://schemas.openxmlformats.org/officeDocument/2006/relationships/hyperlink" Target="https://odysia-cruise-uk.client.prod.eu-west.dreamlake.io/cruise-lines/royal-caribbean/independence-of-the-seas/cruises" TargetMode="External"/><Relationship Id="rId216" Type="http://schemas.openxmlformats.org/officeDocument/2006/relationships/hyperlink" Target="https://odysia-cruise-uk.client.prod.eu-west.dreamlake.io/cruise-lines/norwegian-cruise-line/norwegian-pearl" TargetMode="External"/><Relationship Id="rId337" Type="http://schemas.openxmlformats.org/officeDocument/2006/relationships/hyperlink" Target="https://odysia-cruise-uk.client.prod.eu-west.dreamlake.io/cruise-lines/royal-caribbean/independence-of-the-seas" TargetMode="External"/><Relationship Id="rId215" Type="http://schemas.openxmlformats.org/officeDocument/2006/relationships/hyperlink" Target="https://odysia-cruise-uk.client.prod.eu-west.dreamlake.io/cruise-lines/norwegian-cruise-line/norwegian-luna/cruises" TargetMode="External"/><Relationship Id="rId336" Type="http://schemas.openxmlformats.org/officeDocument/2006/relationships/hyperlink" Target="https://odysia-cruise-uk.client.prod.eu-west.dreamlake.io/cruise-lines/royal-caribbean/icon-of-the-seas/cruises" TargetMode="External"/><Relationship Id="rId214" Type="http://schemas.openxmlformats.org/officeDocument/2006/relationships/hyperlink" Target="https://odysia-cruise-uk.client.prod.eu-west.dreamlake.io/cruise-lines/norwegian-cruise-line/norwegian-luna" TargetMode="External"/><Relationship Id="rId335" Type="http://schemas.openxmlformats.org/officeDocument/2006/relationships/hyperlink" Target="https://odysia-cruise-uk.client.prod.eu-west.dreamlake.io/cruise-lines/royal-caribbean/icon-of-the-seas" TargetMode="External"/><Relationship Id="rId219" Type="http://schemas.openxmlformats.org/officeDocument/2006/relationships/hyperlink" Target="https://odysia-cruise-uk.client.prod.eu-west.dreamlake.io/cruise-lines/norwegian-cruise-line/norwegian-prima/cruises" TargetMode="External"/><Relationship Id="rId218" Type="http://schemas.openxmlformats.org/officeDocument/2006/relationships/hyperlink" Target="https://odysia-cruise-uk.client.prod.eu-west.dreamlake.io/cruise-lines/norwegian-cruise-line/norwegian-prima" TargetMode="External"/><Relationship Id="rId339" Type="http://schemas.openxmlformats.org/officeDocument/2006/relationships/hyperlink" Target="https://odysia-cruise-uk.client.prod.eu-west.dreamlake.io/cruise-lines/royal-caribbean/jewel-of-the-seas" TargetMode="External"/><Relationship Id="rId330" Type="http://schemas.openxmlformats.org/officeDocument/2006/relationships/hyperlink" Target="https://odysia-cruise-uk.client.prod.eu-west.dreamlake.io/cruise-lines/royal-caribbean/freedom-of-the-seas/cruises" TargetMode="External"/><Relationship Id="rId213" Type="http://schemas.openxmlformats.org/officeDocument/2006/relationships/hyperlink" Target="https://odysia-cruise-uk.client.prod.eu-west.dreamlake.io/cruise-lines/norwegian-cruise-line/norwegian-joy/cruises" TargetMode="External"/><Relationship Id="rId334" Type="http://schemas.openxmlformats.org/officeDocument/2006/relationships/hyperlink" Target="https://odysia-cruise-uk.client.prod.eu-west.dreamlake.io/cruise-lines/royal-caribbean/harmony-of-the-seas/cruises" TargetMode="External"/><Relationship Id="rId212" Type="http://schemas.openxmlformats.org/officeDocument/2006/relationships/hyperlink" Target="https://odysia-cruise-uk.client.prod.eu-west.dreamlake.io/cruise-lines/norwegian-cruise-line/norwegian-joy" TargetMode="External"/><Relationship Id="rId333" Type="http://schemas.openxmlformats.org/officeDocument/2006/relationships/hyperlink" Target="https://odysia-cruise-uk.client.prod.eu-west.dreamlake.io/cruise-lines/royal-caribbean/harmony-of-the-seas" TargetMode="External"/><Relationship Id="rId211" Type="http://schemas.openxmlformats.org/officeDocument/2006/relationships/hyperlink" Target="https://odysia-cruise-uk.client.prod.eu-west.dreamlake.io/cruise-lines/norwegian-cruise-line/norwegian-jewel/cruises" TargetMode="External"/><Relationship Id="rId332" Type="http://schemas.openxmlformats.org/officeDocument/2006/relationships/hyperlink" Target="https://odysia-cruise-uk.client.prod.eu-west.dreamlake.io/cruise-lines/royal-caribbean/grandeur-of-the-seas/cruises" TargetMode="External"/><Relationship Id="rId210" Type="http://schemas.openxmlformats.org/officeDocument/2006/relationships/hyperlink" Target="https://odysia-cruise-uk.client.prod.eu-west.dreamlake.io/cruise-lines/norwegian-cruise-line/norwegian-jewel" TargetMode="External"/><Relationship Id="rId331" Type="http://schemas.openxmlformats.org/officeDocument/2006/relationships/hyperlink" Target="https://odysia-cruise-uk.client.prod.eu-west.dreamlake.io/cruise-lines/royal-caribbean/grandeur-of-the-seas" TargetMode="External"/><Relationship Id="rId370" Type="http://schemas.openxmlformats.org/officeDocument/2006/relationships/hyperlink" Target="https://odysia-cruise-uk.client.prod.eu-west.dreamlake.io/cruise-lines/royal-caribbean/utopia-of-the-seas/cruises" TargetMode="External"/><Relationship Id="rId129" Type="http://schemas.openxmlformats.org/officeDocument/2006/relationships/hyperlink" Target="https://odysia-cruise-uk.client.prod.eu-west.dreamlake.io/cruise-lines/holland-america-line/oosterdam/cruises" TargetMode="External"/><Relationship Id="rId128" Type="http://schemas.openxmlformats.org/officeDocument/2006/relationships/hyperlink" Target="https://odysia-cruise-uk.client.prod.eu-west.dreamlake.io/cruise-lines/holland-america-line/oosterdam" TargetMode="External"/><Relationship Id="rId249" Type="http://schemas.openxmlformats.org/officeDocument/2006/relationships/hyperlink" Target="https://odysia-cruise-uk.client.prod.eu-west.dreamlake.io/cruise-lines/oceania-cruises/oceania-vista/cruises" TargetMode="External"/><Relationship Id="rId127" Type="http://schemas.openxmlformats.org/officeDocument/2006/relationships/hyperlink" Target="https://odysia-cruise-uk.client.prod.eu-west.dreamlake.io/cruise-lines/holland-america-line/noordam/cruises" TargetMode="External"/><Relationship Id="rId248" Type="http://schemas.openxmlformats.org/officeDocument/2006/relationships/hyperlink" Target="https://odysia-cruise-uk.client.prod.eu-west.dreamlake.io/cruise-lines/oceania-cruises/oceania-vista" TargetMode="External"/><Relationship Id="rId369" Type="http://schemas.openxmlformats.org/officeDocument/2006/relationships/hyperlink" Target="https://odysia-cruise-uk.client.prod.eu-west.dreamlake.io/cruise-lines/royal-caribbean/utopia-of-the-seas" TargetMode="External"/><Relationship Id="rId126" Type="http://schemas.openxmlformats.org/officeDocument/2006/relationships/hyperlink" Target="https://odysia-cruise-uk.client.prod.eu-west.dreamlake.io/cruise-lines/holland-america-line/noordam" TargetMode="External"/><Relationship Id="rId247" Type="http://schemas.openxmlformats.org/officeDocument/2006/relationships/hyperlink" Target="https://odysia-cruise-uk.client.prod.eu-west.dreamlake.io/cruise-lines/oceania-cruises/oceania-sirena/cruises" TargetMode="External"/><Relationship Id="rId368" Type="http://schemas.openxmlformats.org/officeDocument/2006/relationships/hyperlink" Target="https://odysia-cruise-uk.client.prod.eu-west.dreamlake.io/cruise-lines/royal-caribbean/symphony-of-the-seas/cruises" TargetMode="External"/><Relationship Id="rId121" Type="http://schemas.openxmlformats.org/officeDocument/2006/relationships/hyperlink" Target="https://odysia-cruise-uk.client.prod.eu-west.dreamlake.io/cruise-lines/holland-america-line/koningsdam/cruises" TargetMode="External"/><Relationship Id="rId242" Type="http://schemas.openxmlformats.org/officeDocument/2006/relationships/hyperlink" Target="https://odysia-cruise-uk.client.prod.eu-west.dreamlake.io/cruise-lines/oceania-cruises/oceania-regatta" TargetMode="External"/><Relationship Id="rId363" Type="http://schemas.openxmlformats.org/officeDocument/2006/relationships/hyperlink" Target="https://odysia-cruise-uk.client.prod.eu-west.dreamlake.io/cruise-lines/royal-caribbean/spectrum-of-the-seas" TargetMode="External"/><Relationship Id="rId120" Type="http://schemas.openxmlformats.org/officeDocument/2006/relationships/hyperlink" Target="https://odysia-cruise-uk.client.prod.eu-west.dreamlake.io/cruise-lines/holland-america-line/koningsdam" TargetMode="External"/><Relationship Id="rId241" Type="http://schemas.openxmlformats.org/officeDocument/2006/relationships/hyperlink" Target="https://odysia-cruise-uk.client.prod.eu-west.dreamlake.io/cruise-lines/oceania-cruises/oceania-nautica/cruises" TargetMode="External"/><Relationship Id="rId362" Type="http://schemas.openxmlformats.org/officeDocument/2006/relationships/hyperlink" Target="https://odysia-cruise-uk.client.prod.eu-west.dreamlake.io/cruise-lines/royal-caribbean/serenade-of-the-seas/cruises" TargetMode="External"/><Relationship Id="rId240" Type="http://schemas.openxmlformats.org/officeDocument/2006/relationships/hyperlink" Target="https://odysia-cruise-uk.client.prod.eu-west.dreamlake.io/cruise-lines/oceania-cruises/oceania-nautica" TargetMode="External"/><Relationship Id="rId361" Type="http://schemas.openxmlformats.org/officeDocument/2006/relationships/hyperlink" Target="https://odysia-cruise-uk.client.prod.eu-west.dreamlake.io/cruise-lines/royal-caribbean/serenade-of-the-seas" TargetMode="External"/><Relationship Id="rId360" Type="http://schemas.openxmlformats.org/officeDocument/2006/relationships/hyperlink" Target="https://odysia-cruise-uk.client.prod.eu-west.dreamlake.io/cruise-lines/royal-caribbean/rhapsody-of-the-seas/cruises" TargetMode="External"/><Relationship Id="rId125" Type="http://schemas.openxmlformats.org/officeDocument/2006/relationships/hyperlink" Target="https://odysia-cruise-uk.client.prod.eu-west.dreamlake.io/cruise-lines/holland-america-line/nieuw-statendam/cruises" TargetMode="External"/><Relationship Id="rId246" Type="http://schemas.openxmlformats.org/officeDocument/2006/relationships/hyperlink" Target="https://odysia-cruise-uk.client.prod.eu-west.dreamlake.io/cruise-lines/oceania-cruises/oceania-sirena" TargetMode="External"/><Relationship Id="rId367" Type="http://schemas.openxmlformats.org/officeDocument/2006/relationships/hyperlink" Target="https://odysia-cruise-uk.client.prod.eu-west.dreamlake.io/cruise-lines/royal-caribbean/symphony-of-the-seas" TargetMode="External"/><Relationship Id="rId124" Type="http://schemas.openxmlformats.org/officeDocument/2006/relationships/hyperlink" Target="https://odysia-cruise-uk.client.prod.eu-west.dreamlake.io/cruise-lines/holland-america-line/nieuw-statendam" TargetMode="External"/><Relationship Id="rId245" Type="http://schemas.openxmlformats.org/officeDocument/2006/relationships/hyperlink" Target="https://odysia-cruise-uk.client.prod.eu-west.dreamlake.io/cruise-lines/oceania-cruises/oceania-riviera/cruises" TargetMode="External"/><Relationship Id="rId366" Type="http://schemas.openxmlformats.org/officeDocument/2006/relationships/hyperlink" Target="https://odysia-cruise-uk.client.prod.eu-west.dreamlake.io/cruise-lines/royal-caribbean/star-of-the-seas/cruises" TargetMode="External"/><Relationship Id="rId123" Type="http://schemas.openxmlformats.org/officeDocument/2006/relationships/hyperlink" Target="https://odysia-cruise-uk.client.prod.eu-west.dreamlake.io/cruise-lines/holland-america-line/nieuw-amsterdam/cruises" TargetMode="External"/><Relationship Id="rId244" Type="http://schemas.openxmlformats.org/officeDocument/2006/relationships/hyperlink" Target="https://odysia-cruise-uk.client.prod.eu-west.dreamlake.io/cruise-lines/oceania-cruises/oceania-riviera" TargetMode="External"/><Relationship Id="rId365" Type="http://schemas.openxmlformats.org/officeDocument/2006/relationships/hyperlink" Target="https://odysia-cruise-uk.client.prod.eu-west.dreamlake.io/cruise-lines/royal-caribbean/star-of-the-seas" TargetMode="External"/><Relationship Id="rId122" Type="http://schemas.openxmlformats.org/officeDocument/2006/relationships/hyperlink" Target="https://odysia-cruise-uk.client.prod.eu-west.dreamlake.io/cruise-lines/holland-america-line/nieuw-amsterdam" TargetMode="External"/><Relationship Id="rId243" Type="http://schemas.openxmlformats.org/officeDocument/2006/relationships/hyperlink" Target="https://odysia-cruise-uk.client.prod.eu-west.dreamlake.io/cruise-lines/oceania-cruises/oceania-regatta/cruises" TargetMode="External"/><Relationship Id="rId364" Type="http://schemas.openxmlformats.org/officeDocument/2006/relationships/hyperlink" Target="https://odysia-cruise-uk.client.prod.eu-west.dreamlake.io/cruise-lines/royal-caribbean/spectrum-of-the-seas/cruises" TargetMode="External"/><Relationship Id="rId95" Type="http://schemas.openxmlformats.org/officeDocument/2006/relationships/hyperlink" Target="https://odysia-cruise-uk.client.prod.eu-west.dreamlake.io/cruise-lines/cunard/queen-elizabeth" TargetMode="External"/><Relationship Id="rId94" Type="http://schemas.openxmlformats.org/officeDocument/2006/relationships/hyperlink" Target="https://odysia-cruise-uk.client.prod.eu-west.dreamlake.io/cruise-lines/cunard/queen-anne/cruises" TargetMode="External"/><Relationship Id="rId97" Type="http://schemas.openxmlformats.org/officeDocument/2006/relationships/hyperlink" Target="https://odysia-cruise-uk.client.prod.eu-west.dreamlake.io/cruise-lines/cunard/queen-mary-2" TargetMode="External"/><Relationship Id="rId96" Type="http://schemas.openxmlformats.org/officeDocument/2006/relationships/hyperlink" Target="https://odysia-cruise-uk.client.prod.eu-west.dreamlake.io/cruise-lines/cunard/queen-elizabeth/cruises" TargetMode="External"/><Relationship Id="rId99" Type="http://schemas.openxmlformats.org/officeDocument/2006/relationships/hyperlink" Target="https://odysia-cruise-uk.client.prod.eu-west.dreamlake.io/cruise-lines/cunard/queen-victoria" TargetMode="External"/><Relationship Id="rId98" Type="http://schemas.openxmlformats.org/officeDocument/2006/relationships/hyperlink" Target="https://odysia-cruise-uk.client.prod.eu-west.dreamlake.io/cruise-lines/cunard/queen-mary-2/cruises" TargetMode="External"/><Relationship Id="rId91" Type="http://schemas.openxmlformats.org/officeDocument/2006/relationships/hyperlink" Target="https://odysia-cruise-uk.client.prod.eu-west.dreamlake.io/cruise-lines/cunard" TargetMode="External"/><Relationship Id="rId90" Type="http://schemas.openxmlformats.org/officeDocument/2006/relationships/hyperlink" Target="https://odysia-cruise-uk.client.prod.eu-west.dreamlake.io/cruise-lines/costa-cruises/cruises" TargetMode="External"/><Relationship Id="rId93" Type="http://schemas.openxmlformats.org/officeDocument/2006/relationships/hyperlink" Target="https://odysia-cruise-uk.client.prod.eu-west.dreamlake.io/cruise-lines/cunard/queen-anne" TargetMode="External"/><Relationship Id="rId92" Type="http://schemas.openxmlformats.org/officeDocument/2006/relationships/hyperlink" Target="https://odysia-cruise-uk.client.prod.eu-west.dreamlake.io/cruise-lines/cunard/cruises" TargetMode="External"/><Relationship Id="rId118" Type="http://schemas.openxmlformats.org/officeDocument/2006/relationships/hyperlink" Target="https://odysia-cruise-uk.client.prod.eu-west.dreamlake.io/cruise-lines/holland-america-line/eurodam" TargetMode="External"/><Relationship Id="rId239" Type="http://schemas.openxmlformats.org/officeDocument/2006/relationships/hyperlink" Target="https://odysia-cruise-uk.client.prod.eu-west.dreamlake.io/cruise-lines/oceania-cruises/oceania-marina/cruises" TargetMode="External"/><Relationship Id="rId117" Type="http://schemas.openxmlformats.org/officeDocument/2006/relationships/hyperlink" Target="https://odysia-cruise-uk.client.prod.eu-west.dreamlake.io/cruise-lines/holland-america-line" TargetMode="External"/><Relationship Id="rId238" Type="http://schemas.openxmlformats.org/officeDocument/2006/relationships/hyperlink" Target="https://odysia-cruise-uk.client.prod.eu-west.dreamlake.io/cruise-lines/oceania-cruises/oceania-marina" TargetMode="External"/><Relationship Id="rId359" Type="http://schemas.openxmlformats.org/officeDocument/2006/relationships/hyperlink" Target="https://odysia-cruise-uk.client.prod.eu-west.dreamlake.io/cruise-lines/royal-caribbean/rhapsody-of-the-seas" TargetMode="External"/><Relationship Id="rId116" Type="http://schemas.openxmlformats.org/officeDocument/2006/relationships/hyperlink" Target="https://odysia-cruise-uk.client.prod.eu-west.dreamlake.io/cruise-lines/fred-olsen-cruises/cruises" TargetMode="External"/><Relationship Id="rId237" Type="http://schemas.openxmlformats.org/officeDocument/2006/relationships/hyperlink" Target="https://odysia-cruise-uk.client.prod.eu-west.dreamlake.io/cruise-lines/oceania-cruises/oceania-insignia/cruises" TargetMode="External"/><Relationship Id="rId358" Type="http://schemas.openxmlformats.org/officeDocument/2006/relationships/hyperlink" Target="https://odysia-cruise-uk.client.prod.eu-west.dreamlake.io/cruise-lines/royal-caribbean/radiance-of-the-seas/cruises" TargetMode="External"/><Relationship Id="rId115" Type="http://schemas.openxmlformats.org/officeDocument/2006/relationships/hyperlink" Target="https://odysia-cruise-uk.client.prod.eu-west.dreamlake.io/cruise-lines/fred-olsen-cruises/borealis/cruises" TargetMode="External"/><Relationship Id="rId236" Type="http://schemas.openxmlformats.org/officeDocument/2006/relationships/hyperlink" Target="https://odysia-cruise-uk.client.prod.eu-west.dreamlake.io/cruise-lines/oceania-cruises/oceania-insignia" TargetMode="External"/><Relationship Id="rId357" Type="http://schemas.openxmlformats.org/officeDocument/2006/relationships/hyperlink" Target="https://odysia-cruise-uk.client.prod.eu-west.dreamlake.io/cruise-lines/royal-caribbean/radiance-of-the-seas" TargetMode="External"/><Relationship Id="rId119" Type="http://schemas.openxmlformats.org/officeDocument/2006/relationships/hyperlink" Target="https://odysia-cruise-uk.client.prod.eu-west.dreamlake.io/cruise-lines/holland-america-line/eurodam/cruises" TargetMode="External"/><Relationship Id="rId110" Type="http://schemas.openxmlformats.org/officeDocument/2006/relationships/hyperlink" Target="https://odysia-cruise-uk.client.prod.eu-west.dreamlake.io/cruise-lines/fred-olsen-cruises/balmoral" TargetMode="External"/><Relationship Id="rId231" Type="http://schemas.openxmlformats.org/officeDocument/2006/relationships/hyperlink" Target="https://odysia-cruise-uk.client.prod.eu-west.dreamlake.io/cruise-lines/norwegian-cruise-line/pride-of-america/cruises" TargetMode="External"/><Relationship Id="rId352" Type="http://schemas.openxmlformats.org/officeDocument/2006/relationships/hyperlink" Target="https://odysia-cruise-uk.client.prod.eu-west.dreamlake.io/cruise-lines/royal-caribbean/odyssey-of-the-seas/cruises" TargetMode="External"/><Relationship Id="rId230" Type="http://schemas.openxmlformats.org/officeDocument/2006/relationships/hyperlink" Target="https://odysia-cruise-uk.client.prod.eu-west.dreamlake.io/cruise-lines/norwegian-cruise-line/pride-of-america" TargetMode="External"/><Relationship Id="rId351" Type="http://schemas.openxmlformats.org/officeDocument/2006/relationships/hyperlink" Target="https://odysia-cruise-uk.client.prod.eu-west.dreamlake.io/cruise-lines/royal-caribbean/odyssey-of-the-seas" TargetMode="External"/><Relationship Id="rId350" Type="http://schemas.openxmlformats.org/officeDocument/2006/relationships/hyperlink" Target="https://odysia-cruise-uk.client.prod.eu-west.dreamlake.io/cruise-lines/royal-caribbean/oasis-of-the-seas/cruises" TargetMode="External"/><Relationship Id="rId114" Type="http://schemas.openxmlformats.org/officeDocument/2006/relationships/hyperlink" Target="https://odysia-cruise-uk.client.prod.eu-west.dreamlake.io/cruise-lines/fred-olsen-cruises/borealis" TargetMode="External"/><Relationship Id="rId235" Type="http://schemas.openxmlformats.org/officeDocument/2006/relationships/hyperlink" Target="https://odysia-cruise-uk.client.prod.eu-west.dreamlake.io/cruise-lines/oceania-cruises/oceania-allura/cruises" TargetMode="External"/><Relationship Id="rId356" Type="http://schemas.openxmlformats.org/officeDocument/2006/relationships/hyperlink" Target="https://odysia-cruise-uk.client.prod.eu-west.dreamlake.io/cruise-lines/royal-caribbean/quantum-of-the-seas/cruises" TargetMode="External"/><Relationship Id="rId113" Type="http://schemas.openxmlformats.org/officeDocument/2006/relationships/hyperlink" Target="https://odysia-cruise-uk.client.prod.eu-west.dreamlake.io/cruise-lines/fred-olsen-cruises/bolette/cruises" TargetMode="External"/><Relationship Id="rId234" Type="http://schemas.openxmlformats.org/officeDocument/2006/relationships/hyperlink" Target="https://odysia-cruise-uk.client.prod.eu-west.dreamlake.io/cruise-lines/oceania-cruises/oceania-allura" TargetMode="External"/><Relationship Id="rId355" Type="http://schemas.openxmlformats.org/officeDocument/2006/relationships/hyperlink" Target="https://odysia-cruise-uk.client.prod.eu-west.dreamlake.io/cruise-lines/royal-caribbean/quantum-of-the-seas" TargetMode="External"/><Relationship Id="rId112" Type="http://schemas.openxmlformats.org/officeDocument/2006/relationships/hyperlink" Target="https://odysia-cruise-uk.client.prod.eu-west.dreamlake.io/cruise-lines/fred-olsen-cruises/bolette" TargetMode="External"/><Relationship Id="rId233" Type="http://schemas.openxmlformats.org/officeDocument/2006/relationships/hyperlink" Target="https://odysia-cruise-uk.client.prod.eu-west.dreamlake.io/cruise-lines/oceania-cruises/cruises" TargetMode="External"/><Relationship Id="rId354" Type="http://schemas.openxmlformats.org/officeDocument/2006/relationships/hyperlink" Target="https://odysia-cruise-uk.client.prod.eu-west.dreamlake.io/cruise-lines/royal-caribbean/ovation-of-the-seas/cruises" TargetMode="External"/><Relationship Id="rId111" Type="http://schemas.openxmlformats.org/officeDocument/2006/relationships/hyperlink" Target="https://odysia-cruise-uk.client.prod.eu-west.dreamlake.io/cruise-lines/fred-olsen-cruises/balmoral/cruises" TargetMode="External"/><Relationship Id="rId232" Type="http://schemas.openxmlformats.org/officeDocument/2006/relationships/hyperlink" Target="https://odysia-cruise-uk.client.prod.eu-west.dreamlake.io/cruise-lines/oceania-cruises" TargetMode="External"/><Relationship Id="rId353" Type="http://schemas.openxmlformats.org/officeDocument/2006/relationships/hyperlink" Target="https://odysia-cruise-uk.client.prod.eu-west.dreamlake.io/cruise-lines/royal-caribbean/ovation-of-the-seas" TargetMode="External"/><Relationship Id="rId305" Type="http://schemas.openxmlformats.org/officeDocument/2006/relationships/hyperlink" Target="https://odysia-cruise-uk.client.prod.eu-west.dreamlake.io/cruise-lines/regent-seven-seas-cruises/seven-seas-explorer/cruises" TargetMode="External"/><Relationship Id="rId426" Type="http://schemas.openxmlformats.org/officeDocument/2006/relationships/hyperlink" Target="https://odysia-cruise-uk.client.prod.eu-west.dreamlake.io/destinations/norway-norwegian-fjords/cruises" TargetMode="External"/><Relationship Id="rId304" Type="http://schemas.openxmlformats.org/officeDocument/2006/relationships/hyperlink" Target="https://odysia-cruise-uk.client.prod.eu-west.dreamlake.io/cruise-lines/regent-seven-seas-cruises/seven-seas-explorer" TargetMode="External"/><Relationship Id="rId425" Type="http://schemas.openxmlformats.org/officeDocument/2006/relationships/hyperlink" Target="https://odysia-cruise-uk.client.prod.eu-west.dreamlake.io/destinations/norway-norwegian-fjords" TargetMode="External"/><Relationship Id="rId303" Type="http://schemas.openxmlformats.org/officeDocument/2006/relationships/hyperlink" Target="https://odysia-cruise-uk.client.prod.eu-west.dreamlake.io/cruise-lines/regent-seven-seas-cruises/cruises" TargetMode="External"/><Relationship Id="rId424" Type="http://schemas.openxmlformats.org/officeDocument/2006/relationships/hyperlink" Target="https://odysia-cruise-uk.client.prod.eu-west.dreamlake.io/destinations/northern-europe/cruises" TargetMode="External"/><Relationship Id="rId302" Type="http://schemas.openxmlformats.org/officeDocument/2006/relationships/hyperlink" Target="https://odysia-cruise-uk.client.prod.eu-west.dreamlake.io/cruise-lines/regent-seven-seas-cruises" TargetMode="External"/><Relationship Id="rId423" Type="http://schemas.openxmlformats.org/officeDocument/2006/relationships/hyperlink" Target="https://odysia-cruise-uk.client.prod.eu-west.dreamlake.io/destinations/northern-europe" TargetMode="External"/><Relationship Id="rId309" Type="http://schemas.openxmlformats.org/officeDocument/2006/relationships/hyperlink" Target="https://odysia-cruise-uk.client.prod.eu-west.dreamlake.io/cruise-lines/regent-seven-seas-cruises/seven-seas-mariner/cruises" TargetMode="External"/><Relationship Id="rId308" Type="http://schemas.openxmlformats.org/officeDocument/2006/relationships/hyperlink" Target="https://odysia-cruise-uk.client.prod.eu-west.dreamlake.io/cruise-lines/regent-seven-seas-cruises/seven-seas-mariner" TargetMode="External"/><Relationship Id="rId429" Type="http://schemas.openxmlformats.org/officeDocument/2006/relationships/hyperlink" Target="https://odysia-cruise-uk.client.prod.eu-west.dreamlake.io/destinations/polar-regions/cruises" TargetMode="External"/><Relationship Id="rId307" Type="http://schemas.openxmlformats.org/officeDocument/2006/relationships/hyperlink" Target="https://odysia-cruise-uk.client.prod.eu-west.dreamlake.io/cruise-lines/regent-seven-seas-cruises/seven-seas-grandeur/cruises" TargetMode="External"/><Relationship Id="rId428" Type="http://schemas.openxmlformats.org/officeDocument/2006/relationships/hyperlink" Target="https://odysia-cruise-uk.client.prod.eu-west.dreamlake.io/destinations/polar-regions" TargetMode="External"/><Relationship Id="rId306" Type="http://schemas.openxmlformats.org/officeDocument/2006/relationships/hyperlink" Target="https://odysia-cruise-uk.client.prod.eu-west.dreamlake.io/cruise-lines/regent-seven-seas-cruises/seven-seas-grandeur" TargetMode="External"/><Relationship Id="rId427" Type="http://schemas.openxmlformats.org/officeDocument/2006/relationships/hyperlink" Target="https://odysia-cruise-uk.client.prod.eu-west.dreamlake.io/destinations/pacific-island-cruises" TargetMode="External"/><Relationship Id="rId301" Type="http://schemas.openxmlformats.org/officeDocument/2006/relationships/hyperlink" Target="https://odysia-cruise-uk.client.prod.eu-west.dreamlake.io/cruise-lines/princess-cruises/sun-princess/cruises" TargetMode="External"/><Relationship Id="rId422" Type="http://schemas.openxmlformats.org/officeDocument/2006/relationships/hyperlink" Target="https://odysia-cruise-uk.client.prod.eu-west.dreamlake.io/destinations/north-america/cruises" TargetMode="External"/><Relationship Id="rId300" Type="http://schemas.openxmlformats.org/officeDocument/2006/relationships/hyperlink" Target="https://odysia-cruise-uk.client.prod.eu-west.dreamlake.io/cruise-lines/princess-cruises/sun-princess" TargetMode="External"/><Relationship Id="rId421" Type="http://schemas.openxmlformats.org/officeDocument/2006/relationships/hyperlink" Target="https://odysia-cruise-uk.client.prod.eu-west.dreamlake.io/destinations/north-america" TargetMode="External"/><Relationship Id="rId420" Type="http://schemas.openxmlformats.org/officeDocument/2006/relationships/hyperlink" Target="https://odysia-cruise-uk.client.prod.eu-west.dreamlake.io/destinations/middle-east/cruises" TargetMode="External"/><Relationship Id="rId415" Type="http://schemas.openxmlformats.org/officeDocument/2006/relationships/hyperlink" Target="https://odysia-cruise-uk.client.prod.eu-west.dreamlake.io/destinations/far-east" TargetMode="External"/><Relationship Id="rId414" Type="http://schemas.openxmlformats.org/officeDocument/2006/relationships/hyperlink" Target="https://odysia-cruise-uk.client.prod.eu-west.dreamlake.io/destinations/central-south-america/cruises" TargetMode="External"/><Relationship Id="rId413" Type="http://schemas.openxmlformats.org/officeDocument/2006/relationships/hyperlink" Target="https://odysia-cruise-uk.client.prod.eu-west.dreamlake.io/destinations/central-south-america" TargetMode="External"/><Relationship Id="rId412" Type="http://schemas.openxmlformats.org/officeDocument/2006/relationships/hyperlink" Target="https://odysia-cruise-uk.client.prod.eu-west.dreamlake.io/destinations/caribbean/cruises" TargetMode="External"/><Relationship Id="rId419" Type="http://schemas.openxmlformats.org/officeDocument/2006/relationships/hyperlink" Target="https://odysia-cruise-uk.client.prod.eu-west.dreamlake.io/destinations/middle-east" TargetMode="External"/><Relationship Id="rId418" Type="http://schemas.openxmlformats.org/officeDocument/2006/relationships/hyperlink" Target="https://odysia-cruise-uk.client.prod.eu-west.dreamlake.io/destinations/mediterranean/cruises" TargetMode="External"/><Relationship Id="rId417" Type="http://schemas.openxmlformats.org/officeDocument/2006/relationships/hyperlink" Target="https://odysia-cruise-uk.client.prod.eu-west.dreamlake.io/destinations/mediterranean" TargetMode="External"/><Relationship Id="rId416" Type="http://schemas.openxmlformats.org/officeDocument/2006/relationships/hyperlink" Target="https://odysia-cruise-uk.client.prod.eu-west.dreamlake.io/destinations/far-east/cruises" TargetMode="External"/><Relationship Id="rId411" Type="http://schemas.openxmlformats.org/officeDocument/2006/relationships/hyperlink" Target="https://odysia-cruise-uk.client.prod.eu-west.dreamlake.io/destinations/caribbean" TargetMode="External"/><Relationship Id="rId410" Type="http://schemas.openxmlformats.org/officeDocument/2006/relationships/hyperlink" Target="https://odysia-cruise-uk.client.prod.eu-west.dreamlake.io/destinations/canary-islands/cruises" TargetMode="External"/><Relationship Id="rId206" Type="http://schemas.openxmlformats.org/officeDocument/2006/relationships/hyperlink" Target="https://odysia-cruise-uk.client.prod.eu-west.dreamlake.io/cruise-lines/norwegian-cruise-line/norwegian-getaway" TargetMode="External"/><Relationship Id="rId327" Type="http://schemas.openxmlformats.org/officeDocument/2006/relationships/hyperlink" Target="https://odysia-cruise-uk.client.prod.eu-west.dreamlake.io/cruise-lines/royal-caribbean/explorer-of-the-seas" TargetMode="External"/><Relationship Id="rId205" Type="http://schemas.openxmlformats.org/officeDocument/2006/relationships/hyperlink" Target="https://odysia-cruise-uk.client.prod.eu-west.dreamlake.io/cruise-lines/norwegian-cruise-line/norwegian-gem/cruises" TargetMode="External"/><Relationship Id="rId326" Type="http://schemas.openxmlformats.org/officeDocument/2006/relationships/hyperlink" Target="https://odysia-cruise-uk.client.prod.eu-west.dreamlake.io/cruise-lines/royal-caribbean/enchantment-of-the-seas/cruises" TargetMode="External"/><Relationship Id="rId204" Type="http://schemas.openxmlformats.org/officeDocument/2006/relationships/hyperlink" Target="https://odysia-cruise-uk.client.prod.eu-west.dreamlake.io/cruise-lines/norwegian-cruise-line/norwegian-gem" TargetMode="External"/><Relationship Id="rId325" Type="http://schemas.openxmlformats.org/officeDocument/2006/relationships/hyperlink" Target="https://odysia-cruise-uk.client.prod.eu-west.dreamlake.io/cruise-lines/royal-caribbean/enchantment-of-the-seas" TargetMode="External"/><Relationship Id="rId203" Type="http://schemas.openxmlformats.org/officeDocument/2006/relationships/hyperlink" Target="https://odysia-cruise-uk.client.prod.eu-west.dreamlake.io/cruise-lines/norwegian-cruise-line/norwegian-escape/cruises" TargetMode="External"/><Relationship Id="rId324" Type="http://schemas.openxmlformats.org/officeDocument/2006/relationships/hyperlink" Target="https://odysia-cruise-uk.client.prod.eu-west.dreamlake.io/cruise-lines/royal-caribbean/cruises" TargetMode="External"/><Relationship Id="rId209" Type="http://schemas.openxmlformats.org/officeDocument/2006/relationships/hyperlink" Target="https://odysia-cruise-uk.client.prod.eu-west.dreamlake.io/cruise-lines/norwegian-cruise-line/norwegian-jade/cruises" TargetMode="External"/><Relationship Id="rId208" Type="http://schemas.openxmlformats.org/officeDocument/2006/relationships/hyperlink" Target="https://odysia-cruise-uk.client.prod.eu-west.dreamlake.io/cruise-lines/norwegian-cruise-line/norwegian-jade" TargetMode="External"/><Relationship Id="rId329" Type="http://schemas.openxmlformats.org/officeDocument/2006/relationships/hyperlink" Target="https://odysia-cruise-uk.client.prod.eu-west.dreamlake.io/cruise-lines/royal-caribbean/freedom-of-the-seas" TargetMode="External"/><Relationship Id="rId207" Type="http://schemas.openxmlformats.org/officeDocument/2006/relationships/hyperlink" Target="https://odysia-cruise-uk.client.prod.eu-west.dreamlake.io/cruise-lines/norwegian-cruise-line/norwegian-getaway/cruises" TargetMode="External"/><Relationship Id="rId328" Type="http://schemas.openxmlformats.org/officeDocument/2006/relationships/hyperlink" Target="https://odysia-cruise-uk.client.prod.eu-west.dreamlake.io/cruise-lines/royal-caribbean/explorer-of-the-seas/cruises" TargetMode="External"/><Relationship Id="rId202" Type="http://schemas.openxmlformats.org/officeDocument/2006/relationships/hyperlink" Target="https://odysia-cruise-uk.client.prod.eu-west.dreamlake.io/cruise-lines/norwegian-cruise-line/norwegian-escape" TargetMode="External"/><Relationship Id="rId323" Type="http://schemas.openxmlformats.org/officeDocument/2006/relationships/hyperlink" Target="https://odysia-cruise-uk.client.prod.eu-west.dreamlake.io/cruise-lines/royal-caribbean/brilliance-of-the-seas/cruises" TargetMode="External"/><Relationship Id="rId201" Type="http://schemas.openxmlformats.org/officeDocument/2006/relationships/hyperlink" Target="https://odysia-cruise-uk.client.prod.eu-west.dreamlake.io/cruise-lines/norwegian-cruise-line/norwegian-epic/cruises" TargetMode="External"/><Relationship Id="rId322" Type="http://schemas.openxmlformats.org/officeDocument/2006/relationships/hyperlink" Target="https://odysia-cruise-uk.client.prod.eu-west.dreamlake.io/cruise-lines/royal-caribbean/brilliance-of-the-seas" TargetMode="External"/><Relationship Id="rId200" Type="http://schemas.openxmlformats.org/officeDocument/2006/relationships/hyperlink" Target="https://odysia-cruise-uk.client.prod.eu-west.dreamlake.io/cruise-lines/norwegian-cruise-line/norwegian-epic" TargetMode="External"/><Relationship Id="rId321" Type="http://schemas.openxmlformats.org/officeDocument/2006/relationships/hyperlink" Target="https://odysia-cruise-uk.client.prod.eu-west.dreamlake.io/cruise-lines/royal-caribbean/anthem-of-the-seas/cruises" TargetMode="External"/><Relationship Id="rId320" Type="http://schemas.openxmlformats.org/officeDocument/2006/relationships/hyperlink" Target="https://odysia-cruise-uk.client.prod.eu-west.dreamlake.io/cruise-lines/royal-caribbean/anthem-of-the-seas" TargetMode="External"/><Relationship Id="rId316" Type="http://schemas.openxmlformats.org/officeDocument/2006/relationships/hyperlink" Target="https://odysia-cruise-uk.client.prod.eu-west.dreamlake.io/cruise-lines/royal-caribbean/adventure-of-the-seas" TargetMode="External"/><Relationship Id="rId315" Type="http://schemas.openxmlformats.org/officeDocument/2006/relationships/hyperlink" Target="https://odysia-cruise-uk.client.prod.eu-west.dreamlake.io/cruise-lines/royal-caribbean" TargetMode="External"/><Relationship Id="rId314" Type="http://schemas.openxmlformats.org/officeDocument/2006/relationships/hyperlink" Target="https://odysia-cruise-uk.client.prod.eu-west.dreamlake.io/cruise-lines/regent-seven-seas-cruises/seven-seas-voyager/cruises" TargetMode="External"/><Relationship Id="rId435" Type="http://schemas.openxmlformats.org/officeDocument/2006/relationships/drawing" Target="../drawings/drawing15.xml"/><Relationship Id="rId313" Type="http://schemas.openxmlformats.org/officeDocument/2006/relationships/hyperlink" Target="https://odysia-cruise-uk.client.prod.eu-west.dreamlake.io/cruise-lines/regent-seven-seas-cruises/seven-seas-voyager" TargetMode="External"/><Relationship Id="rId434" Type="http://schemas.openxmlformats.org/officeDocument/2006/relationships/hyperlink" Target="https://odysia-cruise-uk.client.prod.eu-west.dreamlake.io/destinations/world/cruises" TargetMode="External"/><Relationship Id="rId319" Type="http://schemas.openxmlformats.org/officeDocument/2006/relationships/hyperlink" Target="https://odysia-cruise-uk.client.prod.eu-west.dreamlake.io/cruise-lines/royal-caribbean/allure-of-the-seas/cruises" TargetMode="External"/><Relationship Id="rId318" Type="http://schemas.openxmlformats.org/officeDocument/2006/relationships/hyperlink" Target="https://odysia-cruise-uk.client.prod.eu-west.dreamlake.io/cruise-lines/royal-caribbean/allure-of-the-seas" TargetMode="External"/><Relationship Id="rId317" Type="http://schemas.openxmlformats.org/officeDocument/2006/relationships/hyperlink" Target="https://odysia-cruise-uk.client.prod.eu-west.dreamlake.io/cruise-lines/royal-caribbean/adventure-of-the-seas/cruises" TargetMode="External"/><Relationship Id="rId312" Type="http://schemas.openxmlformats.org/officeDocument/2006/relationships/hyperlink" Target="https://odysia-cruise-uk.client.prod.eu-west.dreamlake.io/cruise-lines/regent-seven-seas-cruises/seven-seas-splendor/cruises" TargetMode="External"/><Relationship Id="rId433" Type="http://schemas.openxmlformats.org/officeDocument/2006/relationships/hyperlink" Target="https://odysia-cruise-uk.client.prod.eu-west.dreamlake.io/destinations/world" TargetMode="External"/><Relationship Id="rId311" Type="http://schemas.openxmlformats.org/officeDocument/2006/relationships/hyperlink" Target="https://odysia-cruise-uk.client.prod.eu-west.dreamlake.io/cruise-lines/regent-seven-seas-cruises/seven-seas-splendor" TargetMode="External"/><Relationship Id="rId432" Type="http://schemas.openxmlformats.org/officeDocument/2006/relationships/hyperlink" Target="https://odysia-cruise-uk.client.prod.eu-west.dreamlake.io/destinations/transatlantic/cruises" TargetMode="External"/><Relationship Id="rId310" Type="http://schemas.openxmlformats.org/officeDocument/2006/relationships/hyperlink" Target="https://odysia-cruise-uk.client.prod.eu-west.dreamlake.io/cruise-lines/regent-seven-seas-cruises/seven-seas-navigator" TargetMode="External"/><Relationship Id="rId431" Type="http://schemas.openxmlformats.org/officeDocument/2006/relationships/hyperlink" Target="https://odysia-cruise-uk.client.prod.eu-west.dreamlake.io/destinations/transatlantic" TargetMode="External"/><Relationship Id="rId430" Type="http://schemas.openxmlformats.org/officeDocument/2006/relationships/hyperlink" Target="https://odysia-cruise-uk.client.prod.eu-west.dreamlake.io/destinations/scandinavia-baltic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47.0"/>
    <col customWidth="1" min="3" max="7" width="40.13"/>
    <col customWidth="1" min="8" max="8" width="40.75"/>
    <col customWidth="1" min="9" max="9" width="35.13"/>
    <col customWidth="1" min="10" max="10" width="34.0"/>
    <col customWidth="1" min="11" max="14" width="38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73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</row>
    <row r="3" ht="16.5" customHeight="1">
      <c r="A3" s="5"/>
      <c r="B3" s="6"/>
      <c r="L3" s="7"/>
      <c r="M3" s="7"/>
      <c r="N3" s="7"/>
    </row>
    <row r="4">
      <c r="A4" s="8"/>
      <c r="B4" s="9" t="s">
        <v>0</v>
      </c>
      <c r="G4" s="10" t="s">
        <v>1</v>
      </c>
      <c r="H4" s="10" t="s">
        <v>2</v>
      </c>
      <c r="I4" s="10" t="s">
        <v>3</v>
      </c>
      <c r="J4" s="10" t="s">
        <v>4</v>
      </c>
      <c r="K4" s="10" t="s">
        <v>5</v>
      </c>
      <c r="L4" s="10" t="s">
        <v>6</v>
      </c>
      <c r="M4" s="10" t="s">
        <v>7</v>
      </c>
      <c r="N4" s="10" t="s">
        <v>8</v>
      </c>
    </row>
    <row r="5">
      <c r="A5" s="11"/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3" t="s">
        <v>14</v>
      </c>
      <c r="H5" s="14" t="s">
        <v>15</v>
      </c>
      <c r="I5" s="12" t="s">
        <v>16</v>
      </c>
      <c r="J5" s="12" t="s">
        <v>17</v>
      </c>
      <c r="K5" s="12" t="s">
        <v>5</v>
      </c>
      <c r="L5" s="15" t="s">
        <v>6</v>
      </c>
      <c r="M5" s="15" t="s">
        <v>7</v>
      </c>
      <c r="N5" s="15" t="s">
        <v>8</v>
      </c>
    </row>
    <row r="6">
      <c r="A6" s="11"/>
      <c r="B6" s="16" t="s">
        <v>18</v>
      </c>
      <c r="C6" s="17" t="s">
        <v>19</v>
      </c>
      <c r="D6" s="17" t="s">
        <v>20</v>
      </c>
      <c r="E6" s="18" t="s">
        <v>21</v>
      </c>
      <c r="F6" s="19" t="s">
        <v>22</v>
      </c>
      <c r="G6" s="20" t="s">
        <v>23</v>
      </c>
      <c r="H6" s="21" t="s">
        <v>24</v>
      </c>
      <c r="I6" s="16" t="s">
        <v>25</v>
      </c>
      <c r="J6" s="22" t="s">
        <v>26</v>
      </c>
      <c r="K6" s="19" t="s">
        <v>27</v>
      </c>
      <c r="L6" s="23" t="s">
        <v>28</v>
      </c>
      <c r="M6" s="24" t="s">
        <v>29</v>
      </c>
      <c r="N6" s="11"/>
    </row>
    <row r="7">
      <c r="A7" s="11"/>
      <c r="B7" s="25" t="s">
        <v>30</v>
      </c>
      <c r="C7" s="24" t="s">
        <v>31</v>
      </c>
      <c r="D7" s="26" t="s">
        <v>32</v>
      </c>
      <c r="E7" s="27" t="s">
        <v>33</v>
      </c>
      <c r="F7" s="28" t="s">
        <v>34</v>
      </c>
      <c r="G7" s="29" t="s">
        <v>35</v>
      </c>
      <c r="H7" s="30" t="s">
        <v>36</v>
      </c>
      <c r="I7" s="25" t="s">
        <v>37</v>
      </c>
      <c r="J7" s="31" t="s">
        <v>38</v>
      </c>
      <c r="K7" s="28" t="s">
        <v>39</v>
      </c>
      <c r="L7" s="23" t="s">
        <v>40</v>
      </c>
      <c r="M7" s="26" t="s">
        <v>41</v>
      </c>
      <c r="N7" s="11"/>
    </row>
    <row r="8">
      <c r="A8" s="11"/>
      <c r="B8" s="25" t="s">
        <v>42</v>
      </c>
      <c r="C8" s="24" t="s">
        <v>43</v>
      </c>
      <c r="D8" s="11"/>
      <c r="E8" s="27" t="s">
        <v>44</v>
      </c>
      <c r="F8" s="28" t="s">
        <v>45</v>
      </c>
      <c r="G8" s="29" t="s">
        <v>46</v>
      </c>
      <c r="H8" s="11"/>
      <c r="I8" s="25" t="s">
        <v>47</v>
      </c>
      <c r="J8" s="31" t="s">
        <v>48</v>
      </c>
      <c r="K8" s="28" t="s">
        <v>49</v>
      </c>
      <c r="L8" s="26" t="s">
        <v>50</v>
      </c>
      <c r="M8" s="11"/>
      <c r="N8" s="11"/>
    </row>
    <row r="9">
      <c r="A9" s="11"/>
      <c r="B9" s="25" t="s">
        <v>51</v>
      </c>
      <c r="C9" s="24" t="s">
        <v>52</v>
      </c>
      <c r="D9" s="11"/>
      <c r="E9" s="27" t="s">
        <v>53</v>
      </c>
      <c r="F9" s="32" t="s">
        <v>54</v>
      </c>
      <c r="G9" s="29" t="s">
        <v>55</v>
      </c>
      <c r="H9" s="11"/>
      <c r="I9" s="33" t="s">
        <v>56</v>
      </c>
      <c r="J9" s="31" t="s">
        <v>57</v>
      </c>
      <c r="K9" s="28" t="s">
        <v>58</v>
      </c>
      <c r="L9" s="11"/>
      <c r="M9" s="11"/>
      <c r="N9" s="11"/>
    </row>
    <row r="10">
      <c r="A10" s="11"/>
      <c r="B10" s="25" t="s">
        <v>59</v>
      </c>
      <c r="C10" s="24" t="s">
        <v>60</v>
      </c>
      <c r="D10" s="11"/>
      <c r="E10" s="27" t="s">
        <v>61</v>
      </c>
      <c r="F10" s="11"/>
      <c r="G10" s="29" t="s">
        <v>62</v>
      </c>
      <c r="H10" s="11"/>
      <c r="I10" s="25" t="s">
        <v>63</v>
      </c>
      <c r="J10" s="24" t="s">
        <v>64</v>
      </c>
      <c r="K10" s="28" t="s">
        <v>65</v>
      </c>
      <c r="L10" s="11"/>
      <c r="M10" s="11"/>
      <c r="N10" s="11"/>
    </row>
    <row r="11">
      <c r="A11" s="11"/>
      <c r="B11" s="34" t="s">
        <v>66</v>
      </c>
      <c r="C11" s="24" t="s">
        <v>67</v>
      </c>
      <c r="D11" s="11"/>
      <c r="E11" s="27" t="s">
        <v>68</v>
      </c>
      <c r="F11" s="11"/>
      <c r="G11" s="29" t="s">
        <v>69</v>
      </c>
      <c r="H11" s="11"/>
      <c r="I11" s="34" t="s">
        <v>70</v>
      </c>
      <c r="J11" s="35" t="s">
        <v>71</v>
      </c>
      <c r="K11" s="28" t="s">
        <v>72</v>
      </c>
      <c r="L11" s="11"/>
      <c r="M11" s="11"/>
      <c r="N11" s="11"/>
    </row>
    <row r="12">
      <c r="A12" s="11"/>
      <c r="B12" s="11"/>
      <c r="C12" s="24" t="s">
        <v>73</v>
      </c>
      <c r="D12" s="11"/>
      <c r="E12" s="36" t="s">
        <v>74</v>
      </c>
      <c r="F12" s="11"/>
      <c r="G12" s="29" t="s">
        <v>75</v>
      </c>
      <c r="H12" s="11"/>
      <c r="I12" s="11"/>
      <c r="J12" s="37" t="s">
        <v>76</v>
      </c>
      <c r="K12" s="21"/>
      <c r="L12" s="11"/>
      <c r="M12" s="11"/>
      <c r="N12" s="11"/>
    </row>
    <row r="13">
      <c r="A13" s="11"/>
      <c r="B13" s="11"/>
      <c r="C13" s="24" t="s">
        <v>77</v>
      </c>
      <c r="D13" s="11"/>
      <c r="E13" s="11"/>
      <c r="F13" s="11"/>
      <c r="G13" s="29" t="s">
        <v>78</v>
      </c>
      <c r="H13" s="11"/>
      <c r="I13" s="11"/>
      <c r="J13" s="23"/>
      <c r="K13" s="11"/>
      <c r="L13" s="11"/>
      <c r="M13" s="38"/>
      <c r="N13" s="11"/>
    </row>
    <row r="14">
      <c r="A14" s="11"/>
      <c r="B14" s="11"/>
      <c r="C14" s="39" t="s">
        <v>79</v>
      </c>
      <c r="D14" s="40"/>
      <c r="E14" s="11"/>
      <c r="F14" s="11"/>
      <c r="G14" s="37" t="s">
        <v>80</v>
      </c>
      <c r="H14" s="11"/>
      <c r="I14" s="11"/>
      <c r="J14" s="23"/>
      <c r="K14" s="40"/>
      <c r="L14" s="11"/>
      <c r="M14" s="11"/>
      <c r="N14" s="11"/>
    </row>
    <row r="15">
      <c r="A15" s="11"/>
      <c r="B15" s="11"/>
      <c r="C15" s="39" t="s">
        <v>81</v>
      </c>
      <c r="D15" s="41"/>
      <c r="E15" s="11"/>
      <c r="F15" s="11"/>
      <c r="G15" s="11"/>
      <c r="H15" s="11"/>
      <c r="I15" s="11"/>
      <c r="J15" s="23"/>
      <c r="K15" s="38"/>
      <c r="L15" s="11"/>
      <c r="M15" s="11"/>
      <c r="N15" s="11"/>
    </row>
    <row r="16">
      <c r="A16" s="11"/>
      <c r="B16" s="11"/>
      <c r="C16" s="39" t="s">
        <v>82</v>
      </c>
      <c r="D16" s="11"/>
      <c r="E16" s="11"/>
      <c r="F16" s="11"/>
      <c r="G16" s="11"/>
      <c r="H16" s="11"/>
      <c r="I16" s="11"/>
      <c r="J16" s="42"/>
      <c r="K16" s="11"/>
      <c r="L16" s="11"/>
      <c r="M16" s="11"/>
      <c r="N16" s="40"/>
    </row>
    <row r="17">
      <c r="A17" s="11"/>
      <c r="B17" s="11"/>
      <c r="C17" s="43" t="s">
        <v>83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>
      <c r="A18" s="11"/>
      <c r="B18" s="11"/>
      <c r="C18" s="44"/>
      <c r="D18" s="11"/>
      <c r="E18" s="11"/>
      <c r="F18" s="11"/>
      <c r="G18" s="11"/>
      <c r="H18" s="11"/>
      <c r="I18" s="11"/>
      <c r="J18" s="11"/>
      <c r="K18" s="38"/>
      <c r="L18" s="11"/>
      <c r="M18" s="11"/>
      <c r="N18" s="11"/>
    </row>
    <row r="19">
      <c r="A19" s="11"/>
      <c r="B19" s="11"/>
      <c r="C19" s="44"/>
      <c r="D19" s="38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>
      <c r="A20" s="11"/>
      <c r="B20" s="11"/>
      <c r="C20" s="41"/>
      <c r="D20" s="11"/>
      <c r="E20" s="11"/>
      <c r="F20" s="11"/>
      <c r="G20" s="11"/>
      <c r="H20" s="11"/>
      <c r="I20" s="45"/>
      <c r="J20" s="11"/>
      <c r="K20" s="38"/>
      <c r="L20" s="11"/>
      <c r="M20" s="11"/>
      <c r="N20" s="11"/>
    </row>
    <row r="21">
      <c r="A21" s="11"/>
      <c r="B21" s="11"/>
      <c r="C21" s="44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>
      <c r="A22" s="11"/>
      <c r="B22" s="11"/>
      <c r="C22" s="38"/>
      <c r="D22" s="11"/>
      <c r="E22" s="11"/>
      <c r="F22" s="11"/>
      <c r="G22" s="11"/>
      <c r="H22" s="11"/>
      <c r="I22" s="38"/>
      <c r="J22" s="11"/>
      <c r="K22" s="11"/>
      <c r="L22" s="11"/>
      <c r="M22" s="11"/>
      <c r="N22" s="11"/>
    </row>
    <row r="23">
      <c r="A23" s="11"/>
      <c r="B23" s="11"/>
      <c r="C23" s="38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>
      <c r="A24" s="11"/>
      <c r="B24" s="11"/>
      <c r="C24" s="38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>
      <c r="A25" s="11"/>
      <c r="B25" s="11"/>
      <c r="C25" s="38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>
      <c r="A26" s="11"/>
      <c r="B26" s="11"/>
      <c r="C26" s="38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>
      <c r="A27" s="11"/>
      <c r="B27" s="11"/>
      <c r="C27" s="38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>
      <c r="A28" s="11"/>
      <c r="B28" s="11"/>
      <c r="C28" s="38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>
      <c r="A30" s="11"/>
      <c r="B30" s="46" t="s">
        <v>84</v>
      </c>
      <c r="C30" s="47"/>
      <c r="D30" s="48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>
      <c r="A31" s="11"/>
      <c r="B31" s="17" t="s">
        <v>85</v>
      </c>
      <c r="C31" s="49"/>
      <c r="D31" s="49" t="s">
        <v>86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>
      <c r="A32" s="11"/>
      <c r="B32" s="20" t="s">
        <v>7</v>
      </c>
      <c r="C32" s="19"/>
      <c r="D32" s="17" t="s">
        <v>87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>
      <c r="A33" s="50"/>
      <c r="B33" s="29" t="s">
        <v>57</v>
      </c>
      <c r="C33" s="11"/>
      <c r="D33" s="24" t="s">
        <v>88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>
      <c r="A34" s="50"/>
      <c r="B34" s="29" t="s">
        <v>8</v>
      </c>
      <c r="C34" s="11"/>
      <c r="D34" s="26" t="s">
        <v>89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>
      <c r="A35" s="50"/>
      <c r="B35" s="29" t="s">
        <v>50</v>
      </c>
      <c r="C35" s="11"/>
      <c r="D35" s="50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>
      <c r="A36" s="50"/>
      <c r="B36" s="29" t="s">
        <v>40</v>
      </c>
      <c r="C36" s="11"/>
      <c r="D36" s="50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>
      <c r="A37" s="50"/>
      <c r="B37" s="51" t="s">
        <v>70</v>
      </c>
      <c r="C37" s="11"/>
      <c r="D37" s="50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>
      <c r="A38" s="50"/>
      <c r="B38" s="51" t="s">
        <v>90</v>
      </c>
      <c r="C38" s="11"/>
      <c r="D38" s="50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>
      <c r="A39" s="50"/>
      <c r="B39" s="52" t="s">
        <v>41</v>
      </c>
      <c r="C39" s="11"/>
      <c r="D39" s="50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>
      <c r="A40" s="50"/>
      <c r="B40" s="50"/>
      <c r="C40" s="11"/>
      <c r="D40" s="50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50"/>
      <c r="B41" s="50"/>
      <c r="C41" s="11"/>
      <c r="D41" s="50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>
      <c r="A42" s="50"/>
      <c r="B42" s="50"/>
      <c r="C42" s="11"/>
      <c r="D42" s="50"/>
      <c r="E42" s="50"/>
      <c r="F42" s="50"/>
      <c r="G42" s="50"/>
      <c r="H42" s="11"/>
      <c r="I42" s="11"/>
      <c r="J42" s="11"/>
      <c r="K42" s="11"/>
      <c r="L42" s="11"/>
      <c r="M42" s="11"/>
      <c r="N42" s="11"/>
    </row>
    <row r="43">
      <c r="A43" s="50"/>
      <c r="B43" s="50"/>
      <c r="C43" s="11"/>
      <c r="D43" s="50"/>
      <c r="E43" s="50"/>
      <c r="F43" s="50"/>
      <c r="G43" s="50"/>
      <c r="H43" s="11"/>
      <c r="I43" s="11"/>
      <c r="J43" s="11"/>
      <c r="K43" s="11"/>
      <c r="L43" s="11"/>
      <c r="M43" s="11"/>
      <c r="N43" s="11"/>
    </row>
    <row r="44">
      <c r="A44" s="50"/>
      <c r="B44" s="50"/>
      <c r="C44" s="11"/>
      <c r="D44" s="50"/>
      <c r="E44" s="50"/>
      <c r="F44" s="50"/>
      <c r="G44" s="50"/>
      <c r="H44" s="11"/>
      <c r="I44" s="11"/>
      <c r="J44" s="11"/>
      <c r="K44" s="11"/>
      <c r="L44" s="11"/>
      <c r="N44" s="11"/>
    </row>
  </sheetData>
  <mergeCells count="3">
    <mergeCell ref="B3:K3"/>
    <mergeCell ref="B4:F4"/>
    <mergeCell ref="B30:D30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0.13"/>
    <col customWidth="1" min="4" max="4" width="23.88"/>
    <col customWidth="1" min="6" max="6" width="5.0"/>
  </cols>
  <sheetData>
    <row r="1" ht="15.0" customHeight="1">
      <c r="A1" s="11"/>
      <c r="B1" s="53"/>
      <c r="C1" s="53"/>
      <c r="D1" s="54"/>
      <c r="E1" s="54"/>
      <c r="F1" s="55"/>
    </row>
    <row r="2" ht="73.5" customHeight="1">
      <c r="A2" s="11"/>
      <c r="B2" s="56"/>
      <c r="C2" s="57"/>
      <c r="D2" s="58"/>
      <c r="E2" s="58"/>
      <c r="F2" s="55"/>
    </row>
    <row r="3">
      <c r="A3" s="11"/>
      <c r="B3" s="59" t="s">
        <v>9</v>
      </c>
      <c r="E3" s="60"/>
      <c r="F3" s="55"/>
    </row>
    <row r="4">
      <c r="A4" s="11"/>
      <c r="B4" s="61" t="s">
        <v>91</v>
      </c>
      <c r="E4" s="60"/>
      <c r="F4" s="55"/>
    </row>
    <row r="5">
      <c r="A5" s="11"/>
      <c r="B5" s="62" t="s">
        <v>92</v>
      </c>
      <c r="C5" s="63" t="s">
        <v>93</v>
      </c>
      <c r="D5" s="64" t="s">
        <v>94</v>
      </c>
      <c r="E5" s="65" t="s">
        <v>95</v>
      </c>
      <c r="F5" s="55"/>
    </row>
    <row r="6">
      <c r="A6" s="11"/>
      <c r="B6" s="66" t="s">
        <v>18</v>
      </c>
      <c r="C6" s="67" t="s">
        <v>96</v>
      </c>
      <c r="D6" s="21" t="s">
        <v>97</v>
      </c>
      <c r="E6" s="19" t="s">
        <v>97</v>
      </c>
      <c r="F6" s="55"/>
    </row>
    <row r="7">
      <c r="A7" s="11"/>
      <c r="B7" s="68" t="s">
        <v>30</v>
      </c>
      <c r="C7" s="69" t="s">
        <v>98</v>
      </c>
      <c r="D7" s="11" t="s">
        <v>97</v>
      </c>
      <c r="E7" s="28" t="s">
        <v>97</v>
      </c>
      <c r="F7" s="55"/>
    </row>
    <row r="8">
      <c r="A8" s="11"/>
      <c r="B8" s="25" t="s">
        <v>42</v>
      </c>
      <c r="C8" s="69" t="s">
        <v>99</v>
      </c>
      <c r="D8" s="11" t="s">
        <v>97</v>
      </c>
      <c r="E8" s="28" t="s">
        <v>97</v>
      </c>
      <c r="F8" s="55"/>
    </row>
    <row r="9">
      <c r="A9" s="11"/>
      <c r="B9" s="25" t="s">
        <v>51</v>
      </c>
      <c r="C9" s="11" t="s">
        <v>100</v>
      </c>
      <c r="D9" s="11" t="s">
        <v>97</v>
      </c>
      <c r="E9" s="28" t="s">
        <v>97</v>
      </c>
      <c r="F9" s="11"/>
    </row>
    <row r="10">
      <c r="A10" s="11"/>
      <c r="B10" s="25" t="s">
        <v>59</v>
      </c>
      <c r="C10" s="11" t="s">
        <v>101</v>
      </c>
      <c r="D10" s="11" t="s">
        <v>97</v>
      </c>
      <c r="E10" s="28" t="s">
        <v>97</v>
      </c>
      <c r="F10" s="55"/>
    </row>
    <row r="11">
      <c r="A11" s="11"/>
      <c r="B11" s="34" t="s">
        <v>66</v>
      </c>
      <c r="C11" s="30" t="s">
        <v>102</v>
      </c>
      <c r="D11" s="30" t="s">
        <v>97</v>
      </c>
      <c r="E11" s="32" t="s">
        <v>97</v>
      </c>
      <c r="F11" s="55"/>
    </row>
    <row r="12">
      <c r="A12" s="11"/>
      <c r="B12" s="11"/>
      <c r="C12" s="11"/>
      <c r="D12" s="11"/>
      <c r="E12" s="11"/>
      <c r="F12" s="55"/>
    </row>
    <row r="13">
      <c r="A13" s="11"/>
      <c r="B13" s="11"/>
      <c r="C13" s="11"/>
      <c r="D13" s="11"/>
      <c r="E13" s="55"/>
      <c r="F13" s="55"/>
    </row>
    <row r="14">
      <c r="A14" s="11"/>
      <c r="B14" s="11"/>
      <c r="C14" s="11"/>
      <c r="D14" s="11"/>
      <c r="E14" s="55"/>
      <c r="F14" s="55"/>
    </row>
    <row r="15">
      <c r="A15" s="11"/>
      <c r="B15" s="11"/>
      <c r="C15" s="11"/>
      <c r="D15" s="11"/>
      <c r="E15" s="55"/>
      <c r="F15" s="55"/>
    </row>
    <row r="16">
      <c r="A16" s="11"/>
      <c r="B16" s="11"/>
      <c r="C16" s="11"/>
      <c r="D16" s="11"/>
      <c r="E16" s="55"/>
      <c r="F16" s="55"/>
    </row>
    <row r="17">
      <c r="A17" s="11"/>
      <c r="B17" s="11"/>
      <c r="C17" s="11"/>
      <c r="D17" s="11"/>
      <c r="E17" s="55"/>
      <c r="F17" s="55"/>
    </row>
    <row r="18">
      <c r="A18" s="11"/>
      <c r="B18" s="11"/>
      <c r="C18" s="11"/>
      <c r="D18" s="11"/>
      <c r="E18" s="55"/>
      <c r="F18" s="55"/>
    </row>
    <row r="19">
      <c r="A19" s="11"/>
      <c r="B19" s="11"/>
      <c r="C19" s="11"/>
      <c r="D19" s="11"/>
      <c r="E19" s="55"/>
      <c r="F19" s="55"/>
    </row>
    <row r="20">
      <c r="A20" s="11"/>
      <c r="F20" s="55"/>
    </row>
  </sheetData>
  <mergeCells count="3">
    <mergeCell ref="B2:C2"/>
    <mergeCell ref="B3:E3"/>
    <mergeCell ref="B4:E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0.13"/>
    <col customWidth="1" min="4" max="4" width="23.88"/>
    <col customWidth="1" min="6" max="6" width="5.0"/>
  </cols>
  <sheetData>
    <row r="1" ht="15.0" customHeight="1">
      <c r="A1" s="11"/>
      <c r="B1" s="53"/>
      <c r="C1" s="53"/>
      <c r="D1" s="54"/>
      <c r="E1" s="54"/>
      <c r="F1" s="55"/>
    </row>
    <row r="2" ht="73.5" customHeight="1">
      <c r="A2" s="11"/>
      <c r="B2" s="56"/>
      <c r="C2" s="57"/>
      <c r="D2" s="58"/>
      <c r="E2" s="58"/>
      <c r="F2" s="55"/>
    </row>
    <row r="3">
      <c r="A3" s="11"/>
      <c r="B3" s="59" t="s">
        <v>10</v>
      </c>
      <c r="E3" s="60"/>
      <c r="F3" s="55"/>
    </row>
    <row r="4">
      <c r="A4" s="11"/>
      <c r="B4" s="61" t="s">
        <v>91</v>
      </c>
      <c r="E4" s="60"/>
      <c r="F4" s="55"/>
    </row>
    <row r="5">
      <c r="A5" s="11"/>
      <c r="B5" s="62" t="s">
        <v>92</v>
      </c>
      <c r="C5" s="63" t="s">
        <v>93</v>
      </c>
      <c r="D5" s="64" t="s">
        <v>94</v>
      </c>
      <c r="E5" s="65" t="s">
        <v>95</v>
      </c>
      <c r="F5" s="55"/>
    </row>
    <row r="6">
      <c r="A6" s="11"/>
      <c r="B6" s="16" t="s">
        <v>19</v>
      </c>
      <c r="C6" s="67" t="s">
        <v>103</v>
      </c>
      <c r="D6" s="21" t="s">
        <v>104</v>
      </c>
      <c r="E6" s="19">
        <v>300.0</v>
      </c>
      <c r="F6" s="55"/>
    </row>
    <row r="7">
      <c r="A7" s="11"/>
      <c r="B7" s="25" t="s">
        <v>31</v>
      </c>
      <c r="C7" s="69" t="s">
        <v>105</v>
      </c>
      <c r="D7" s="11" t="s">
        <v>106</v>
      </c>
      <c r="E7" s="28">
        <v>50.0</v>
      </c>
      <c r="F7" s="55"/>
    </row>
    <row r="8">
      <c r="A8" s="11"/>
      <c r="B8" s="25" t="s">
        <v>43</v>
      </c>
      <c r="C8" s="69" t="s">
        <v>107</v>
      </c>
      <c r="D8" s="11" t="s">
        <v>108</v>
      </c>
      <c r="E8" s="28">
        <v>20.0</v>
      </c>
      <c r="F8" s="55"/>
    </row>
    <row r="9">
      <c r="A9" s="11"/>
      <c r="B9" s="25" t="s">
        <v>52</v>
      </c>
      <c r="C9" s="69" t="s">
        <v>109</v>
      </c>
      <c r="D9" s="11" t="s">
        <v>110</v>
      </c>
      <c r="E9" s="28">
        <v>20.0</v>
      </c>
      <c r="F9" s="11"/>
    </row>
    <row r="10">
      <c r="A10" s="11"/>
      <c r="B10" s="25" t="s">
        <v>60</v>
      </c>
      <c r="C10" s="11" t="s">
        <v>111</v>
      </c>
      <c r="D10" s="11" t="s">
        <v>112</v>
      </c>
      <c r="E10" s="28">
        <v>20.0</v>
      </c>
      <c r="F10" s="55"/>
    </row>
    <row r="11">
      <c r="A11" s="11"/>
      <c r="B11" s="25" t="s">
        <v>67</v>
      </c>
      <c r="C11" s="11" t="s">
        <v>113</v>
      </c>
      <c r="D11" s="11" t="s">
        <v>114</v>
      </c>
      <c r="E11" s="28">
        <v>20.0</v>
      </c>
      <c r="F11" s="55"/>
    </row>
    <row r="12">
      <c r="A12" s="11"/>
      <c r="B12" s="25" t="s">
        <v>73</v>
      </c>
      <c r="C12" s="11" t="s">
        <v>115</v>
      </c>
      <c r="D12" s="11" t="s">
        <v>116</v>
      </c>
      <c r="E12" s="70">
        <v>30.0</v>
      </c>
      <c r="F12" s="55"/>
    </row>
    <row r="13">
      <c r="A13" s="11"/>
      <c r="B13" s="25" t="s">
        <v>77</v>
      </c>
      <c r="C13" s="11" t="s">
        <v>117</v>
      </c>
      <c r="D13" s="11" t="s">
        <v>118</v>
      </c>
      <c r="E13" s="70">
        <v>150.0</v>
      </c>
      <c r="F13" s="55"/>
    </row>
    <row r="14">
      <c r="A14" s="11"/>
      <c r="B14" s="25" t="s">
        <v>79</v>
      </c>
      <c r="C14" s="11" t="s">
        <v>119</v>
      </c>
      <c r="D14" s="55" t="s">
        <v>120</v>
      </c>
      <c r="E14" s="70">
        <v>30.0</v>
      </c>
      <c r="F14" s="55"/>
    </row>
    <row r="15">
      <c r="A15" s="11"/>
      <c r="B15" s="25" t="s">
        <v>81</v>
      </c>
      <c r="C15" s="11" t="s">
        <v>121</v>
      </c>
      <c r="D15" s="11" t="s">
        <v>122</v>
      </c>
      <c r="E15" s="70" t="s">
        <v>123</v>
      </c>
      <c r="F15" s="55"/>
    </row>
    <row r="16">
      <c r="A16" s="11"/>
      <c r="B16" s="25" t="s">
        <v>82</v>
      </c>
      <c r="C16" s="11" t="s">
        <v>124</v>
      </c>
      <c r="D16" s="11" t="s">
        <v>125</v>
      </c>
      <c r="E16" s="28">
        <v>10.0</v>
      </c>
      <c r="F16" s="55"/>
    </row>
    <row r="17">
      <c r="A17" s="11"/>
      <c r="B17" s="34" t="s">
        <v>83</v>
      </c>
      <c r="C17" s="30" t="s">
        <v>126</v>
      </c>
      <c r="D17" s="71" t="s">
        <v>127</v>
      </c>
      <c r="E17" s="72">
        <v>100.0</v>
      </c>
      <c r="F17" s="55"/>
    </row>
    <row r="18">
      <c r="A18" s="11"/>
      <c r="B18" s="11"/>
      <c r="C18" s="11"/>
      <c r="D18" s="11"/>
      <c r="E18" s="11"/>
      <c r="F18" s="55"/>
    </row>
    <row r="19">
      <c r="A19" s="11"/>
      <c r="B19" s="11"/>
      <c r="C19" s="11"/>
      <c r="D19" s="55"/>
      <c r="E19" s="55"/>
      <c r="F19" s="55"/>
    </row>
    <row r="20">
      <c r="A20" s="11"/>
      <c r="B20" s="11"/>
      <c r="C20" s="11"/>
      <c r="D20" s="11"/>
      <c r="E20" s="55"/>
      <c r="F20" s="55"/>
    </row>
    <row r="21">
      <c r="A21" s="11"/>
      <c r="B21" s="11"/>
      <c r="C21" s="11"/>
      <c r="D21" s="11"/>
      <c r="E21" s="55"/>
      <c r="F21" s="55"/>
    </row>
    <row r="22">
      <c r="A22" s="11"/>
      <c r="B22" s="11"/>
      <c r="C22" s="11"/>
      <c r="D22" s="11"/>
      <c r="E22" s="55"/>
      <c r="F22" s="55"/>
    </row>
    <row r="23">
      <c r="A23" s="11"/>
      <c r="B23" s="11"/>
      <c r="C23" s="11"/>
      <c r="D23" s="11"/>
      <c r="E23" s="55"/>
      <c r="F23" s="55"/>
    </row>
    <row r="24">
      <c r="A24" s="11"/>
      <c r="B24" s="11"/>
      <c r="C24" s="11"/>
      <c r="D24" s="11"/>
      <c r="E24" s="55"/>
      <c r="F24" s="55"/>
    </row>
    <row r="25">
      <c r="A25" s="11"/>
      <c r="B25" s="11"/>
      <c r="C25" s="11"/>
      <c r="D25" s="11"/>
      <c r="E25" s="55"/>
      <c r="F25" s="55"/>
    </row>
    <row r="26">
      <c r="A26" s="11"/>
      <c r="B26" s="11"/>
      <c r="C26" s="11"/>
      <c r="D26" s="11"/>
      <c r="E26" s="55"/>
      <c r="F26" s="55"/>
    </row>
    <row r="27">
      <c r="A27" s="11"/>
      <c r="B27" s="44"/>
      <c r="C27" s="11"/>
      <c r="D27" s="11"/>
      <c r="E27" s="55"/>
      <c r="F27" s="55"/>
    </row>
    <row r="28">
      <c r="A28" s="11"/>
      <c r="B28" s="44"/>
      <c r="C28" s="11"/>
      <c r="D28" s="11"/>
      <c r="E28" s="55"/>
      <c r="F28" s="55"/>
    </row>
    <row r="29">
      <c r="A29" s="11"/>
      <c r="B29" s="44"/>
      <c r="C29" s="11"/>
      <c r="D29" s="11"/>
      <c r="E29" s="55"/>
      <c r="F29" s="55"/>
    </row>
    <row r="30">
      <c r="A30" s="11"/>
      <c r="B30" s="44"/>
      <c r="C30" s="11"/>
      <c r="D30" s="11"/>
      <c r="E30" s="55"/>
      <c r="F30" s="55"/>
    </row>
    <row r="31">
      <c r="A31" s="11"/>
      <c r="B31" s="44"/>
      <c r="C31" s="11"/>
      <c r="D31" s="11"/>
      <c r="E31" s="55"/>
      <c r="F31" s="55"/>
    </row>
    <row r="32">
      <c r="A32" s="11"/>
      <c r="B32" s="44"/>
      <c r="C32" s="11"/>
      <c r="D32" s="11"/>
      <c r="E32" s="55"/>
      <c r="F32" s="55"/>
    </row>
    <row r="33">
      <c r="A33" s="11"/>
      <c r="B33" s="41"/>
      <c r="C33" s="11"/>
      <c r="D33" s="11"/>
      <c r="E33" s="55"/>
      <c r="F33" s="55"/>
    </row>
    <row r="34">
      <c r="A34" s="11"/>
      <c r="B34" s="44"/>
      <c r="C34" s="11"/>
      <c r="D34" s="11"/>
      <c r="E34" s="55"/>
      <c r="F34" s="55"/>
    </row>
  </sheetData>
  <mergeCells count="3">
    <mergeCell ref="B2:C2"/>
    <mergeCell ref="B3:E3"/>
    <mergeCell ref="B4:E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26.75"/>
    <col customWidth="1" min="6" max="6" width="3.5"/>
    <col customWidth="1" min="7" max="7" width="29.5"/>
    <col customWidth="1" min="8" max="8" width="47.5"/>
    <col customWidth="1" min="9" max="9" width="28.75"/>
  </cols>
  <sheetData>
    <row r="1" ht="15.0" customHeight="1">
      <c r="A1" s="11"/>
      <c r="B1" s="53"/>
      <c r="C1" s="53"/>
      <c r="D1" s="54"/>
      <c r="E1" s="54"/>
      <c r="F1" s="73"/>
      <c r="G1" s="73"/>
      <c r="H1" s="73"/>
      <c r="I1" s="73"/>
      <c r="J1" s="73"/>
    </row>
    <row r="2" ht="73.5" customHeight="1">
      <c r="A2" s="11"/>
      <c r="B2" s="56"/>
      <c r="C2" s="57"/>
      <c r="D2" s="58"/>
      <c r="E2" s="58"/>
      <c r="F2" s="74"/>
      <c r="G2" s="57"/>
      <c r="H2" s="57"/>
      <c r="I2" s="57"/>
      <c r="J2" s="75"/>
    </row>
    <row r="3">
      <c r="A3" s="11"/>
      <c r="B3" s="59" t="s">
        <v>11</v>
      </c>
      <c r="J3" s="60"/>
    </row>
    <row r="4">
      <c r="A4" s="11"/>
      <c r="B4" s="61" t="s">
        <v>91</v>
      </c>
      <c r="E4" s="60"/>
      <c r="F4" s="50"/>
      <c r="G4" s="10" t="s">
        <v>128</v>
      </c>
      <c r="J4" s="60"/>
    </row>
    <row r="5">
      <c r="A5" s="11"/>
      <c r="B5" s="62" t="s">
        <v>92</v>
      </c>
      <c r="C5" s="63" t="s">
        <v>93</v>
      </c>
      <c r="D5" s="64" t="s">
        <v>94</v>
      </c>
      <c r="E5" s="65" t="s">
        <v>95</v>
      </c>
      <c r="F5" s="50"/>
      <c r="G5" s="62" t="s">
        <v>92</v>
      </c>
      <c r="H5" s="63" t="s">
        <v>93</v>
      </c>
      <c r="I5" s="64" t="s">
        <v>94</v>
      </c>
      <c r="J5" s="65" t="s">
        <v>95</v>
      </c>
    </row>
    <row r="6">
      <c r="A6" s="11"/>
      <c r="B6" s="16" t="s">
        <v>20</v>
      </c>
      <c r="C6" s="67" t="s">
        <v>117</v>
      </c>
      <c r="D6" s="21" t="s">
        <v>118</v>
      </c>
      <c r="E6" s="76">
        <v>150.0</v>
      </c>
      <c r="F6" s="50"/>
      <c r="G6" s="77" t="s">
        <v>129</v>
      </c>
      <c r="H6" s="78" t="s">
        <v>130</v>
      </c>
      <c r="I6" s="21" t="s">
        <v>131</v>
      </c>
      <c r="J6" s="76">
        <v>30.0</v>
      </c>
    </row>
    <row r="7">
      <c r="A7" s="11"/>
      <c r="B7" s="79"/>
      <c r="E7" s="60"/>
      <c r="F7" s="50"/>
      <c r="G7" s="33" t="s">
        <v>132</v>
      </c>
      <c r="H7" s="80" t="s">
        <v>133</v>
      </c>
      <c r="I7" s="11" t="s">
        <v>134</v>
      </c>
      <c r="J7" s="70" t="s">
        <v>123</v>
      </c>
    </row>
    <row r="8">
      <c r="A8" s="11"/>
      <c r="B8" s="79"/>
      <c r="E8" s="60"/>
      <c r="F8" s="50"/>
      <c r="G8" s="33" t="s">
        <v>135</v>
      </c>
      <c r="H8" s="80" t="s">
        <v>136</v>
      </c>
      <c r="I8" s="11" t="s">
        <v>137</v>
      </c>
      <c r="J8" s="70">
        <v>20.0</v>
      </c>
    </row>
    <row r="9">
      <c r="A9" s="11"/>
      <c r="B9" s="81"/>
      <c r="C9" s="82"/>
      <c r="D9" s="82"/>
      <c r="E9" s="83"/>
      <c r="F9" s="50"/>
      <c r="G9" s="33" t="s">
        <v>138</v>
      </c>
      <c r="H9" s="80" t="s">
        <v>139</v>
      </c>
      <c r="I9" s="11" t="s">
        <v>140</v>
      </c>
      <c r="J9" s="70">
        <v>10.0</v>
      </c>
    </row>
    <row r="10">
      <c r="A10" s="11"/>
      <c r="B10" s="16" t="s">
        <v>32</v>
      </c>
      <c r="C10" s="21" t="s">
        <v>141</v>
      </c>
      <c r="D10" s="21" t="s">
        <v>142</v>
      </c>
      <c r="E10" s="76">
        <v>30.0</v>
      </c>
      <c r="F10" s="50"/>
      <c r="G10" s="16" t="s">
        <v>143</v>
      </c>
      <c r="H10" s="21" t="s">
        <v>144</v>
      </c>
      <c r="I10" s="21" t="s">
        <v>97</v>
      </c>
      <c r="J10" s="76" t="s">
        <v>97</v>
      </c>
    </row>
    <row r="11">
      <c r="A11" s="11"/>
      <c r="B11" s="79"/>
      <c r="E11" s="60"/>
      <c r="F11" s="50"/>
      <c r="G11" s="84" t="s">
        <v>145</v>
      </c>
      <c r="H11" s="55" t="s">
        <v>146</v>
      </c>
      <c r="I11" s="11" t="s">
        <v>147</v>
      </c>
      <c r="J11" s="70" t="s">
        <v>123</v>
      </c>
    </row>
    <row r="12">
      <c r="A12" s="11"/>
      <c r="B12" s="79"/>
      <c r="E12" s="60"/>
      <c r="F12" s="55"/>
      <c r="G12" s="84" t="s">
        <v>148</v>
      </c>
      <c r="H12" s="55" t="s">
        <v>149</v>
      </c>
      <c r="I12" s="55" t="s">
        <v>150</v>
      </c>
      <c r="J12" s="70">
        <v>200.0</v>
      </c>
    </row>
    <row r="13">
      <c r="A13" s="11"/>
      <c r="B13" s="81"/>
      <c r="C13" s="82"/>
      <c r="D13" s="82"/>
      <c r="E13" s="83"/>
      <c r="F13" s="55"/>
      <c r="G13" s="85" t="s">
        <v>151</v>
      </c>
      <c r="H13" s="71" t="s">
        <v>152</v>
      </c>
      <c r="I13" s="71" t="s">
        <v>153</v>
      </c>
      <c r="J13" s="72" t="s">
        <v>123</v>
      </c>
    </row>
    <row r="14">
      <c r="A14" s="11"/>
      <c r="B14" s="38"/>
      <c r="C14" s="11"/>
      <c r="D14" s="11"/>
      <c r="E14" s="55"/>
      <c r="F14" s="55"/>
      <c r="G14" s="86"/>
      <c r="H14" s="55"/>
      <c r="I14" s="55"/>
      <c r="J14" s="55"/>
    </row>
    <row r="15">
      <c r="A15" s="11"/>
      <c r="B15" s="38"/>
      <c r="C15" s="11"/>
      <c r="D15" s="11"/>
      <c r="E15" s="55"/>
      <c r="F15" s="55"/>
      <c r="G15" s="86"/>
      <c r="H15" s="55"/>
      <c r="I15" s="55"/>
      <c r="J15" s="55"/>
    </row>
    <row r="16">
      <c r="A16" s="11"/>
      <c r="B16" s="11"/>
      <c r="C16" s="11"/>
      <c r="D16" s="11"/>
      <c r="E16" s="55"/>
      <c r="F16" s="55"/>
      <c r="G16" s="55"/>
      <c r="H16" s="11"/>
      <c r="I16" s="11"/>
      <c r="J16" s="55"/>
    </row>
    <row r="17">
      <c r="A17" s="11"/>
      <c r="B17" s="11"/>
      <c r="C17" s="11"/>
      <c r="D17" s="11"/>
      <c r="E17" s="55"/>
      <c r="F17" s="50"/>
      <c r="G17" s="11"/>
      <c r="H17" s="11"/>
      <c r="I17" s="11"/>
      <c r="J17" s="55"/>
    </row>
    <row r="18">
      <c r="A18" s="11"/>
      <c r="B18" s="38"/>
      <c r="C18" s="11"/>
      <c r="D18" s="11"/>
      <c r="E18" s="55"/>
      <c r="F18" s="50"/>
      <c r="G18" s="11"/>
      <c r="H18" s="11"/>
      <c r="I18" s="11"/>
      <c r="J18" s="55"/>
    </row>
    <row r="19">
      <c r="A19" s="11"/>
      <c r="B19" s="11"/>
      <c r="C19" s="11"/>
      <c r="D19" s="11"/>
      <c r="E19" s="55"/>
      <c r="F19" s="50"/>
      <c r="G19" s="11"/>
      <c r="H19" s="11"/>
      <c r="I19" s="11"/>
      <c r="J19" s="55"/>
    </row>
    <row r="20">
      <c r="A20" s="11"/>
      <c r="B20" s="11"/>
      <c r="C20" s="11"/>
      <c r="D20" s="11"/>
      <c r="E20" s="55"/>
      <c r="F20" s="50"/>
      <c r="G20" s="11"/>
      <c r="H20" s="11"/>
      <c r="I20" s="11"/>
      <c r="J20" s="55"/>
    </row>
    <row r="21">
      <c r="A21" s="11"/>
      <c r="B21" s="11"/>
      <c r="C21" s="11"/>
      <c r="D21" s="11"/>
      <c r="E21" s="55"/>
      <c r="F21" s="50"/>
      <c r="G21" s="11"/>
      <c r="H21" s="11"/>
      <c r="I21" s="11"/>
      <c r="J21" s="55"/>
    </row>
    <row r="22">
      <c r="A22" s="11"/>
      <c r="B22" s="11"/>
      <c r="C22" s="11"/>
      <c r="D22" s="11"/>
      <c r="E22" s="55"/>
      <c r="F22" s="50"/>
      <c r="G22" s="11"/>
      <c r="H22" s="11"/>
      <c r="I22" s="11"/>
      <c r="J22" s="55"/>
    </row>
    <row r="23">
      <c r="A23" s="11"/>
      <c r="B23" s="11"/>
      <c r="C23" s="11"/>
      <c r="D23" s="11"/>
      <c r="E23" s="55"/>
      <c r="F23" s="50"/>
      <c r="G23" s="11"/>
      <c r="H23" s="11"/>
      <c r="I23" s="11"/>
      <c r="J23" s="55"/>
    </row>
    <row r="24">
      <c r="A24" s="11"/>
      <c r="B24" s="11"/>
      <c r="C24" s="11"/>
      <c r="D24" s="11"/>
      <c r="E24" s="55"/>
      <c r="F24" s="50"/>
      <c r="G24" s="11"/>
      <c r="H24" s="11"/>
      <c r="I24" s="11"/>
      <c r="J24" s="55"/>
    </row>
    <row r="25">
      <c r="A25" s="11"/>
      <c r="B25" s="11"/>
      <c r="C25" s="11"/>
      <c r="D25" s="11"/>
      <c r="E25" s="55"/>
      <c r="F25" s="50"/>
      <c r="G25" s="11"/>
      <c r="H25" s="11"/>
      <c r="I25" s="11"/>
      <c r="J25" s="55"/>
    </row>
    <row r="26">
      <c r="A26" s="11"/>
      <c r="B26" s="11"/>
      <c r="C26" s="11"/>
      <c r="D26" s="11"/>
      <c r="E26" s="55"/>
      <c r="F26" s="50"/>
      <c r="G26" s="11"/>
      <c r="H26" s="11"/>
      <c r="I26" s="11"/>
      <c r="J26" s="55"/>
    </row>
    <row r="27">
      <c r="A27" s="11"/>
      <c r="B27" s="11"/>
      <c r="C27" s="11"/>
      <c r="D27" s="11"/>
      <c r="E27" s="55"/>
      <c r="F27" s="50"/>
      <c r="G27" s="11"/>
      <c r="H27" s="11"/>
      <c r="I27" s="11"/>
      <c r="J27" s="55"/>
    </row>
    <row r="28">
      <c r="A28" s="11"/>
      <c r="B28" s="11"/>
      <c r="C28" s="11"/>
      <c r="D28" s="11"/>
      <c r="E28" s="55"/>
      <c r="F28" s="50"/>
      <c r="G28" s="11"/>
      <c r="H28" s="11"/>
      <c r="I28" s="11"/>
      <c r="J28" s="55"/>
    </row>
    <row r="29">
      <c r="A29" s="11"/>
      <c r="B29" s="11"/>
      <c r="C29" s="11"/>
      <c r="D29" s="11"/>
      <c r="E29" s="55"/>
      <c r="F29" s="50"/>
      <c r="G29" s="11"/>
      <c r="H29" s="11"/>
      <c r="I29" s="11"/>
      <c r="J29" s="55"/>
    </row>
    <row r="30">
      <c r="A30" s="11"/>
      <c r="B30" s="11"/>
      <c r="C30" s="11"/>
      <c r="D30" s="11"/>
      <c r="E30" s="55"/>
      <c r="F30" s="50"/>
      <c r="G30" s="11"/>
      <c r="H30" s="11"/>
      <c r="I30" s="11"/>
      <c r="J30" s="55"/>
    </row>
    <row r="31">
      <c r="A31" s="11"/>
      <c r="B31" s="11"/>
      <c r="C31" s="11"/>
      <c r="D31" s="11"/>
      <c r="E31" s="55"/>
      <c r="F31" s="50"/>
      <c r="G31" s="11"/>
      <c r="H31" s="11"/>
      <c r="I31" s="11"/>
      <c r="J31" s="55"/>
    </row>
    <row r="32">
      <c r="A32" s="11"/>
      <c r="B32" s="11"/>
      <c r="C32" s="11"/>
      <c r="D32" s="11"/>
      <c r="E32" s="55"/>
      <c r="F32" s="50"/>
      <c r="G32" s="11"/>
      <c r="H32" s="11"/>
      <c r="I32" s="11"/>
      <c r="J32" s="55"/>
    </row>
    <row r="33">
      <c r="A33" s="11"/>
      <c r="B33" s="11"/>
      <c r="C33" s="11"/>
      <c r="D33" s="11"/>
      <c r="E33" s="55"/>
      <c r="F33" s="50"/>
      <c r="G33" s="11"/>
      <c r="H33" s="11"/>
      <c r="I33" s="11"/>
      <c r="J33" s="55"/>
    </row>
    <row r="34">
      <c r="A34" s="11"/>
      <c r="B34" s="11"/>
      <c r="C34" s="11"/>
      <c r="D34" s="11"/>
      <c r="E34" s="55"/>
      <c r="F34" s="50"/>
      <c r="G34" s="11"/>
      <c r="H34" s="11"/>
      <c r="I34" s="11"/>
      <c r="J34" s="55"/>
    </row>
    <row r="35">
      <c r="A35" s="11"/>
      <c r="B35" s="11"/>
      <c r="C35" s="11"/>
      <c r="D35" s="11"/>
      <c r="E35" s="55"/>
      <c r="F35" s="50"/>
      <c r="G35" s="11"/>
      <c r="H35" s="11"/>
      <c r="I35" s="11"/>
      <c r="J35" s="55"/>
    </row>
    <row r="36">
      <c r="A36" s="11"/>
      <c r="B36" s="11"/>
      <c r="C36" s="11"/>
      <c r="D36" s="11"/>
      <c r="E36" s="55"/>
      <c r="F36" s="50"/>
      <c r="G36" s="11"/>
      <c r="H36" s="11"/>
      <c r="I36" s="11"/>
      <c r="J36" s="55"/>
    </row>
    <row r="37">
      <c r="A37" s="11"/>
      <c r="B37" s="11"/>
      <c r="C37" s="11"/>
      <c r="D37" s="11"/>
      <c r="E37" s="55"/>
      <c r="F37" s="50"/>
      <c r="G37" s="11"/>
      <c r="H37" s="11"/>
      <c r="I37" s="11"/>
      <c r="J37" s="55"/>
    </row>
    <row r="38">
      <c r="A38" s="11"/>
      <c r="B38" s="11"/>
      <c r="C38" s="11"/>
      <c r="D38" s="11"/>
      <c r="E38" s="55"/>
      <c r="F38" s="50"/>
      <c r="G38" s="11"/>
      <c r="H38" s="11"/>
      <c r="I38" s="11"/>
      <c r="J38" s="55"/>
    </row>
    <row r="39">
      <c r="A39" s="11"/>
      <c r="B39" s="11"/>
      <c r="C39" s="11"/>
      <c r="D39" s="11"/>
      <c r="E39" s="55"/>
      <c r="F39" s="50"/>
      <c r="G39" s="11"/>
      <c r="H39" s="11"/>
      <c r="I39" s="11"/>
      <c r="J39" s="55"/>
    </row>
    <row r="40">
      <c r="A40" s="11"/>
      <c r="B40" s="11"/>
      <c r="C40" s="11"/>
      <c r="D40" s="11"/>
      <c r="E40" s="55"/>
      <c r="F40" s="50"/>
      <c r="G40" s="11"/>
      <c r="H40" s="11"/>
      <c r="I40" s="11"/>
      <c r="J40" s="55"/>
    </row>
    <row r="41">
      <c r="A41" s="11"/>
      <c r="B41" s="11"/>
      <c r="C41" s="11"/>
      <c r="D41" s="11"/>
      <c r="E41" s="55"/>
      <c r="F41" s="50"/>
      <c r="G41" s="11"/>
      <c r="H41" s="11"/>
      <c r="I41" s="11"/>
      <c r="J41" s="55"/>
    </row>
    <row r="42">
      <c r="A42" s="11"/>
      <c r="B42" s="11"/>
      <c r="C42" s="11"/>
      <c r="D42" s="11"/>
      <c r="E42" s="55"/>
      <c r="F42" s="50"/>
      <c r="G42" s="11"/>
      <c r="H42" s="11"/>
      <c r="I42" s="11"/>
      <c r="J42" s="55"/>
    </row>
    <row r="43">
      <c r="A43" s="11"/>
      <c r="B43" s="11"/>
      <c r="C43" s="11"/>
      <c r="D43" s="11"/>
      <c r="E43" s="55"/>
      <c r="F43" s="50"/>
      <c r="G43" s="11"/>
      <c r="H43" s="11"/>
      <c r="I43" s="11"/>
      <c r="J43" s="55"/>
    </row>
    <row r="44">
      <c r="A44" s="11"/>
      <c r="B44" s="11"/>
      <c r="C44" s="11"/>
      <c r="D44" s="11"/>
      <c r="E44" s="55"/>
      <c r="F44" s="50"/>
      <c r="G44" s="11"/>
      <c r="H44" s="11"/>
      <c r="I44" s="11"/>
      <c r="J44" s="55"/>
    </row>
    <row r="45">
      <c r="A45" s="11"/>
      <c r="B45" s="11"/>
      <c r="C45" s="11"/>
      <c r="D45" s="11"/>
      <c r="E45" s="55"/>
      <c r="F45" s="50"/>
      <c r="G45" s="11"/>
      <c r="H45" s="11"/>
      <c r="I45" s="11"/>
      <c r="J45" s="55"/>
    </row>
    <row r="46">
      <c r="A46" s="11"/>
      <c r="B46" s="11"/>
      <c r="C46" s="11"/>
      <c r="D46" s="11"/>
      <c r="E46" s="55"/>
      <c r="F46" s="50"/>
      <c r="G46" s="11"/>
      <c r="H46" s="11"/>
      <c r="I46" s="11"/>
      <c r="J46" s="55"/>
    </row>
    <row r="47">
      <c r="A47" s="11"/>
      <c r="B47" s="11"/>
      <c r="C47" s="11"/>
      <c r="D47" s="11"/>
      <c r="E47" s="55"/>
      <c r="F47" s="50"/>
      <c r="G47" s="11"/>
      <c r="H47" s="11"/>
      <c r="I47" s="11"/>
      <c r="J47" s="55"/>
    </row>
    <row r="48">
      <c r="A48" s="11"/>
      <c r="B48" s="11"/>
      <c r="C48" s="11"/>
      <c r="D48" s="11"/>
      <c r="E48" s="55"/>
      <c r="F48" s="50"/>
      <c r="G48" s="11"/>
      <c r="H48" s="11"/>
      <c r="I48" s="11"/>
      <c r="J48" s="55"/>
    </row>
    <row r="49">
      <c r="A49" s="11"/>
      <c r="B49" s="11"/>
      <c r="C49" s="11"/>
      <c r="D49" s="11"/>
      <c r="E49" s="55"/>
      <c r="F49" s="50"/>
      <c r="G49" s="11"/>
      <c r="H49" s="11"/>
      <c r="I49" s="11"/>
      <c r="J49" s="55"/>
    </row>
    <row r="50">
      <c r="A50" s="11"/>
      <c r="B50" s="11"/>
      <c r="C50" s="11"/>
      <c r="D50" s="11"/>
      <c r="E50" s="55"/>
      <c r="F50" s="50"/>
      <c r="G50" s="11"/>
      <c r="H50" s="11"/>
      <c r="I50" s="11"/>
      <c r="J50" s="55"/>
    </row>
    <row r="51">
      <c r="A51" s="11"/>
      <c r="B51" s="11"/>
      <c r="C51" s="11"/>
      <c r="D51" s="11"/>
      <c r="E51" s="55"/>
      <c r="F51" s="50"/>
      <c r="G51" s="11"/>
      <c r="H51" s="11"/>
      <c r="I51" s="11"/>
      <c r="J51" s="55"/>
    </row>
    <row r="52">
      <c r="A52" s="11"/>
      <c r="B52" s="11"/>
      <c r="C52" s="11"/>
      <c r="D52" s="11"/>
      <c r="E52" s="55"/>
      <c r="F52" s="50"/>
      <c r="G52" s="11"/>
      <c r="H52" s="11"/>
      <c r="I52" s="11"/>
      <c r="J52" s="55"/>
    </row>
    <row r="53">
      <c r="A53" s="11"/>
      <c r="B53" s="11"/>
      <c r="C53" s="11"/>
      <c r="D53" s="11"/>
      <c r="E53" s="55"/>
      <c r="F53" s="50"/>
      <c r="G53" s="11"/>
      <c r="H53" s="11"/>
      <c r="I53" s="11"/>
      <c r="J53" s="55"/>
    </row>
    <row r="54">
      <c r="A54" s="11"/>
      <c r="B54" s="11"/>
      <c r="C54" s="11"/>
      <c r="D54" s="11"/>
      <c r="E54" s="55"/>
      <c r="F54" s="50"/>
      <c r="G54" s="11"/>
      <c r="H54" s="11"/>
      <c r="I54" s="11"/>
      <c r="J54" s="55"/>
    </row>
    <row r="55">
      <c r="A55" s="11"/>
      <c r="B55" s="11"/>
      <c r="C55" s="11"/>
      <c r="D55" s="11"/>
      <c r="E55" s="55"/>
      <c r="F55" s="50"/>
      <c r="G55" s="11"/>
      <c r="H55" s="11"/>
      <c r="I55" s="11"/>
      <c r="J55" s="55"/>
    </row>
    <row r="56">
      <c r="A56" s="11"/>
      <c r="B56" s="11"/>
      <c r="C56" s="11"/>
      <c r="D56" s="11"/>
      <c r="E56" s="55"/>
      <c r="F56" s="50"/>
      <c r="G56" s="11"/>
      <c r="H56" s="11"/>
      <c r="I56" s="11"/>
      <c r="J56" s="55"/>
    </row>
    <row r="57">
      <c r="A57" s="11"/>
      <c r="B57" s="11"/>
      <c r="C57" s="11"/>
      <c r="D57" s="11"/>
      <c r="E57" s="55"/>
      <c r="F57" s="50"/>
      <c r="G57" s="11"/>
      <c r="H57" s="11"/>
      <c r="I57" s="11"/>
      <c r="J57" s="55"/>
    </row>
    <row r="58">
      <c r="A58" s="11"/>
      <c r="B58" s="11"/>
      <c r="C58" s="11"/>
      <c r="D58" s="11"/>
      <c r="E58" s="55"/>
      <c r="F58" s="50"/>
      <c r="G58" s="11"/>
      <c r="H58" s="11"/>
      <c r="I58" s="11"/>
      <c r="J58" s="55"/>
    </row>
    <row r="59">
      <c r="A59" s="11"/>
      <c r="B59" s="11"/>
      <c r="C59" s="11"/>
      <c r="D59" s="11"/>
      <c r="E59" s="55"/>
      <c r="F59" s="50"/>
      <c r="G59" s="11"/>
      <c r="H59" s="11"/>
      <c r="I59" s="11"/>
      <c r="J59" s="55"/>
    </row>
    <row r="60">
      <c r="A60" s="11"/>
      <c r="B60" s="11"/>
      <c r="C60" s="11"/>
      <c r="D60" s="11"/>
      <c r="E60" s="55"/>
      <c r="F60" s="50"/>
      <c r="G60" s="11"/>
      <c r="H60" s="11"/>
      <c r="I60" s="11"/>
      <c r="J60" s="55"/>
    </row>
    <row r="61">
      <c r="A61" s="11"/>
      <c r="B61" s="11"/>
      <c r="C61" s="11"/>
      <c r="D61" s="11"/>
      <c r="E61" s="55"/>
      <c r="F61" s="50"/>
      <c r="G61" s="11"/>
      <c r="H61" s="11"/>
      <c r="I61" s="11"/>
      <c r="J61" s="55"/>
    </row>
    <row r="62">
      <c r="A62" s="11"/>
      <c r="B62" s="11"/>
      <c r="C62" s="11"/>
      <c r="D62" s="11"/>
      <c r="E62" s="55"/>
      <c r="F62" s="50"/>
      <c r="G62" s="11"/>
      <c r="H62" s="11"/>
      <c r="I62" s="11"/>
      <c r="J62" s="55"/>
    </row>
    <row r="63">
      <c r="A63" s="11"/>
      <c r="B63" s="11"/>
      <c r="C63" s="11"/>
      <c r="D63" s="11"/>
      <c r="E63" s="55"/>
      <c r="F63" s="50"/>
      <c r="G63" s="11"/>
      <c r="H63" s="11"/>
      <c r="I63" s="11"/>
      <c r="J63" s="55"/>
    </row>
    <row r="64">
      <c r="A64" s="11"/>
      <c r="B64" s="11"/>
      <c r="C64" s="11"/>
      <c r="D64" s="11"/>
      <c r="E64" s="55"/>
      <c r="F64" s="50"/>
      <c r="G64" s="11"/>
      <c r="H64" s="11"/>
      <c r="I64" s="11"/>
      <c r="J64" s="55"/>
    </row>
    <row r="65">
      <c r="A65" s="11"/>
      <c r="B65" s="11"/>
      <c r="C65" s="11"/>
      <c r="D65" s="11"/>
      <c r="E65" s="55"/>
      <c r="F65" s="50"/>
      <c r="G65" s="11"/>
      <c r="H65" s="11"/>
      <c r="I65" s="11"/>
      <c r="J65" s="55"/>
    </row>
    <row r="66">
      <c r="A66" s="11"/>
      <c r="B66" s="11"/>
      <c r="C66" s="11"/>
      <c r="D66" s="11"/>
      <c r="E66" s="55"/>
      <c r="F66" s="50"/>
      <c r="G66" s="11"/>
      <c r="H66" s="11"/>
      <c r="I66" s="11"/>
      <c r="J66" s="55"/>
    </row>
    <row r="67">
      <c r="A67" s="11"/>
      <c r="B67" s="11"/>
      <c r="C67" s="11"/>
      <c r="D67" s="11"/>
      <c r="E67" s="55"/>
      <c r="F67" s="50"/>
      <c r="G67" s="11"/>
      <c r="H67" s="11"/>
      <c r="I67" s="11"/>
      <c r="J67" s="55"/>
    </row>
    <row r="68">
      <c r="A68" s="11"/>
      <c r="B68" s="11"/>
      <c r="C68" s="11"/>
      <c r="D68" s="11"/>
      <c r="E68" s="55"/>
      <c r="F68" s="50"/>
      <c r="G68" s="11"/>
      <c r="H68" s="11"/>
      <c r="I68" s="11"/>
      <c r="J68" s="55"/>
    </row>
    <row r="69">
      <c r="A69" s="11"/>
      <c r="B69" s="11"/>
      <c r="C69" s="11"/>
      <c r="D69" s="11"/>
      <c r="E69" s="55"/>
      <c r="F69" s="50"/>
      <c r="G69" s="11"/>
      <c r="H69" s="11"/>
      <c r="I69" s="11"/>
      <c r="J69" s="55"/>
    </row>
    <row r="70">
      <c r="A70" s="11"/>
      <c r="B70" s="11"/>
      <c r="C70" s="11"/>
      <c r="D70" s="11"/>
      <c r="E70" s="55"/>
      <c r="F70" s="50"/>
      <c r="G70" s="11"/>
      <c r="H70" s="11"/>
      <c r="I70" s="11"/>
      <c r="J70" s="55"/>
    </row>
    <row r="71">
      <c r="A71" s="11"/>
      <c r="B71" s="11"/>
      <c r="C71" s="11"/>
      <c r="D71" s="11"/>
      <c r="E71" s="55"/>
      <c r="F71" s="50"/>
      <c r="G71" s="11"/>
      <c r="H71" s="11"/>
      <c r="I71" s="11"/>
      <c r="J71" s="55"/>
    </row>
    <row r="72">
      <c r="A72" s="11"/>
      <c r="B72" s="11"/>
      <c r="C72" s="11"/>
      <c r="D72" s="11"/>
      <c r="E72" s="55"/>
      <c r="F72" s="50"/>
      <c r="G72" s="11"/>
      <c r="H72" s="11"/>
      <c r="I72" s="11"/>
      <c r="J72" s="55"/>
    </row>
    <row r="73">
      <c r="A73" s="11"/>
      <c r="B73" s="11"/>
      <c r="C73" s="11"/>
      <c r="D73" s="11"/>
      <c r="E73" s="55"/>
      <c r="F73" s="50"/>
      <c r="G73" s="11"/>
      <c r="H73" s="11"/>
      <c r="I73" s="11"/>
      <c r="J73" s="55"/>
    </row>
    <row r="74">
      <c r="A74" s="11"/>
      <c r="B74" s="11"/>
      <c r="C74" s="11"/>
      <c r="D74" s="11"/>
      <c r="E74" s="55"/>
      <c r="F74" s="50"/>
      <c r="G74" s="11"/>
      <c r="H74" s="11"/>
      <c r="I74" s="11"/>
      <c r="J74" s="55"/>
    </row>
    <row r="75">
      <c r="A75" s="11"/>
      <c r="B75" s="11"/>
      <c r="C75" s="11"/>
      <c r="D75" s="11"/>
      <c r="E75" s="55"/>
      <c r="F75" s="50"/>
      <c r="G75" s="11"/>
      <c r="H75" s="11"/>
      <c r="I75" s="11"/>
      <c r="J75" s="55"/>
    </row>
    <row r="76">
      <c r="A76" s="11"/>
      <c r="B76" s="11"/>
      <c r="C76" s="11"/>
      <c r="D76" s="11"/>
      <c r="E76" s="55"/>
      <c r="F76" s="50"/>
      <c r="G76" s="11"/>
      <c r="H76" s="11"/>
      <c r="I76" s="11"/>
      <c r="J76" s="55"/>
    </row>
    <row r="77">
      <c r="A77" s="11"/>
      <c r="B77" s="11"/>
      <c r="C77" s="11"/>
      <c r="D77" s="11"/>
      <c r="E77" s="55"/>
      <c r="F77" s="50"/>
      <c r="G77" s="11"/>
      <c r="H77" s="11"/>
      <c r="I77" s="11"/>
      <c r="J77" s="55"/>
    </row>
    <row r="78">
      <c r="A78" s="11"/>
      <c r="B78" s="11"/>
      <c r="C78" s="11"/>
      <c r="D78" s="11"/>
      <c r="E78" s="55"/>
      <c r="F78" s="50"/>
      <c r="G78" s="11"/>
      <c r="H78" s="11"/>
      <c r="I78" s="11"/>
      <c r="J78" s="55"/>
    </row>
    <row r="79">
      <c r="A79" s="11"/>
      <c r="B79" s="11"/>
      <c r="C79" s="11"/>
      <c r="D79" s="11"/>
      <c r="E79" s="55"/>
      <c r="F79" s="50"/>
      <c r="G79" s="11"/>
      <c r="H79" s="11"/>
      <c r="I79" s="11"/>
      <c r="J79" s="55"/>
    </row>
    <row r="80">
      <c r="A80" s="11"/>
      <c r="B80" s="11"/>
      <c r="C80" s="11"/>
      <c r="D80" s="11"/>
      <c r="E80" s="55"/>
      <c r="F80" s="50"/>
      <c r="G80" s="11"/>
      <c r="H80" s="11"/>
      <c r="I80" s="11"/>
      <c r="J80" s="55"/>
    </row>
    <row r="81">
      <c r="A81" s="11"/>
      <c r="B81" s="11"/>
      <c r="C81" s="11"/>
      <c r="D81" s="11"/>
      <c r="E81" s="55"/>
      <c r="F81" s="50"/>
      <c r="G81" s="11"/>
      <c r="H81" s="11"/>
      <c r="I81" s="11"/>
      <c r="J81" s="55"/>
    </row>
    <row r="82">
      <c r="A82" s="11"/>
      <c r="B82" s="11"/>
      <c r="C82" s="11"/>
      <c r="D82" s="11"/>
      <c r="E82" s="55"/>
      <c r="F82" s="50"/>
      <c r="G82" s="11"/>
      <c r="H82" s="11"/>
      <c r="I82" s="11"/>
      <c r="J82" s="55"/>
    </row>
    <row r="83">
      <c r="A83" s="11"/>
      <c r="B83" s="11"/>
      <c r="C83" s="11"/>
      <c r="D83" s="11"/>
      <c r="E83" s="55"/>
      <c r="F83" s="50"/>
      <c r="G83" s="11"/>
      <c r="H83" s="11"/>
      <c r="I83" s="11"/>
      <c r="J83" s="55"/>
    </row>
    <row r="84">
      <c r="A84" s="11"/>
      <c r="B84" s="11"/>
      <c r="C84" s="11"/>
      <c r="D84" s="11"/>
      <c r="E84" s="55"/>
      <c r="F84" s="50"/>
      <c r="G84" s="11"/>
      <c r="H84" s="11"/>
      <c r="I84" s="11"/>
      <c r="J84" s="55"/>
    </row>
    <row r="85">
      <c r="A85" s="11"/>
      <c r="B85" s="11"/>
      <c r="C85" s="11"/>
      <c r="D85" s="11"/>
      <c r="E85" s="55"/>
      <c r="F85" s="50"/>
      <c r="G85" s="11"/>
      <c r="H85" s="11"/>
      <c r="I85" s="11"/>
      <c r="J85" s="55"/>
    </row>
    <row r="86">
      <c r="A86" s="11"/>
      <c r="B86" s="11"/>
      <c r="C86" s="11"/>
      <c r="D86" s="11"/>
      <c r="E86" s="55"/>
      <c r="F86" s="50"/>
      <c r="G86" s="11"/>
      <c r="H86" s="11"/>
      <c r="I86" s="11"/>
      <c r="J86" s="55"/>
    </row>
    <row r="87">
      <c r="A87" s="11"/>
      <c r="B87" s="11"/>
      <c r="C87" s="11"/>
      <c r="D87" s="11"/>
      <c r="E87" s="55"/>
      <c r="F87" s="50"/>
      <c r="G87" s="11"/>
      <c r="H87" s="11"/>
      <c r="I87" s="11"/>
      <c r="J87" s="55"/>
    </row>
    <row r="88">
      <c r="A88" s="11"/>
      <c r="B88" s="11"/>
      <c r="C88" s="11"/>
      <c r="D88" s="11"/>
      <c r="E88" s="55"/>
      <c r="F88" s="50"/>
      <c r="G88" s="11"/>
      <c r="H88" s="11"/>
      <c r="I88" s="11"/>
      <c r="J88" s="55"/>
    </row>
    <row r="89">
      <c r="A89" s="11"/>
      <c r="B89" s="11"/>
      <c r="C89" s="11"/>
      <c r="D89" s="11"/>
      <c r="E89" s="55"/>
      <c r="F89" s="50"/>
      <c r="G89" s="11"/>
      <c r="H89" s="11"/>
      <c r="I89" s="11"/>
      <c r="J89" s="55"/>
    </row>
    <row r="90">
      <c r="A90" s="11"/>
      <c r="B90" s="11"/>
      <c r="C90" s="11"/>
      <c r="D90" s="11"/>
      <c r="E90" s="55"/>
      <c r="F90" s="50"/>
      <c r="G90" s="11"/>
      <c r="H90" s="11"/>
      <c r="I90" s="11"/>
      <c r="J90" s="55"/>
    </row>
    <row r="91">
      <c r="A91" s="11"/>
      <c r="B91" s="11"/>
      <c r="C91" s="11"/>
      <c r="D91" s="11"/>
      <c r="E91" s="55"/>
      <c r="F91" s="50"/>
      <c r="G91" s="11"/>
      <c r="H91" s="11"/>
      <c r="I91" s="11"/>
      <c r="J91" s="55"/>
    </row>
    <row r="92">
      <c r="A92" s="11"/>
      <c r="B92" s="11"/>
      <c r="C92" s="11"/>
      <c r="D92" s="11"/>
      <c r="E92" s="55"/>
      <c r="F92" s="50"/>
      <c r="G92" s="11"/>
      <c r="H92" s="11"/>
      <c r="I92" s="11"/>
      <c r="J92" s="55"/>
    </row>
    <row r="93">
      <c r="A93" s="11"/>
      <c r="B93" s="11"/>
      <c r="C93" s="11"/>
      <c r="D93" s="11"/>
      <c r="E93" s="55"/>
      <c r="F93" s="50"/>
      <c r="G93" s="11"/>
      <c r="H93" s="11"/>
      <c r="I93" s="11"/>
      <c r="J93" s="55"/>
    </row>
    <row r="94">
      <c r="A94" s="11"/>
      <c r="B94" s="11"/>
      <c r="C94" s="11"/>
      <c r="D94" s="11"/>
      <c r="E94" s="55"/>
      <c r="F94" s="50"/>
      <c r="G94" s="11"/>
      <c r="H94" s="11"/>
      <c r="I94" s="11"/>
      <c r="J94" s="55"/>
    </row>
    <row r="95">
      <c r="A95" s="11"/>
      <c r="B95" s="11"/>
      <c r="C95" s="11"/>
      <c r="D95" s="11"/>
      <c r="E95" s="55"/>
      <c r="F95" s="50"/>
      <c r="G95" s="11"/>
      <c r="H95" s="11"/>
      <c r="I95" s="11"/>
      <c r="J95" s="55"/>
    </row>
    <row r="96">
      <c r="A96" s="11"/>
      <c r="B96" s="11"/>
      <c r="C96" s="11"/>
      <c r="D96" s="11"/>
      <c r="E96" s="55"/>
      <c r="F96" s="50"/>
      <c r="G96" s="11"/>
      <c r="H96" s="11"/>
      <c r="I96" s="11"/>
      <c r="J96" s="55"/>
    </row>
    <row r="97">
      <c r="A97" s="11"/>
      <c r="B97" s="11"/>
      <c r="C97" s="11"/>
      <c r="D97" s="11"/>
      <c r="E97" s="55"/>
      <c r="F97" s="50"/>
      <c r="G97" s="11"/>
      <c r="H97" s="11"/>
      <c r="I97" s="11"/>
      <c r="J97" s="55"/>
    </row>
    <row r="98">
      <c r="A98" s="11"/>
      <c r="B98" s="11"/>
      <c r="C98" s="11"/>
      <c r="D98" s="11"/>
      <c r="E98" s="55"/>
      <c r="F98" s="50"/>
      <c r="G98" s="11"/>
      <c r="H98" s="11"/>
      <c r="I98" s="11"/>
      <c r="J98" s="55"/>
    </row>
    <row r="99">
      <c r="A99" s="11"/>
      <c r="B99" s="11"/>
      <c r="C99" s="11"/>
      <c r="D99" s="11"/>
      <c r="E99" s="55"/>
      <c r="F99" s="50"/>
      <c r="G99" s="11"/>
      <c r="H99" s="11"/>
      <c r="I99" s="11"/>
      <c r="J99" s="55"/>
    </row>
    <row r="100">
      <c r="A100" s="11"/>
      <c r="B100" s="11"/>
      <c r="C100" s="11"/>
      <c r="D100" s="11"/>
      <c r="E100" s="55"/>
      <c r="F100" s="50"/>
      <c r="G100" s="11"/>
      <c r="H100" s="11"/>
      <c r="I100" s="11"/>
      <c r="J100" s="55"/>
    </row>
    <row r="101">
      <c r="A101" s="11"/>
      <c r="B101" s="11"/>
      <c r="C101" s="11"/>
      <c r="D101" s="11"/>
      <c r="E101" s="55"/>
      <c r="F101" s="50"/>
      <c r="G101" s="11"/>
      <c r="H101" s="11"/>
      <c r="I101" s="11"/>
      <c r="J101" s="55"/>
    </row>
    <row r="102">
      <c r="A102" s="11"/>
      <c r="B102" s="11"/>
      <c r="C102" s="11"/>
      <c r="D102" s="11"/>
      <c r="E102" s="55"/>
      <c r="F102" s="50"/>
      <c r="G102" s="11"/>
      <c r="H102" s="11"/>
      <c r="I102" s="11"/>
      <c r="J102" s="55"/>
    </row>
    <row r="103">
      <c r="A103" s="11"/>
      <c r="B103" s="11"/>
      <c r="C103" s="11"/>
      <c r="D103" s="11"/>
      <c r="E103" s="55"/>
      <c r="F103" s="50"/>
      <c r="G103" s="11"/>
      <c r="H103" s="11"/>
      <c r="I103" s="11"/>
      <c r="J103" s="55"/>
    </row>
    <row r="104">
      <c r="A104" s="11"/>
      <c r="B104" s="11"/>
      <c r="C104" s="11"/>
      <c r="D104" s="11"/>
      <c r="E104" s="55"/>
      <c r="F104" s="50"/>
      <c r="G104" s="11"/>
      <c r="H104" s="11"/>
      <c r="I104" s="11"/>
      <c r="J104" s="55"/>
    </row>
    <row r="105">
      <c r="A105" s="11"/>
      <c r="B105" s="11"/>
      <c r="C105" s="11"/>
      <c r="D105" s="11"/>
      <c r="E105" s="55"/>
      <c r="F105" s="50"/>
      <c r="G105" s="11"/>
      <c r="H105" s="11"/>
      <c r="I105" s="11"/>
      <c r="J105" s="55"/>
    </row>
    <row r="106">
      <c r="A106" s="11"/>
      <c r="B106" s="11"/>
      <c r="C106" s="11"/>
      <c r="D106" s="11"/>
      <c r="E106" s="55"/>
      <c r="F106" s="50"/>
      <c r="G106" s="11"/>
      <c r="H106" s="11"/>
      <c r="I106" s="11"/>
      <c r="J106" s="55"/>
    </row>
    <row r="107">
      <c r="A107" s="11"/>
      <c r="B107" s="11"/>
      <c r="C107" s="11"/>
      <c r="D107" s="11"/>
      <c r="E107" s="55"/>
      <c r="F107" s="50"/>
      <c r="G107" s="11"/>
      <c r="H107" s="11"/>
      <c r="I107" s="11"/>
      <c r="J107" s="55"/>
    </row>
    <row r="108">
      <c r="A108" s="11"/>
      <c r="B108" s="11"/>
      <c r="C108" s="11"/>
      <c r="D108" s="11"/>
      <c r="E108" s="55"/>
      <c r="F108" s="50"/>
      <c r="G108" s="11"/>
      <c r="H108" s="11"/>
      <c r="I108" s="11"/>
      <c r="J108" s="55"/>
    </row>
    <row r="109">
      <c r="A109" s="11"/>
      <c r="B109" s="11"/>
      <c r="C109" s="11"/>
      <c r="D109" s="11"/>
      <c r="E109" s="55"/>
      <c r="F109" s="50"/>
      <c r="G109" s="11"/>
      <c r="H109" s="11"/>
      <c r="I109" s="11"/>
      <c r="J109" s="55"/>
    </row>
    <row r="110">
      <c r="A110" s="11"/>
      <c r="B110" s="11"/>
      <c r="C110" s="11"/>
      <c r="D110" s="11"/>
      <c r="E110" s="55"/>
      <c r="F110" s="50"/>
      <c r="G110" s="11"/>
      <c r="H110" s="11"/>
      <c r="I110" s="11"/>
      <c r="J110" s="55"/>
    </row>
    <row r="111">
      <c r="A111" s="11"/>
      <c r="B111" s="11"/>
      <c r="C111" s="11"/>
      <c r="D111" s="11"/>
      <c r="E111" s="55"/>
      <c r="F111" s="50"/>
      <c r="G111" s="11"/>
      <c r="H111" s="11"/>
      <c r="I111" s="11"/>
      <c r="J111" s="55"/>
    </row>
    <row r="112">
      <c r="A112" s="11"/>
      <c r="B112" s="11"/>
      <c r="C112" s="11"/>
      <c r="D112" s="11"/>
      <c r="E112" s="55"/>
      <c r="F112" s="50"/>
      <c r="G112" s="11"/>
      <c r="H112" s="11"/>
      <c r="I112" s="11"/>
      <c r="J112" s="55"/>
    </row>
    <row r="113">
      <c r="A113" s="11"/>
      <c r="B113" s="11"/>
      <c r="C113" s="11"/>
      <c r="D113" s="11"/>
      <c r="E113" s="55"/>
      <c r="F113" s="50"/>
      <c r="G113" s="11"/>
      <c r="H113" s="11"/>
      <c r="I113" s="11"/>
      <c r="J113" s="55"/>
    </row>
    <row r="114">
      <c r="A114" s="11"/>
      <c r="B114" s="11"/>
      <c r="C114" s="11"/>
      <c r="D114" s="11"/>
      <c r="E114" s="55"/>
      <c r="F114" s="50"/>
      <c r="G114" s="11"/>
      <c r="H114" s="11"/>
      <c r="I114" s="11"/>
      <c r="J114" s="55"/>
    </row>
    <row r="115">
      <c r="A115" s="11"/>
      <c r="B115" s="11"/>
      <c r="C115" s="11"/>
      <c r="D115" s="11"/>
      <c r="E115" s="55"/>
      <c r="F115" s="50"/>
      <c r="G115" s="11"/>
      <c r="H115" s="11"/>
      <c r="I115" s="11"/>
      <c r="J115" s="55"/>
    </row>
    <row r="116">
      <c r="A116" s="11"/>
      <c r="B116" s="11"/>
      <c r="C116" s="11"/>
      <c r="D116" s="11"/>
      <c r="E116" s="55"/>
      <c r="F116" s="50"/>
      <c r="G116" s="11"/>
      <c r="H116" s="11"/>
      <c r="I116" s="11"/>
      <c r="J116" s="55"/>
    </row>
    <row r="117">
      <c r="A117" s="11"/>
      <c r="B117" s="11"/>
      <c r="C117" s="11"/>
      <c r="D117" s="11"/>
      <c r="E117" s="55"/>
      <c r="F117" s="50"/>
      <c r="G117" s="11"/>
      <c r="H117" s="11"/>
      <c r="I117" s="11"/>
      <c r="J117" s="55"/>
    </row>
    <row r="118">
      <c r="A118" s="11"/>
      <c r="B118" s="11"/>
      <c r="C118" s="11"/>
      <c r="D118" s="11"/>
      <c r="E118" s="55"/>
      <c r="F118" s="50"/>
      <c r="G118" s="11"/>
      <c r="H118" s="11"/>
      <c r="I118" s="11"/>
      <c r="J118" s="55"/>
    </row>
    <row r="119">
      <c r="A119" s="11"/>
      <c r="B119" s="11"/>
      <c r="C119" s="11"/>
      <c r="D119" s="11"/>
      <c r="E119" s="55"/>
      <c r="F119" s="50"/>
      <c r="G119" s="11"/>
      <c r="H119" s="11"/>
      <c r="I119" s="11"/>
      <c r="J119" s="55"/>
    </row>
    <row r="120">
      <c r="A120" s="11"/>
      <c r="B120" s="11"/>
      <c r="C120" s="11"/>
      <c r="D120" s="11"/>
      <c r="E120" s="55"/>
      <c r="F120" s="50"/>
      <c r="G120" s="11"/>
      <c r="H120" s="11"/>
      <c r="I120" s="11"/>
      <c r="J120" s="55"/>
    </row>
    <row r="121">
      <c r="A121" s="11"/>
      <c r="B121" s="11"/>
      <c r="C121" s="11"/>
      <c r="D121" s="11"/>
      <c r="E121" s="55"/>
      <c r="F121" s="50"/>
      <c r="G121" s="11"/>
      <c r="H121" s="11"/>
      <c r="I121" s="11"/>
      <c r="J121" s="55"/>
    </row>
    <row r="122">
      <c r="A122" s="11"/>
      <c r="B122" s="11"/>
      <c r="C122" s="11"/>
      <c r="D122" s="11"/>
      <c r="E122" s="55"/>
      <c r="F122" s="50"/>
      <c r="G122" s="11"/>
      <c r="H122" s="11"/>
      <c r="I122" s="11"/>
      <c r="J122" s="55"/>
    </row>
    <row r="123">
      <c r="A123" s="11"/>
      <c r="B123" s="11"/>
      <c r="C123" s="11"/>
      <c r="D123" s="11"/>
      <c r="E123" s="55"/>
      <c r="F123" s="50"/>
      <c r="G123" s="11"/>
      <c r="H123" s="11"/>
      <c r="I123" s="11"/>
      <c r="J123" s="55"/>
    </row>
    <row r="124">
      <c r="A124" s="11"/>
      <c r="B124" s="11"/>
      <c r="C124" s="11"/>
      <c r="D124" s="11"/>
      <c r="E124" s="55"/>
      <c r="F124" s="50"/>
      <c r="G124" s="11"/>
      <c r="H124" s="11"/>
      <c r="I124" s="11"/>
      <c r="J124" s="55"/>
    </row>
    <row r="125">
      <c r="A125" s="11"/>
      <c r="B125" s="11"/>
      <c r="C125" s="11"/>
      <c r="D125" s="11"/>
      <c r="E125" s="55"/>
      <c r="F125" s="50"/>
      <c r="G125" s="11"/>
      <c r="H125" s="11"/>
      <c r="I125" s="11"/>
      <c r="J125" s="55"/>
    </row>
    <row r="126">
      <c r="A126" s="11"/>
      <c r="B126" s="11"/>
      <c r="C126" s="11"/>
      <c r="D126" s="11"/>
      <c r="E126" s="55"/>
      <c r="F126" s="50"/>
      <c r="G126" s="11"/>
      <c r="H126" s="11"/>
      <c r="I126" s="11"/>
      <c r="J126" s="55"/>
    </row>
    <row r="127">
      <c r="A127" s="11"/>
      <c r="B127" s="11"/>
      <c r="C127" s="11"/>
      <c r="D127" s="11"/>
      <c r="E127" s="55"/>
      <c r="F127" s="50"/>
      <c r="G127" s="11"/>
      <c r="H127" s="11"/>
      <c r="I127" s="11"/>
      <c r="J127" s="55"/>
    </row>
    <row r="128">
      <c r="A128" s="11"/>
      <c r="B128" s="11"/>
      <c r="C128" s="11"/>
      <c r="D128" s="11"/>
      <c r="E128" s="55"/>
      <c r="F128" s="50"/>
      <c r="G128" s="11"/>
      <c r="H128" s="11"/>
      <c r="I128" s="11"/>
      <c r="J128" s="55"/>
    </row>
    <row r="129">
      <c r="A129" s="11"/>
      <c r="B129" s="11"/>
      <c r="C129" s="11"/>
      <c r="D129" s="11"/>
      <c r="E129" s="55"/>
      <c r="F129" s="50"/>
      <c r="G129" s="11"/>
      <c r="H129" s="11"/>
      <c r="I129" s="11"/>
      <c r="J129" s="55"/>
    </row>
    <row r="130">
      <c r="A130" s="11"/>
      <c r="B130" s="11"/>
      <c r="C130" s="11"/>
      <c r="D130" s="11"/>
      <c r="E130" s="55"/>
      <c r="F130" s="50"/>
      <c r="G130" s="11"/>
      <c r="H130" s="11"/>
      <c r="I130" s="11"/>
      <c r="J130" s="55"/>
    </row>
    <row r="131">
      <c r="A131" s="11"/>
      <c r="B131" s="11"/>
      <c r="C131" s="11"/>
      <c r="D131" s="11"/>
      <c r="E131" s="55"/>
      <c r="F131" s="50"/>
      <c r="G131" s="11"/>
      <c r="H131" s="11"/>
      <c r="I131" s="11"/>
      <c r="J131" s="55"/>
    </row>
    <row r="132">
      <c r="A132" s="11"/>
      <c r="B132" s="11"/>
      <c r="C132" s="11"/>
      <c r="D132" s="11"/>
      <c r="E132" s="55"/>
      <c r="F132" s="50"/>
      <c r="G132" s="11"/>
      <c r="H132" s="11"/>
      <c r="I132" s="11"/>
      <c r="J132" s="55"/>
    </row>
    <row r="133">
      <c r="A133" s="11"/>
      <c r="B133" s="11"/>
      <c r="C133" s="11"/>
      <c r="D133" s="11"/>
      <c r="E133" s="55"/>
      <c r="F133" s="50"/>
      <c r="G133" s="11"/>
      <c r="H133" s="11"/>
      <c r="I133" s="11"/>
      <c r="J133" s="55"/>
    </row>
    <row r="134">
      <c r="A134" s="11"/>
      <c r="B134" s="11"/>
      <c r="C134" s="11"/>
      <c r="D134" s="11"/>
      <c r="E134" s="55"/>
      <c r="F134" s="50"/>
      <c r="G134" s="11"/>
      <c r="H134" s="11"/>
      <c r="I134" s="11"/>
      <c r="J134" s="55"/>
    </row>
    <row r="135">
      <c r="A135" s="11"/>
      <c r="B135" s="11"/>
      <c r="C135" s="11"/>
      <c r="D135" s="11"/>
      <c r="E135" s="55"/>
      <c r="F135" s="50"/>
      <c r="G135" s="11"/>
      <c r="H135" s="11"/>
      <c r="I135" s="11"/>
      <c r="J135" s="55"/>
    </row>
    <row r="136">
      <c r="A136" s="11"/>
      <c r="B136" s="11"/>
      <c r="C136" s="11"/>
      <c r="D136" s="11"/>
      <c r="E136" s="55"/>
      <c r="F136" s="50"/>
      <c r="G136" s="11"/>
      <c r="H136" s="11"/>
      <c r="I136" s="11"/>
      <c r="J136" s="55"/>
    </row>
    <row r="137">
      <c r="A137" s="11"/>
      <c r="B137" s="11"/>
      <c r="C137" s="11"/>
      <c r="D137" s="11"/>
      <c r="E137" s="55"/>
      <c r="F137" s="50"/>
      <c r="G137" s="11"/>
      <c r="H137" s="11"/>
      <c r="I137" s="11"/>
      <c r="J137" s="55"/>
    </row>
    <row r="138">
      <c r="A138" s="11"/>
      <c r="B138" s="11"/>
      <c r="C138" s="11"/>
      <c r="D138" s="11"/>
      <c r="E138" s="55"/>
      <c r="F138" s="50"/>
      <c r="G138" s="11"/>
      <c r="H138" s="11"/>
      <c r="I138" s="11"/>
      <c r="J138" s="55"/>
    </row>
    <row r="139">
      <c r="A139" s="11"/>
      <c r="B139" s="11"/>
      <c r="C139" s="11"/>
      <c r="D139" s="11"/>
      <c r="E139" s="55"/>
      <c r="F139" s="50"/>
      <c r="G139" s="11"/>
      <c r="H139" s="11"/>
      <c r="I139" s="11"/>
      <c r="J139" s="55"/>
    </row>
    <row r="140">
      <c r="A140" s="11"/>
      <c r="B140" s="11"/>
      <c r="C140" s="11"/>
      <c r="D140" s="11"/>
      <c r="E140" s="55"/>
      <c r="F140" s="50"/>
      <c r="G140" s="11"/>
      <c r="H140" s="11"/>
      <c r="I140" s="11"/>
      <c r="J140" s="55"/>
    </row>
    <row r="141">
      <c r="A141" s="11"/>
      <c r="B141" s="11"/>
      <c r="C141" s="11"/>
      <c r="D141" s="11"/>
      <c r="E141" s="55"/>
      <c r="F141" s="50"/>
      <c r="G141" s="11"/>
      <c r="H141" s="11"/>
      <c r="I141" s="11"/>
      <c r="J141" s="55"/>
    </row>
    <row r="142">
      <c r="A142" s="11"/>
      <c r="B142" s="11"/>
      <c r="C142" s="11"/>
      <c r="D142" s="11"/>
      <c r="E142" s="55"/>
      <c r="F142" s="50"/>
      <c r="G142" s="11"/>
      <c r="H142" s="11"/>
      <c r="I142" s="11"/>
      <c r="J142" s="55"/>
    </row>
    <row r="143">
      <c r="A143" s="11"/>
      <c r="B143" s="11"/>
      <c r="C143" s="11"/>
      <c r="D143" s="11"/>
      <c r="E143" s="55"/>
      <c r="F143" s="50"/>
      <c r="G143" s="11"/>
      <c r="H143" s="11"/>
      <c r="I143" s="11"/>
      <c r="J143" s="55"/>
    </row>
    <row r="144">
      <c r="A144" s="11"/>
      <c r="B144" s="11"/>
      <c r="C144" s="11"/>
      <c r="D144" s="11"/>
      <c r="E144" s="55"/>
      <c r="F144" s="50"/>
      <c r="G144" s="11"/>
      <c r="H144" s="11"/>
      <c r="I144" s="11"/>
      <c r="J144" s="55"/>
    </row>
    <row r="145">
      <c r="A145" s="11"/>
      <c r="B145" s="11"/>
      <c r="C145" s="11"/>
      <c r="D145" s="11"/>
      <c r="E145" s="55"/>
      <c r="F145" s="50"/>
      <c r="G145" s="11"/>
      <c r="H145" s="11"/>
      <c r="I145" s="11"/>
      <c r="J145" s="55"/>
    </row>
    <row r="146">
      <c r="A146" s="11"/>
      <c r="B146" s="11"/>
      <c r="C146" s="11"/>
      <c r="D146" s="11"/>
      <c r="E146" s="55"/>
      <c r="F146" s="50"/>
      <c r="G146" s="11"/>
      <c r="H146" s="11"/>
      <c r="I146" s="11"/>
      <c r="J146" s="55"/>
    </row>
    <row r="147">
      <c r="A147" s="11"/>
      <c r="B147" s="11"/>
      <c r="C147" s="11"/>
      <c r="D147" s="11"/>
      <c r="E147" s="55"/>
      <c r="F147" s="50"/>
      <c r="G147" s="11"/>
      <c r="H147" s="11"/>
      <c r="I147" s="11"/>
      <c r="J147" s="55"/>
    </row>
    <row r="148">
      <c r="A148" s="11"/>
      <c r="B148" s="11"/>
      <c r="C148" s="11"/>
      <c r="D148" s="11"/>
      <c r="E148" s="55"/>
      <c r="F148" s="50"/>
      <c r="G148" s="11"/>
      <c r="H148" s="11"/>
      <c r="I148" s="11"/>
      <c r="J148" s="55"/>
    </row>
    <row r="149">
      <c r="A149" s="11"/>
      <c r="B149" s="11"/>
      <c r="C149" s="11"/>
      <c r="D149" s="11"/>
      <c r="E149" s="55"/>
      <c r="F149" s="50"/>
      <c r="G149" s="11"/>
      <c r="H149" s="11"/>
      <c r="I149" s="11"/>
      <c r="J149" s="55"/>
    </row>
    <row r="150">
      <c r="A150" s="11"/>
      <c r="B150" s="11"/>
      <c r="C150" s="11"/>
      <c r="D150" s="11"/>
      <c r="E150" s="55"/>
      <c r="F150" s="50"/>
      <c r="G150" s="11"/>
      <c r="H150" s="11"/>
      <c r="I150" s="11"/>
      <c r="J150" s="55"/>
    </row>
    <row r="151">
      <c r="A151" s="11"/>
      <c r="B151" s="11"/>
      <c r="C151" s="11"/>
      <c r="D151" s="11"/>
      <c r="E151" s="55"/>
      <c r="F151" s="50"/>
      <c r="G151" s="11"/>
      <c r="H151" s="11"/>
      <c r="I151" s="11"/>
      <c r="J151" s="55"/>
    </row>
    <row r="152">
      <c r="A152" s="11"/>
      <c r="B152" s="11"/>
      <c r="C152" s="11"/>
      <c r="D152" s="11"/>
      <c r="E152" s="55"/>
      <c r="F152" s="50"/>
      <c r="G152" s="11"/>
      <c r="H152" s="11"/>
      <c r="I152" s="11"/>
      <c r="J152" s="55"/>
    </row>
    <row r="153">
      <c r="A153" s="11"/>
      <c r="B153" s="11"/>
      <c r="C153" s="11"/>
      <c r="D153" s="11"/>
      <c r="E153" s="55"/>
      <c r="F153" s="50"/>
      <c r="G153" s="11"/>
      <c r="H153" s="11"/>
      <c r="I153" s="11"/>
      <c r="J153" s="55"/>
    </row>
    <row r="154">
      <c r="A154" s="11"/>
      <c r="B154" s="11"/>
      <c r="C154" s="11"/>
      <c r="D154" s="11"/>
      <c r="E154" s="55"/>
      <c r="F154" s="50"/>
      <c r="G154" s="11"/>
      <c r="H154" s="11"/>
      <c r="I154" s="11"/>
      <c r="J154" s="55"/>
    </row>
    <row r="155">
      <c r="A155" s="11"/>
      <c r="B155" s="11"/>
      <c r="C155" s="11"/>
      <c r="D155" s="11"/>
      <c r="E155" s="55"/>
      <c r="F155" s="50"/>
      <c r="G155" s="11"/>
      <c r="H155" s="11"/>
      <c r="I155" s="11"/>
      <c r="J155" s="55"/>
    </row>
    <row r="156">
      <c r="A156" s="11"/>
      <c r="B156" s="11"/>
      <c r="C156" s="11"/>
      <c r="D156" s="11"/>
      <c r="E156" s="55"/>
      <c r="F156" s="50"/>
      <c r="G156" s="11"/>
      <c r="H156" s="11"/>
      <c r="I156" s="11"/>
      <c r="J156" s="55"/>
    </row>
    <row r="157">
      <c r="A157" s="11"/>
      <c r="B157" s="11"/>
      <c r="C157" s="11"/>
      <c r="D157" s="11"/>
      <c r="E157" s="55"/>
      <c r="F157" s="50"/>
      <c r="G157" s="11"/>
      <c r="H157" s="11"/>
      <c r="I157" s="11"/>
      <c r="J157" s="55"/>
    </row>
    <row r="158">
      <c r="A158" s="11"/>
      <c r="B158" s="11"/>
      <c r="C158" s="11"/>
      <c r="D158" s="11"/>
      <c r="E158" s="55"/>
      <c r="F158" s="50"/>
      <c r="G158" s="11"/>
      <c r="H158" s="11"/>
      <c r="I158" s="11"/>
      <c r="J158" s="55"/>
    </row>
    <row r="159">
      <c r="A159" s="11"/>
      <c r="B159" s="11"/>
      <c r="C159" s="11"/>
      <c r="D159" s="11"/>
      <c r="E159" s="55"/>
      <c r="F159" s="50"/>
      <c r="G159" s="11"/>
      <c r="H159" s="11"/>
      <c r="I159" s="11"/>
      <c r="J159" s="55"/>
    </row>
    <row r="160">
      <c r="A160" s="11"/>
      <c r="B160" s="11"/>
      <c r="C160" s="11"/>
      <c r="D160" s="11"/>
      <c r="E160" s="55"/>
      <c r="F160" s="50"/>
      <c r="G160" s="11"/>
      <c r="H160" s="11"/>
      <c r="I160" s="11"/>
      <c r="J160" s="55"/>
    </row>
    <row r="161">
      <c r="A161" s="11"/>
      <c r="B161" s="11"/>
      <c r="C161" s="11"/>
      <c r="D161" s="11"/>
      <c r="E161" s="55"/>
      <c r="F161" s="50"/>
      <c r="G161" s="11"/>
      <c r="H161" s="11"/>
      <c r="I161" s="11"/>
      <c r="J161" s="55"/>
    </row>
    <row r="162">
      <c r="A162" s="11"/>
      <c r="B162" s="11"/>
      <c r="C162" s="11"/>
      <c r="D162" s="11"/>
      <c r="E162" s="55"/>
      <c r="F162" s="50"/>
      <c r="G162" s="11"/>
      <c r="H162" s="11"/>
      <c r="I162" s="11"/>
      <c r="J162" s="55"/>
    </row>
    <row r="163">
      <c r="A163" s="11"/>
      <c r="B163" s="11"/>
      <c r="C163" s="11"/>
      <c r="D163" s="11"/>
      <c r="E163" s="55"/>
      <c r="F163" s="50"/>
      <c r="G163" s="11"/>
      <c r="H163" s="11"/>
      <c r="I163" s="11"/>
      <c r="J163" s="55"/>
    </row>
    <row r="164">
      <c r="A164" s="11"/>
      <c r="B164" s="11"/>
      <c r="C164" s="11"/>
      <c r="D164" s="11"/>
      <c r="E164" s="55"/>
      <c r="F164" s="50"/>
      <c r="G164" s="11"/>
      <c r="H164" s="11"/>
      <c r="I164" s="11"/>
      <c r="J164" s="55"/>
    </row>
    <row r="165">
      <c r="A165" s="11"/>
      <c r="B165" s="11"/>
      <c r="C165" s="11"/>
      <c r="D165" s="11"/>
      <c r="E165" s="55"/>
      <c r="F165" s="50"/>
      <c r="G165" s="11"/>
      <c r="H165" s="11"/>
      <c r="I165" s="11"/>
      <c r="J165" s="55"/>
    </row>
    <row r="166">
      <c r="A166" s="11"/>
      <c r="B166" s="11"/>
      <c r="C166" s="11"/>
      <c r="D166" s="11"/>
      <c r="E166" s="55"/>
      <c r="F166" s="50"/>
      <c r="G166" s="11"/>
      <c r="H166" s="11"/>
      <c r="I166" s="11"/>
      <c r="J166" s="55"/>
    </row>
    <row r="167">
      <c r="A167" s="11"/>
      <c r="B167" s="11"/>
      <c r="C167" s="11"/>
      <c r="D167" s="11"/>
      <c r="E167" s="55"/>
      <c r="F167" s="50"/>
      <c r="G167" s="11"/>
      <c r="H167" s="11"/>
      <c r="I167" s="11"/>
      <c r="J167" s="55"/>
    </row>
    <row r="168">
      <c r="A168" s="11"/>
      <c r="B168" s="11"/>
      <c r="C168" s="11"/>
      <c r="D168" s="11"/>
      <c r="E168" s="55"/>
      <c r="F168" s="50"/>
      <c r="G168" s="11"/>
      <c r="H168" s="11"/>
      <c r="I168" s="11"/>
      <c r="J168" s="55"/>
    </row>
    <row r="169">
      <c r="A169" s="11"/>
      <c r="B169" s="11"/>
      <c r="C169" s="11"/>
      <c r="D169" s="11"/>
      <c r="E169" s="55"/>
      <c r="F169" s="50"/>
      <c r="G169" s="11"/>
      <c r="H169" s="11"/>
      <c r="I169" s="11"/>
      <c r="J169" s="55"/>
    </row>
    <row r="170">
      <c r="A170" s="11"/>
      <c r="B170" s="11"/>
      <c r="C170" s="11"/>
      <c r="D170" s="11"/>
      <c r="E170" s="55"/>
      <c r="F170" s="50"/>
      <c r="G170" s="11"/>
      <c r="H170" s="11"/>
      <c r="I170" s="11"/>
      <c r="J170" s="55"/>
    </row>
    <row r="171">
      <c r="A171" s="11"/>
      <c r="B171" s="11"/>
      <c r="C171" s="11"/>
      <c r="D171" s="11"/>
      <c r="E171" s="55"/>
      <c r="F171" s="50"/>
      <c r="G171" s="11"/>
      <c r="H171" s="11"/>
      <c r="I171" s="11"/>
      <c r="J171" s="55"/>
    </row>
    <row r="172">
      <c r="A172" s="11"/>
      <c r="B172" s="11"/>
      <c r="C172" s="11"/>
      <c r="D172" s="11"/>
      <c r="E172" s="55"/>
      <c r="F172" s="50"/>
      <c r="G172" s="11"/>
      <c r="H172" s="11"/>
      <c r="I172" s="11"/>
      <c r="J172" s="55"/>
    </row>
    <row r="173">
      <c r="A173" s="11"/>
      <c r="B173" s="11"/>
      <c r="C173" s="11"/>
      <c r="D173" s="11"/>
      <c r="E173" s="55"/>
      <c r="F173" s="50"/>
      <c r="G173" s="11"/>
      <c r="H173" s="11"/>
      <c r="I173" s="11"/>
      <c r="J173" s="55"/>
    </row>
    <row r="174">
      <c r="A174" s="11"/>
      <c r="B174" s="11"/>
      <c r="C174" s="11"/>
      <c r="D174" s="11"/>
      <c r="E174" s="55"/>
      <c r="F174" s="50"/>
      <c r="G174" s="11"/>
      <c r="H174" s="11"/>
      <c r="I174" s="11"/>
      <c r="J174" s="55"/>
    </row>
    <row r="175">
      <c r="A175" s="11"/>
      <c r="B175" s="11"/>
      <c r="C175" s="11"/>
      <c r="D175" s="11"/>
      <c r="E175" s="55"/>
      <c r="F175" s="50"/>
      <c r="G175" s="11"/>
      <c r="H175" s="11"/>
      <c r="I175" s="11"/>
      <c r="J175" s="55"/>
    </row>
    <row r="176">
      <c r="A176" s="11"/>
      <c r="B176" s="11"/>
      <c r="C176" s="11"/>
      <c r="D176" s="11"/>
      <c r="E176" s="55"/>
      <c r="F176" s="50"/>
      <c r="G176" s="11"/>
      <c r="H176" s="11"/>
      <c r="I176" s="11"/>
      <c r="J176" s="55"/>
    </row>
    <row r="177">
      <c r="A177" s="11"/>
      <c r="B177" s="11"/>
      <c r="C177" s="11"/>
      <c r="D177" s="11"/>
      <c r="E177" s="55"/>
      <c r="F177" s="50"/>
      <c r="G177" s="11"/>
      <c r="H177" s="11"/>
      <c r="I177" s="11"/>
      <c r="J177" s="55"/>
    </row>
    <row r="178">
      <c r="A178" s="11"/>
      <c r="B178" s="11"/>
      <c r="C178" s="11"/>
      <c r="D178" s="11"/>
      <c r="E178" s="55"/>
      <c r="F178" s="50"/>
      <c r="G178" s="11"/>
      <c r="H178" s="11"/>
      <c r="I178" s="11"/>
      <c r="J178" s="55"/>
    </row>
    <row r="179">
      <c r="A179" s="11"/>
      <c r="B179" s="11"/>
      <c r="C179" s="11"/>
      <c r="D179" s="11"/>
      <c r="E179" s="55"/>
      <c r="F179" s="50"/>
      <c r="G179" s="11"/>
      <c r="H179" s="11"/>
      <c r="I179" s="11"/>
      <c r="J179" s="55"/>
    </row>
    <row r="180">
      <c r="A180" s="11"/>
      <c r="B180" s="11"/>
      <c r="C180" s="11"/>
      <c r="D180" s="11"/>
      <c r="E180" s="55"/>
      <c r="F180" s="50"/>
      <c r="G180" s="11"/>
      <c r="H180" s="11"/>
      <c r="I180" s="11"/>
      <c r="J180" s="55"/>
    </row>
    <row r="181">
      <c r="A181" s="11"/>
      <c r="B181" s="11"/>
      <c r="C181" s="11"/>
      <c r="D181" s="11"/>
      <c r="E181" s="55"/>
      <c r="F181" s="50"/>
      <c r="G181" s="11"/>
      <c r="H181" s="11"/>
      <c r="I181" s="11"/>
      <c r="J181" s="55"/>
    </row>
    <row r="182">
      <c r="A182" s="11"/>
      <c r="B182" s="11"/>
      <c r="C182" s="11"/>
      <c r="D182" s="11"/>
      <c r="E182" s="55"/>
      <c r="F182" s="50"/>
      <c r="G182" s="11"/>
      <c r="H182" s="11"/>
      <c r="I182" s="11"/>
      <c r="J182" s="55"/>
    </row>
    <row r="183">
      <c r="A183" s="11"/>
      <c r="B183" s="11"/>
      <c r="C183" s="11"/>
      <c r="D183" s="11"/>
      <c r="E183" s="55"/>
      <c r="F183" s="50"/>
      <c r="G183" s="11"/>
      <c r="H183" s="11"/>
      <c r="I183" s="11"/>
      <c r="J183" s="55"/>
    </row>
    <row r="184">
      <c r="A184" s="11"/>
      <c r="B184" s="11"/>
      <c r="C184" s="11"/>
      <c r="D184" s="11"/>
      <c r="E184" s="55"/>
      <c r="F184" s="50"/>
      <c r="G184" s="11"/>
      <c r="H184" s="11"/>
      <c r="I184" s="11"/>
      <c r="J184" s="55"/>
    </row>
    <row r="185">
      <c r="A185" s="11"/>
      <c r="B185" s="11"/>
      <c r="C185" s="11"/>
      <c r="D185" s="11"/>
      <c r="E185" s="55"/>
      <c r="F185" s="50"/>
      <c r="G185" s="11"/>
      <c r="H185" s="11"/>
      <c r="I185" s="11"/>
      <c r="J185" s="55"/>
    </row>
    <row r="186">
      <c r="A186" s="11"/>
      <c r="B186" s="11"/>
      <c r="C186" s="11"/>
      <c r="D186" s="11"/>
      <c r="E186" s="55"/>
      <c r="F186" s="50"/>
      <c r="G186" s="11"/>
      <c r="H186" s="11"/>
      <c r="I186" s="11"/>
      <c r="J186" s="55"/>
    </row>
    <row r="187">
      <c r="A187" s="11"/>
      <c r="B187" s="11"/>
      <c r="C187" s="11"/>
      <c r="D187" s="11"/>
      <c r="E187" s="55"/>
      <c r="F187" s="50"/>
      <c r="G187" s="11"/>
      <c r="H187" s="11"/>
      <c r="I187" s="11"/>
      <c r="J187" s="55"/>
    </row>
    <row r="188">
      <c r="A188" s="11"/>
      <c r="B188" s="11"/>
      <c r="C188" s="11"/>
      <c r="D188" s="11"/>
      <c r="E188" s="55"/>
      <c r="F188" s="50"/>
      <c r="G188" s="11"/>
      <c r="H188" s="11"/>
      <c r="I188" s="11"/>
      <c r="J188" s="55"/>
    </row>
    <row r="189">
      <c r="A189" s="11"/>
      <c r="B189" s="11"/>
      <c r="C189" s="11"/>
      <c r="D189" s="11"/>
      <c r="E189" s="55"/>
      <c r="F189" s="50"/>
      <c r="G189" s="11"/>
      <c r="H189" s="11"/>
      <c r="I189" s="11"/>
      <c r="J189" s="55"/>
    </row>
    <row r="190">
      <c r="A190" s="11"/>
      <c r="B190" s="11"/>
      <c r="C190" s="11"/>
      <c r="D190" s="11"/>
      <c r="E190" s="55"/>
      <c r="F190" s="50"/>
      <c r="G190" s="11"/>
      <c r="H190" s="11"/>
      <c r="I190" s="11"/>
      <c r="J190" s="55"/>
    </row>
    <row r="191">
      <c r="A191" s="11"/>
      <c r="B191" s="11"/>
      <c r="C191" s="11"/>
      <c r="D191" s="11"/>
      <c r="E191" s="55"/>
      <c r="F191" s="50"/>
      <c r="G191" s="11"/>
      <c r="H191" s="11"/>
      <c r="I191" s="11"/>
      <c r="J191" s="55"/>
    </row>
    <row r="192">
      <c r="A192" s="11"/>
      <c r="B192" s="11"/>
      <c r="C192" s="11"/>
      <c r="D192" s="11"/>
      <c r="E192" s="55"/>
      <c r="F192" s="50"/>
      <c r="G192" s="11"/>
      <c r="H192" s="11"/>
      <c r="I192" s="11"/>
      <c r="J192" s="55"/>
    </row>
    <row r="193">
      <c r="A193" s="11"/>
      <c r="B193" s="11"/>
      <c r="C193" s="11"/>
      <c r="D193" s="11"/>
      <c r="E193" s="55"/>
      <c r="F193" s="50"/>
      <c r="G193" s="11"/>
      <c r="H193" s="11"/>
      <c r="I193" s="11"/>
      <c r="J193" s="55"/>
    </row>
    <row r="194">
      <c r="A194" s="11"/>
      <c r="B194" s="11"/>
      <c r="C194" s="11"/>
      <c r="D194" s="11"/>
      <c r="E194" s="55"/>
      <c r="F194" s="50"/>
      <c r="G194" s="11"/>
      <c r="H194" s="11"/>
      <c r="I194" s="11"/>
      <c r="J194" s="55"/>
    </row>
    <row r="195">
      <c r="A195" s="11"/>
      <c r="B195" s="11"/>
      <c r="C195" s="11"/>
      <c r="D195" s="11"/>
      <c r="E195" s="55"/>
      <c r="F195" s="50"/>
      <c r="G195" s="11"/>
      <c r="H195" s="11"/>
      <c r="I195" s="11"/>
      <c r="J195" s="55"/>
    </row>
    <row r="196">
      <c r="A196" s="11"/>
      <c r="B196" s="11"/>
      <c r="C196" s="11"/>
      <c r="D196" s="11"/>
      <c r="E196" s="55"/>
      <c r="F196" s="50"/>
      <c r="G196" s="11"/>
      <c r="H196" s="11"/>
      <c r="I196" s="11"/>
      <c r="J196" s="55"/>
    </row>
    <row r="197">
      <c r="A197" s="11"/>
      <c r="B197" s="11"/>
      <c r="C197" s="11"/>
      <c r="D197" s="11"/>
      <c r="E197" s="55"/>
      <c r="F197" s="50"/>
      <c r="G197" s="11"/>
      <c r="H197" s="11"/>
      <c r="I197" s="11"/>
      <c r="J197" s="55"/>
    </row>
    <row r="198">
      <c r="A198" s="11"/>
      <c r="B198" s="11"/>
      <c r="C198" s="11"/>
      <c r="D198" s="11"/>
      <c r="E198" s="55"/>
      <c r="F198" s="50"/>
      <c r="G198" s="11"/>
      <c r="H198" s="11"/>
      <c r="I198" s="11"/>
      <c r="J198" s="55"/>
    </row>
    <row r="199">
      <c r="A199" s="11"/>
      <c r="B199" s="11"/>
      <c r="C199" s="11"/>
      <c r="D199" s="11"/>
      <c r="E199" s="55"/>
      <c r="F199" s="50"/>
      <c r="G199" s="11"/>
      <c r="H199" s="11"/>
      <c r="I199" s="11"/>
      <c r="J199" s="55"/>
    </row>
    <row r="200">
      <c r="A200" s="11"/>
      <c r="B200" s="11"/>
      <c r="C200" s="11"/>
      <c r="D200" s="11"/>
      <c r="E200" s="55"/>
      <c r="F200" s="50"/>
      <c r="G200" s="11"/>
      <c r="H200" s="11"/>
      <c r="I200" s="11"/>
      <c r="J200" s="55"/>
    </row>
    <row r="201">
      <c r="A201" s="11"/>
      <c r="B201" s="11"/>
      <c r="C201" s="11"/>
      <c r="D201" s="11"/>
      <c r="E201" s="55"/>
      <c r="F201" s="50"/>
      <c r="G201" s="11"/>
      <c r="H201" s="11"/>
      <c r="I201" s="11"/>
      <c r="J201" s="55"/>
    </row>
    <row r="202">
      <c r="A202" s="11"/>
      <c r="B202" s="11"/>
      <c r="C202" s="11"/>
      <c r="D202" s="11"/>
      <c r="E202" s="55"/>
      <c r="F202" s="50"/>
      <c r="G202" s="11"/>
      <c r="H202" s="11"/>
      <c r="I202" s="11"/>
      <c r="J202" s="55"/>
    </row>
    <row r="203">
      <c r="A203" s="11"/>
      <c r="B203" s="11"/>
      <c r="C203" s="11"/>
      <c r="D203" s="11"/>
      <c r="E203" s="55"/>
      <c r="F203" s="50"/>
      <c r="G203" s="11"/>
      <c r="H203" s="11"/>
      <c r="I203" s="11"/>
      <c r="J203" s="55"/>
    </row>
    <row r="204">
      <c r="A204" s="11"/>
      <c r="B204" s="11"/>
      <c r="C204" s="11"/>
      <c r="D204" s="11"/>
      <c r="E204" s="55"/>
      <c r="F204" s="50"/>
      <c r="G204" s="11"/>
      <c r="H204" s="11"/>
      <c r="I204" s="11"/>
      <c r="J204" s="55"/>
    </row>
    <row r="205">
      <c r="A205" s="11"/>
      <c r="B205" s="11"/>
      <c r="C205" s="11"/>
      <c r="D205" s="11"/>
      <c r="E205" s="55"/>
      <c r="F205" s="50"/>
      <c r="G205" s="11"/>
      <c r="H205" s="11"/>
      <c r="I205" s="11"/>
      <c r="J205" s="55"/>
    </row>
    <row r="206">
      <c r="A206" s="11"/>
      <c r="B206" s="11"/>
      <c r="C206" s="11"/>
      <c r="D206" s="11"/>
      <c r="E206" s="55"/>
      <c r="F206" s="50"/>
      <c r="G206" s="11"/>
      <c r="H206" s="11"/>
      <c r="I206" s="11"/>
      <c r="J206" s="55"/>
    </row>
    <row r="207">
      <c r="A207" s="11"/>
      <c r="B207" s="11"/>
      <c r="C207" s="11"/>
      <c r="D207" s="11"/>
      <c r="E207" s="55"/>
      <c r="F207" s="50"/>
      <c r="G207" s="11"/>
      <c r="H207" s="11"/>
      <c r="I207" s="11"/>
      <c r="J207" s="55"/>
    </row>
    <row r="208">
      <c r="A208" s="11"/>
      <c r="B208" s="11"/>
      <c r="C208" s="11"/>
      <c r="D208" s="11"/>
      <c r="E208" s="55"/>
      <c r="F208" s="50"/>
      <c r="G208" s="11"/>
      <c r="H208" s="11"/>
      <c r="I208" s="11"/>
      <c r="J208" s="55"/>
    </row>
    <row r="209">
      <c r="A209" s="11"/>
      <c r="B209" s="11"/>
      <c r="C209" s="11"/>
      <c r="D209" s="11"/>
      <c r="E209" s="55"/>
      <c r="F209" s="50"/>
      <c r="G209" s="11"/>
      <c r="H209" s="11"/>
      <c r="I209" s="11"/>
      <c r="J209" s="55"/>
    </row>
    <row r="210">
      <c r="A210" s="11"/>
      <c r="B210" s="11"/>
      <c r="C210" s="11"/>
      <c r="D210" s="11"/>
      <c r="E210" s="55"/>
      <c r="F210" s="50"/>
      <c r="G210" s="11"/>
      <c r="H210" s="11"/>
      <c r="I210" s="11"/>
      <c r="J210" s="55"/>
    </row>
    <row r="211">
      <c r="A211" s="11"/>
      <c r="B211" s="11"/>
      <c r="C211" s="11"/>
      <c r="D211" s="11"/>
      <c r="E211" s="55"/>
      <c r="F211" s="50"/>
      <c r="G211" s="11"/>
      <c r="H211" s="11"/>
      <c r="I211" s="11"/>
      <c r="J211" s="55"/>
    </row>
    <row r="212">
      <c r="A212" s="11"/>
      <c r="B212" s="11"/>
      <c r="C212" s="11"/>
      <c r="D212" s="11"/>
      <c r="E212" s="55"/>
      <c r="F212" s="50"/>
      <c r="G212" s="11"/>
      <c r="H212" s="11"/>
      <c r="I212" s="11"/>
      <c r="J212" s="55"/>
    </row>
    <row r="213">
      <c r="A213" s="11"/>
      <c r="B213" s="11"/>
      <c r="C213" s="11"/>
      <c r="D213" s="11"/>
      <c r="E213" s="55"/>
      <c r="F213" s="50"/>
      <c r="G213" s="11"/>
      <c r="H213" s="11"/>
      <c r="I213" s="11"/>
      <c r="J213" s="55"/>
    </row>
    <row r="214">
      <c r="A214" s="11"/>
      <c r="B214" s="11"/>
      <c r="C214" s="11"/>
      <c r="D214" s="11"/>
      <c r="E214" s="55"/>
      <c r="F214" s="50"/>
      <c r="G214" s="11"/>
      <c r="H214" s="11"/>
      <c r="I214" s="11"/>
      <c r="J214" s="55"/>
    </row>
    <row r="215">
      <c r="A215" s="11"/>
      <c r="B215" s="11"/>
      <c r="C215" s="11"/>
      <c r="D215" s="11"/>
      <c r="E215" s="55"/>
      <c r="F215" s="50"/>
      <c r="G215" s="11"/>
      <c r="H215" s="11"/>
      <c r="I215" s="11"/>
      <c r="J215" s="55"/>
    </row>
    <row r="216">
      <c r="A216" s="11"/>
      <c r="B216" s="11"/>
      <c r="C216" s="11"/>
      <c r="D216" s="11"/>
      <c r="E216" s="55"/>
      <c r="F216" s="50"/>
      <c r="G216" s="11"/>
      <c r="H216" s="11"/>
      <c r="I216" s="11"/>
      <c r="J216" s="55"/>
    </row>
    <row r="217">
      <c r="A217" s="11"/>
      <c r="B217" s="11"/>
      <c r="C217" s="11"/>
      <c r="D217" s="11"/>
      <c r="E217" s="55"/>
      <c r="F217" s="50"/>
      <c r="G217" s="11"/>
      <c r="H217" s="11"/>
      <c r="I217" s="11"/>
      <c r="J217" s="55"/>
    </row>
    <row r="218">
      <c r="A218" s="11"/>
      <c r="B218" s="11"/>
      <c r="C218" s="11"/>
      <c r="D218" s="11"/>
      <c r="E218" s="55"/>
      <c r="F218" s="50"/>
      <c r="G218" s="11"/>
      <c r="H218" s="11"/>
      <c r="I218" s="11"/>
      <c r="J218" s="55"/>
    </row>
    <row r="219">
      <c r="A219" s="11"/>
      <c r="B219" s="11"/>
      <c r="C219" s="11"/>
      <c r="D219" s="11"/>
      <c r="E219" s="55"/>
      <c r="F219" s="50"/>
      <c r="G219" s="11"/>
      <c r="H219" s="11"/>
      <c r="I219" s="11"/>
      <c r="J219" s="55"/>
    </row>
    <row r="220">
      <c r="A220" s="11"/>
      <c r="B220" s="11"/>
      <c r="C220" s="11"/>
      <c r="D220" s="11"/>
      <c r="E220" s="55"/>
      <c r="F220" s="50"/>
      <c r="G220" s="11"/>
      <c r="H220" s="11"/>
      <c r="I220" s="11"/>
      <c r="J220" s="55"/>
    </row>
    <row r="221">
      <c r="A221" s="11"/>
      <c r="B221" s="11"/>
      <c r="C221" s="11"/>
      <c r="D221" s="11"/>
      <c r="E221" s="55"/>
      <c r="F221" s="50"/>
      <c r="G221" s="11"/>
      <c r="H221" s="11"/>
      <c r="I221" s="11"/>
      <c r="J221" s="55"/>
    </row>
    <row r="222">
      <c r="A222" s="11"/>
      <c r="B222" s="11"/>
      <c r="C222" s="11"/>
      <c r="D222" s="11"/>
      <c r="E222" s="55"/>
      <c r="F222" s="50"/>
      <c r="G222" s="11"/>
      <c r="H222" s="11"/>
      <c r="I222" s="11"/>
      <c r="J222" s="55"/>
    </row>
    <row r="223">
      <c r="A223" s="11"/>
      <c r="B223" s="11"/>
      <c r="C223" s="11"/>
      <c r="D223" s="11"/>
      <c r="E223" s="55"/>
      <c r="F223" s="50"/>
      <c r="G223" s="11"/>
      <c r="H223" s="11"/>
      <c r="I223" s="11"/>
      <c r="J223" s="55"/>
    </row>
    <row r="224">
      <c r="A224" s="11"/>
      <c r="B224" s="11"/>
      <c r="C224" s="11"/>
      <c r="D224" s="11"/>
      <c r="E224" s="55"/>
      <c r="F224" s="50"/>
      <c r="G224" s="11"/>
      <c r="H224" s="11"/>
      <c r="I224" s="11"/>
      <c r="J224" s="55"/>
    </row>
    <row r="225">
      <c r="A225" s="11"/>
      <c r="B225" s="11"/>
      <c r="C225" s="11"/>
      <c r="D225" s="11"/>
      <c r="E225" s="55"/>
      <c r="F225" s="50"/>
      <c r="G225" s="11"/>
      <c r="H225" s="11"/>
      <c r="I225" s="11"/>
      <c r="J225" s="55"/>
    </row>
    <row r="226">
      <c r="A226" s="11"/>
      <c r="B226" s="11"/>
      <c r="C226" s="11"/>
      <c r="D226" s="11"/>
      <c r="E226" s="55"/>
      <c r="F226" s="50"/>
      <c r="G226" s="11"/>
      <c r="H226" s="11"/>
      <c r="I226" s="11"/>
      <c r="J226" s="55"/>
    </row>
    <row r="227">
      <c r="A227" s="11"/>
      <c r="B227" s="11"/>
      <c r="C227" s="11"/>
      <c r="D227" s="11"/>
      <c r="E227" s="55"/>
      <c r="F227" s="50"/>
      <c r="G227" s="11"/>
      <c r="H227" s="11"/>
      <c r="I227" s="11"/>
      <c r="J227" s="55"/>
    </row>
    <row r="228">
      <c r="A228" s="11"/>
      <c r="B228" s="11"/>
      <c r="C228" s="11"/>
      <c r="D228" s="11"/>
      <c r="E228" s="55"/>
      <c r="F228" s="50"/>
      <c r="G228" s="11"/>
      <c r="H228" s="11"/>
      <c r="I228" s="11"/>
      <c r="J228" s="55"/>
    </row>
    <row r="229">
      <c r="A229" s="11"/>
      <c r="B229" s="11"/>
      <c r="C229" s="11"/>
      <c r="D229" s="11"/>
      <c r="E229" s="55"/>
      <c r="F229" s="50"/>
      <c r="G229" s="11"/>
      <c r="H229" s="11"/>
      <c r="I229" s="11"/>
      <c r="J229" s="55"/>
    </row>
    <row r="230">
      <c r="A230" s="11"/>
      <c r="B230" s="11"/>
      <c r="C230" s="11"/>
      <c r="D230" s="11"/>
      <c r="E230" s="55"/>
      <c r="F230" s="50"/>
      <c r="G230" s="11"/>
      <c r="H230" s="11"/>
      <c r="I230" s="11"/>
      <c r="J230" s="55"/>
    </row>
    <row r="231">
      <c r="A231" s="11"/>
      <c r="B231" s="11"/>
      <c r="C231" s="11"/>
      <c r="D231" s="11"/>
      <c r="E231" s="55"/>
      <c r="F231" s="50"/>
      <c r="G231" s="11"/>
      <c r="H231" s="11"/>
      <c r="I231" s="11"/>
      <c r="J231" s="55"/>
    </row>
    <row r="232">
      <c r="A232" s="11"/>
      <c r="B232" s="11"/>
      <c r="C232" s="11"/>
      <c r="D232" s="11"/>
      <c r="E232" s="55"/>
      <c r="F232" s="50"/>
      <c r="G232" s="11"/>
      <c r="H232" s="11"/>
      <c r="I232" s="11"/>
      <c r="J232" s="55"/>
    </row>
    <row r="233">
      <c r="A233" s="11"/>
      <c r="B233" s="11"/>
      <c r="C233" s="11"/>
      <c r="D233" s="11"/>
      <c r="E233" s="55"/>
      <c r="F233" s="50"/>
      <c r="G233" s="11"/>
      <c r="H233" s="11"/>
      <c r="I233" s="11"/>
      <c r="J233" s="55"/>
    </row>
    <row r="234">
      <c r="A234" s="11"/>
      <c r="B234" s="11"/>
      <c r="C234" s="11"/>
      <c r="D234" s="11"/>
      <c r="E234" s="55"/>
      <c r="F234" s="50"/>
      <c r="G234" s="11"/>
      <c r="H234" s="11"/>
      <c r="I234" s="11"/>
      <c r="J234" s="55"/>
    </row>
    <row r="235">
      <c r="A235" s="11"/>
      <c r="B235" s="11"/>
      <c r="C235" s="11"/>
      <c r="D235" s="11"/>
      <c r="E235" s="55"/>
      <c r="F235" s="50"/>
      <c r="G235" s="11"/>
      <c r="H235" s="11"/>
      <c r="I235" s="11"/>
      <c r="J235" s="55"/>
    </row>
    <row r="236">
      <c r="A236" s="11"/>
      <c r="B236" s="11"/>
      <c r="C236" s="11"/>
      <c r="D236" s="11"/>
      <c r="E236" s="55"/>
      <c r="F236" s="50"/>
      <c r="G236" s="11"/>
      <c r="H236" s="11"/>
      <c r="I236" s="11"/>
      <c r="J236" s="55"/>
    </row>
    <row r="237">
      <c r="A237" s="11"/>
      <c r="B237" s="11"/>
      <c r="C237" s="11"/>
      <c r="D237" s="11"/>
      <c r="E237" s="55"/>
      <c r="F237" s="50"/>
      <c r="G237" s="11"/>
      <c r="H237" s="11"/>
      <c r="I237" s="11"/>
      <c r="J237" s="55"/>
    </row>
    <row r="238">
      <c r="A238" s="11"/>
      <c r="B238" s="11"/>
      <c r="C238" s="11"/>
      <c r="D238" s="11"/>
      <c r="E238" s="55"/>
      <c r="F238" s="50"/>
      <c r="G238" s="11"/>
      <c r="H238" s="11"/>
      <c r="I238" s="11"/>
      <c r="J238" s="55"/>
    </row>
    <row r="239">
      <c r="A239" s="11"/>
      <c r="B239" s="11"/>
      <c r="C239" s="11"/>
      <c r="D239" s="11"/>
      <c r="E239" s="55"/>
      <c r="F239" s="50"/>
      <c r="G239" s="11"/>
      <c r="H239" s="11"/>
      <c r="I239" s="11"/>
      <c r="J239" s="55"/>
    </row>
    <row r="240">
      <c r="A240" s="11"/>
      <c r="B240" s="11"/>
      <c r="C240" s="11"/>
      <c r="D240" s="11"/>
      <c r="E240" s="55"/>
      <c r="F240" s="50"/>
      <c r="G240" s="11"/>
      <c r="H240" s="11"/>
      <c r="I240" s="11"/>
      <c r="J240" s="55"/>
    </row>
    <row r="241">
      <c r="A241" s="11"/>
      <c r="B241" s="11"/>
      <c r="C241" s="11"/>
      <c r="D241" s="11"/>
      <c r="E241" s="55"/>
      <c r="F241" s="50"/>
      <c r="G241" s="11"/>
      <c r="H241" s="11"/>
      <c r="I241" s="11"/>
      <c r="J241" s="55"/>
    </row>
    <row r="242">
      <c r="A242" s="11"/>
      <c r="B242" s="11"/>
      <c r="C242" s="11"/>
      <c r="D242" s="11"/>
      <c r="E242" s="55"/>
      <c r="F242" s="50"/>
      <c r="G242" s="11"/>
      <c r="H242" s="11"/>
      <c r="I242" s="11"/>
      <c r="J242" s="55"/>
    </row>
    <row r="243">
      <c r="A243" s="11"/>
      <c r="B243" s="11"/>
      <c r="C243" s="11"/>
      <c r="D243" s="11"/>
      <c r="E243" s="55"/>
      <c r="F243" s="50"/>
      <c r="G243" s="11"/>
      <c r="H243" s="11"/>
      <c r="I243" s="11"/>
      <c r="J243" s="55"/>
    </row>
    <row r="244">
      <c r="A244" s="11"/>
      <c r="B244" s="11"/>
      <c r="C244" s="11"/>
      <c r="D244" s="11"/>
      <c r="E244" s="55"/>
      <c r="F244" s="50"/>
      <c r="G244" s="11"/>
      <c r="H244" s="11"/>
      <c r="I244" s="11"/>
      <c r="J244" s="55"/>
    </row>
    <row r="245">
      <c r="A245" s="11"/>
      <c r="B245" s="11"/>
      <c r="C245" s="11"/>
      <c r="D245" s="11"/>
      <c r="E245" s="55"/>
      <c r="F245" s="50"/>
      <c r="G245" s="11"/>
      <c r="H245" s="11"/>
      <c r="I245" s="11"/>
      <c r="J245" s="55"/>
    </row>
    <row r="246">
      <c r="A246" s="11"/>
      <c r="B246" s="11"/>
      <c r="C246" s="11"/>
      <c r="D246" s="11"/>
      <c r="E246" s="55"/>
      <c r="F246" s="50"/>
      <c r="G246" s="11"/>
      <c r="H246" s="11"/>
      <c r="I246" s="11"/>
      <c r="J246" s="55"/>
    </row>
    <row r="247">
      <c r="A247" s="11"/>
      <c r="B247" s="11"/>
      <c r="C247" s="11"/>
      <c r="D247" s="11"/>
      <c r="E247" s="55"/>
      <c r="F247" s="50"/>
      <c r="G247" s="11"/>
      <c r="H247" s="11"/>
      <c r="I247" s="11"/>
      <c r="J247" s="55"/>
    </row>
    <row r="248">
      <c r="A248" s="11"/>
      <c r="B248" s="11"/>
      <c r="C248" s="11"/>
      <c r="D248" s="11"/>
      <c r="E248" s="55"/>
      <c r="F248" s="50"/>
      <c r="G248" s="11"/>
      <c r="H248" s="11"/>
      <c r="I248" s="11"/>
      <c r="J248" s="55"/>
    </row>
    <row r="249">
      <c r="A249" s="11"/>
      <c r="B249" s="11"/>
      <c r="C249" s="11"/>
      <c r="D249" s="11"/>
      <c r="E249" s="55"/>
      <c r="F249" s="50"/>
      <c r="G249" s="11"/>
      <c r="H249" s="11"/>
      <c r="I249" s="11"/>
      <c r="J249" s="55"/>
    </row>
    <row r="250">
      <c r="A250" s="11"/>
      <c r="B250" s="11"/>
      <c r="C250" s="11"/>
      <c r="D250" s="11"/>
      <c r="E250" s="55"/>
      <c r="F250" s="50"/>
      <c r="G250" s="11"/>
      <c r="H250" s="11"/>
      <c r="I250" s="11"/>
      <c r="J250" s="55"/>
    </row>
    <row r="251">
      <c r="A251" s="11"/>
      <c r="B251" s="11"/>
      <c r="C251" s="11"/>
      <c r="D251" s="11"/>
      <c r="E251" s="55"/>
      <c r="F251" s="50"/>
      <c r="G251" s="11"/>
      <c r="H251" s="11"/>
      <c r="I251" s="11"/>
      <c r="J251" s="55"/>
    </row>
    <row r="252">
      <c r="A252" s="11"/>
      <c r="B252" s="11"/>
      <c r="C252" s="11"/>
      <c r="D252" s="11"/>
      <c r="E252" s="55"/>
      <c r="F252" s="50"/>
      <c r="G252" s="11"/>
      <c r="H252" s="11"/>
      <c r="I252" s="11"/>
      <c r="J252" s="55"/>
    </row>
    <row r="253">
      <c r="A253" s="11"/>
      <c r="B253" s="11"/>
      <c r="C253" s="11"/>
      <c r="D253" s="11"/>
      <c r="E253" s="55"/>
      <c r="F253" s="50"/>
      <c r="G253" s="11"/>
      <c r="H253" s="11"/>
      <c r="I253" s="11"/>
      <c r="J253" s="55"/>
    </row>
    <row r="254">
      <c r="A254" s="11"/>
      <c r="B254" s="11"/>
      <c r="C254" s="11"/>
      <c r="D254" s="11"/>
      <c r="E254" s="55"/>
      <c r="F254" s="50"/>
      <c r="G254" s="11"/>
      <c r="H254" s="11"/>
      <c r="I254" s="11"/>
      <c r="J254" s="55"/>
    </row>
    <row r="255">
      <c r="A255" s="11"/>
      <c r="B255" s="11"/>
      <c r="C255" s="11"/>
      <c r="D255" s="11"/>
      <c r="E255" s="55"/>
      <c r="F255" s="50"/>
      <c r="G255" s="11"/>
      <c r="H255" s="11"/>
      <c r="I255" s="11"/>
      <c r="J255" s="55"/>
    </row>
    <row r="256">
      <c r="A256" s="11"/>
      <c r="B256" s="11"/>
      <c r="C256" s="11"/>
      <c r="D256" s="11"/>
      <c r="E256" s="55"/>
      <c r="F256" s="50"/>
      <c r="G256" s="11"/>
      <c r="H256" s="11"/>
      <c r="I256" s="11"/>
      <c r="J256" s="55"/>
    </row>
    <row r="257">
      <c r="A257" s="11"/>
      <c r="B257" s="11"/>
      <c r="C257" s="11"/>
      <c r="D257" s="11"/>
      <c r="E257" s="55"/>
      <c r="F257" s="50"/>
      <c r="G257" s="11"/>
      <c r="H257" s="11"/>
      <c r="I257" s="11"/>
      <c r="J257" s="55"/>
    </row>
    <row r="258">
      <c r="A258" s="11"/>
      <c r="B258" s="11"/>
      <c r="C258" s="11"/>
      <c r="D258" s="11"/>
      <c r="E258" s="55"/>
      <c r="F258" s="50"/>
      <c r="G258" s="11"/>
      <c r="H258" s="11"/>
      <c r="I258" s="11"/>
      <c r="J258" s="55"/>
    </row>
    <row r="259">
      <c r="A259" s="11"/>
      <c r="B259" s="11"/>
      <c r="C259" s="11"/>
      <c r="D259" s="11"/>
      <c r="E259" s="55"/>
      <c r="F259" s="50"/>
      <c r="G259" s="11"/>
      <c r="H259" s="11"/>
      <c r="I259" s="11"/>
      <c r="J259" s="55"/>
    </row>
    <row r="260">
      <c r="A260" s="11"/>
      <c r="B260" s="11"/>
      <c r="C260" s="11"/>
      <c r="D260" s="11"/>
      <c r="E260" s="55"/>
      <c r="F260" s="50"/>
      <c r="G260" s="11"/>
      <c r="H260" s="11"/>
      <c r="I260" s="11"/>
      <c r="J260" s="55"/>
    </row>
    <row r="261">
      <c r="A261" s="11"/>
      <c r="B261" s="11"/>
      <c r="C261" s="11"/>
      <c r="D261" s="11"/>
      <c r="E261" s="55"/>
      <c r="F261" s="50"/>
      <c r="G261" s="11"/>
      <c r="H261" s="11"/>
      <c r="I261" s="11"/>
      <c r="J261" s="55"/>
    </row>
    <row r="262">
      <c r="A262" s="11"/>
      <c r="B262" s="11"/>
      <c r="C262" s="11"/>
      <c r="D262" s="11"/>
      <c r="E262" s="55"/>
      <c r="F262" s="50"/>
      <c r="G262" s="11"/>
      <c r="H262" s="11"/>
      <c r="I262" s="11"/>
      <c r="J262" s="55"/>
    </row>
    <row r="263">
      <c r="A263" s="11"/>
      <c r="B263" s="11"/>
      <c r="C263" s="11"/>
      <c r="D263" s="11"/>
      <c r="E263" s="55"/>
      <c r="F263" s="50"/>
      <c r="G263" s="11"/>
      <c r="H263" s="11"/>
      <c r="I263" s="11"/>
      <c r="J263" s="55"/>
    </row>
    <row r="264">
      <c r="A264" s="11"/>
      <c r="B264" s="11"/>
      <c r="C264" s="11"/>
      <c r="D264" s="11"/>
      <c r="E264" s="55"/>
      <c r="F264" s="50"/>
      <c r="G264" s="11"/>
      <c r="H264" s="11"/>
      <c r="I264" s="11"/>
      <c r="J264" s="55"/>
    </row>
    <row r="265">
      <c r="A265" s="11"/>
      <c r="B265" s="11"/>
      <c r="C265" s="11"/>
      <c r="D265" s="11"/>
      <c r="E265" s="55"/>
      <c r="F265" s="50"/>
      <c r="G265" s="11"/>
      <c r="H265" s="11"/>
      <c r="I265" s="11"/>
      <c r="J265" s="55"/>
    </row>
    <row r="266">
      <c r="A266" s="11"/>
      <c r="B266" s="11"/>
      <c r="C266" s="11"/>
      <c r="D266" s="11"/>
      <c r="E266" s="55"/>
      <c r="F266" s="50"/>
      <c r="G266" s="11"/>
      <c r="H266" s="11"/>
      <c r="I266" s="11"/>
      <c r="J266" s="55"/>
    </row>
    <row r="267">
      <c r="A267" s="11"/>
      <c r="B267" s="11"/>
      <c r="C267" s="11"/>
      <c r="D267" s="11"/>
      <c r="E267" s="55"/>
      <c r="F267" s="50"/>
      <c r="G267" s="11"/>
      <c r="H267" s="11"/>
      <c r="I267" s="11"/>
      <c r="J267" s="55"/>
    </row>
    <row r="268">
      <c r="A268" s="11"/>
      <c r="B268" s="11"/>
      <c r="C268" s="11"/>
      <c r="D268" s="11"/>
      <c r="E268" s="55"/>
      <c r="F268" s="50"/>
      <c r="G268" s="11"/>
      <c r="H268" s="11"/>
      <c r="I268" s="11"/>
      <c r="J268" s="55"/>
    </row>
    <row r="269">
      <c r="A269" s="11"/>
      <c r="B269" s="11"/>
      <c r="C269" s="11"/>
      <c r="D269" s="11"/>
      <c r="E269" s="55"/>
      <c r="F269" s="50"/>
      <c r="G269" s="11"/>
      <c r="H269" s="11"/>
      <c r="I269" s="11"/>
      <c r="J269" s="55"/>
    </row>
    <row r="270">
      <c r="A270" s="11"/>
      <c r="B270" s="11"/>
      <c r="C270" s="11"/>
      <c r="D270" s="11"/>
      <c r="E270" s="55"/>
      <c r="F270" s="50"/>
      <c r="G270" s="11"/>
      <c r="H270" s="11"/>
      <c r="I270" s="11"/>
      <c r="J270" s="55"/>
    </row>
    <row r="271">
      <c r="A271" s="11"/>
      <c r="B271" s="11"/>
      <c r="C271" s="11"/>
      <c r="D271" s="11"/>
      <c r="E271" s="55"/>
      <c r="F271" s="50"/>
      <c r="G271" s="11"/>
      <c r="H271" s="11"/>
      <c r="I271" s="11"/>
      <c r="J271" s="55"/>
    </row>
    <row r="272">
      <c r="A272" s="11"/>
      <c r="B272" s="11"/>
      <c r="C272" s="11"/>
      <c r="D272" s="11"/>
      <c r="E272" s="55"/>
      <c r="F272" s="50"/>
      <c r="G272" s="11"/>
      <c r="H272" s="11"/>
      <c r="I272" s="11"/>
      <c r="J272" s="55"/>
    </row>
    <row r="273">
      <c r="A273" s="11"/>
      <c r="B273" s="11"/>
      <c r="C273" s="11"/>
      <c r="D273" s="11"/>
      <c r="E273" s="55"/>
      <c r="F273" s="50"/>
      <c r="G273" s="11"/>
      <c r="H273" s="11"/>
      <c r="I273" s="11"/>
      <c r="J273" s="55"/>
    </row>
    <row r="274">
      <c r="A274" s="11"/>
      <c r="B274" s="11"/>
      <c r="C274" s="11"/>
      <c r="D274" s="11"/>
      <c r="E274" s="55"/>
      <c r="F274" s="50"/>
      <c r="G274" s="11"/>
      <c r="H274" s="11"/>
      <c r="I274" s="11"/>
      <c r="J274" s="55"/>
    </row>
    <row r="275">
      <c r="A275" s="11"/>
      <c r="B275" s="11"/>
      <c r="C275" s="11"/>
      <c r="D275" s="11"/>
      <c r="E275" s="55"/>
      <c r="F275" s="50"/>
      <c r="G275" s="11"/>
      <c r="H275" s="11"/>
      <c r="I275" s="11"/>
      <c r="J275" s="55"/>
    </row>
    <row r="276">
      <c r="A276" s="11"/>
      <c r="B276" s="11"/>
      <c r="C276" s="11"/>
      <c r="D276" s="11"/>
      <c r="E276" s="55"/>
      <c r="F276" s="50"/>
      <c r="G276" s="11"/>
      <c r="H276" s="11"/>
      <c r="I276" s="11"/>
      <c r="J276" s="55"/>
    </row>
    <row r="277">
      <c r="A277" s="11"/>
      <c r="B277" s="11"/>
      <c r="C277" s="11"/>
      <c r="D277" s="11"/>
      <c r="E277" s="55"/>
      <c r="F277" s="50"/>
      <c r="G277" s="11"/>
      <c r="H277" s="11"/>
      <c r="I277" s="11"/>
      <c r="J277" s="55"/>
    </row>
    <row r="278">
      <c r="A278" s="11"/>
      <c r="B278" s="11"/>
      <c r="C278" s="11"/>
      <c r="D278" s="11"/>
      <c r="E278" s="55"/>
      <c r="F278" s="50"/>
      <c r="G278" s="11"/>
      <c r="H278" s="11"/>
      <c r="I278" s="11"/>
      <c r="J278" s="55"/>
    </row>
    <row r="279">
      <c r="A279" s="11"/>
      <c r="B279" s="11"/>
      <c r="C279" s="11"/>
      <c r="D279" s="11"/>
      <c r="E279" s="55"/>
      <c r="F279" s="50"/>
      <c r="G279" s="11"/>
      <c r="H279" s="11"/>
      <c r="I279" s="11"/>
      <c r="J279" s="55"/>
    </row>
    <row r="280">
      <c r="A280" s="11"/>
      <c r="B280" s="11"/>
      <c r="C280" s="11"/>
      <c r="D280" s="11"/>
      <c r="E280" s="55"/>
      <c r="F280" s="50"/>
      <c r="G280" s="11"/>
      <c r="H280" s="11"/>
      <c r="I280" s="11"/>
      <c r="J280" s="55"/>
    </row>
    <row r="281">
      <c r="A281" s="11"/>
      <c r="B281" s="11"/>
      <c r="C281" s="11"/>
      <c r="D281" s="11"/>
      <c r="E281" s="55"/>
      <c r="F281" s="50"/>
      <c r="G281" s="11"/>
      <c r="H281" s="11"/>
      <c r="I281" s="11"/>
      <c r="J281" s="55"/>
    </row>
    <row r="282">
      <c r="A282" s="11"/>
      <c r="B282" s="11"/>
      <c r="C282" s="11"/>
      <c r="D282" s="11"/>
      <c r="E282" s="55"/>
      <c r="F282" s="50"/>
      <c r="G282" s="11"/>
      <c r="H282" s="11"/>
      <c r="I282" s="11"/>
      <c r="J282" s="55"/>
    </row>
    <row r="283">
      <c r="A283" s="11"/>
      <c r="B283" s="11"/>
      <c r="C283" s="11"/>
      <c r="D283" s="11"/>
      <c r="E283" s="55"/>
      <c r="F283" s="50"/>
      <c r="G283" s="11"/>
      <c r="H283" s="11"/>
      <c r="I283" s="11"/>
      <c r="J283" s="55"/>
    </row>
    <row r="284">
      <c r="A284" s="11"/>
      <c r="B284" s="11"/>
      <c r="C284" s="11"/>
      <c r="D284" s="11"/>
      <c r="E284" s="55"/>
      <c r="F284" s="50"/>
      <c r="G284" s="11"/>
      <c r="H284" s="11"/>
      <c r="I284" s="11"/>
      <c r="J284" s="55"/>
    </row>
    <row r="285">
      <c r="A285" s="11"/>
      <c r="B285" s="11"/>
      <c r="C285" s="11"/>
      <c r="D285" s="11"/>
      <c r="E285" s="55"/>
      <c r="F285" s="50"/>
      <c r="G285" s="11"/>
      <c r="H285" s="11"/>
      <c r="I285" s="11"/>
      <c r="J285" s="55"/>
    </row>
    <row r="286">
      <c r="A286" s="11"/>
      <c r="B286" s="11"/>
      <c r="C286" s="11"/>
      <c r="D286" s="11"/>
      <c r="E286" s="55"/>
      <c r="F286" s="50"/>
      <c r="G286" s="11"/>
      <c r="H286" s="11"/>
      <c r="I286" s="11"/>
      <c r="J286" s="55"/>
    </row>
    <row r="287">
      <c r="A287" s="11"/>
      <c r="B287" s="11"/>
      <c r="C287" s="11"/>
      <c r="D287" s="11"/>
      <c r="E287" s="55"/>
      <c r="F287" s="50"/>
      <c r="G287" s="11"/>
      <c r="H287" s="11"/>
      <c r="I287" s="11"/>
      <c r="J287" s="55"/>
    </row>
    <row r="288">
      <c r="A288" s="11"/>
      <c r="B288" s="11"/>
      <c r="C288" s="11"/>
      <c r="D288" s="11"/>
      <c r="E288" s="55"/>
      <c r="F288" s="50"/>
      <c r="G288" s="11"/>
      <c r="H288" s="11"/>
      <c r="I288" s="11"/>
      <c r="J288" s="55"/>
    </row>
    <row r="289">
      <c r="A289" s="11"/>
      <c r="B289" s="11"/>
      <c r="C289" s="11"/>
      <c r="D289" s="11"/>
      <c r="E289" s="55"/>
      <c r="F289" s="50"/>
      <c r="G289" s="11"/>
      <c r="H289" s="11"/>
      <c r="I289" s="11"/>
      <c r="J289" s="55"/>
    </row>
    <row r="290">
      <c r="A290" s="11"/>
      <c r="B290" s="11"/>
      <c r="C290" s="11"/>
      <c r="D290" s="11"/>
      <c r="E290" s="55"/>
      <c r="F290" s="50"/>
      <c r="G290" s="11"/>
      <c r="H290" s="11"/>
      <c r="I290" s="11"/>
      <c r="J290" s="55"/>
    </row>
    <row r="291">
      <c r="A291" s="11"/>
      <c r="B291" s="11"/>
      <c r="C291" s="11"/>
      <c r="D291" s="11"/>
      <c r="E291" s="55"/>
      <c r="F291" s="50"/>
      <c r="G291" s="11"/>
      <c r="H291" s="11"/>
      <c r="I291" s="11"/>
      <c r="J291" s="55"/>
    </row>
    <row r="292">
      <c r="A292" s="11"/>
      <c r="B292" s="11"/>
      <c r="C292" s="11"/>
      <c r="D292" s="11"/>
      <c r="E292" s="55"/>
      <c r="F292" s="50"/>
      <c r="G292" s="11"/>
      <c r="H292" s="11"/>
      <c r="I292" s="11"/>
      <c r="J292" s="55"/>
    </row>
    <row r="293">
      <c r="A293" s="11"/>
      <c r="B293" s="11"/>
      <c r="C293" s="11"/>
      <c r="D293" s="11"/>
      <c r="E293" s="55"/>
      <c r="F293" s="50"/>
      <c r="G293" s="11"/>
      <c r="H293" s="11"/>
      <c r="I293" s="11"/>
      <c r="J293" s="55"/>
    </row>
    <row r="294">
      <c r="A294" s="11"/>
      <c r="B294" s="11"/>
      <c r="C294" s="11"/>
      <c r="D294" s="11"/>
      <c r="E294" s="55"/>
      <c r="F294" s="50"/>
      <c r="G294" s="11"/>
      <c r="H294" s="11"/>
      <c r="I294" s="11"/>
      <c r="J294" s="55"/>
    </row>
    <row r="295">
      <c r="A295" s="11"/>
      <c r="B295" s="11"/>
      <c r="C295" s="11"/>
      <c r="D295" s="11"/>
      <c r="E295" s="55"/>
      <c r="F295" s="50"/>
      <c r="G295" s="11"/>
      <c r="H295" s="11"/>
      <c r="I295" s="11"/>
      <c r="J295" s="55"/>
    </row>
    <row r="296">
      <c r="A296" s="11"/>
      <c r="B296" s="11"/>
      <c r="C296" s="11"/>
      <c r="D296" s="11"/>
      <c r="E296" s="55"/>
      <c r="F296" s="50"/>
      <c r="G296" s="11"/>
      <c r="H296" s="11"/>
      <c r="I296" s="11"/>
      <c r="J296" s="55"/>
    </row>
    <row r="297">
      <c r="A297" s="11"/>
      <c r="B297" s="11"/>
      <c r="C297" s="11"/>
      <c r="D297" s="11"/>
      <c r="E297" s="55"/>
      <c r="F297" s="50"/>
      <c r="G297" s="11"/>
      <c r="H297" s="11"/>
      <c r="I297" s="11"/>
      <c r="J297" s="55"/>
    </row>
    <row r="298">
      <c r="A298" s="11"/>
      <c r="B298" s="11"/>
      <c r="C298" s="11"/>
      <c r="D298" s="11"/>
      <c r="E298" s="55"/>
      <c r="F298" s="50"/>
      <c r="G298" s="11"/>
      <c r="H298" s="11"/>
      <c r="I298" s="11"/>
      <c r="J298" s="55"/>
    </row>
    <row r="299">
      <c r="A299" s="11"/>
      <c r="B299" s="11"/>
      <c r="C299" s="11"/>
      <c r="D299" s="11"/>
      <c r="E299" s="55"/>
      <c r="F299" s="50"/>
      <c r="G299" s="11"/>
      <c r="H299" s="11"/>
      <c r="I299" s="11"/>
      <c r="J299" s="55"/>
    </row>
    <row r="300">
      <c r="A300" s="11"/>
      <c r="B300" s="11"/>
      <c r="C300" s="11"/>
      <c r="D300" s="11"/>
      <c r="E300" s="55"/>
      <c r="F300" s="50"/>
      <c r="G300" s="11"/>
      <c r="H300" s="11"/>
      <c r="I300" s="11"/>
      <c r="J300" s="55"/>
    </row>
    <row r="301">
      <c r="A301" s="11"/>
      <c r="B301" s="11"/>
      <c r="C301" s="11"/>
      <c r="D301" s="11"/>
      <c r="E301" s="55"/>
      <c r="F301" s="50"/>
      <c r="G301" s="11"/>
      <c r="H301" s="11"/>
      <c r="I301" s="11"/>
      <c r="J301" s="55"/>
    </row>
    <row r="302">
      <c r="A302" s="11"/>
      <c r="B302" s="11"/>
      <c r="C302" s="11"/>
      <c r="D302" s="11"/>
      <c r="E302" s="55"/>
      <c r="F302" s="50"/>
      <c r="G302" s="11"/>
      <c r="H302" s="11"/>
      <c r="I302" s="11"/>
      <c r="J302" s="55"/>
    </row>
    <row r="303">
      <c r="A303" s="11"/>
      <c r="B303" s="11"/>
      <c r="C303" s="11"/>
      <c r="D303" s="11"/>
      <c r="E303" s="55"/>
      <c r="F303" s="50"/>
      <c r="G303" s="11"/>
      <c r="H303" s="11"/>
      <c r="I303" s="11"/>
      <c r="J303" s="55"/>
    </row>
    <row r="304">
      <c r="A304" s="11"/>
      <c r="B304" s="11"/>
      <c r="C304" s="11"/>
      <c r="D304" s="11"/>
      <c r="E304" s="55"/>
      <c r="F304" s="50"/>
      <c r="G304" s="11"/>
      <c r="H304" s="11"/>
      <c r="I304" s="11"/>
      <c r="J304" s="55"/>
    </row>
    <row r="305">
      <c r="A305" s="11"/>
      <c r="B305" s="11"/>
      <c r="C305" s="11"/>
      <c r="D305" s="11"/>
      <c r="E305" s="55"/>
      <c r="F305" s="50"/>
      <c r="G305" s="11"/>
      <c r="H305" s="11"/>
      <c r="I305" s="11"/>
      <c r="J305" s="55"/>
    </row>
    <row r="306">
      <c r="A306" s="11"/>
      <c r="B306" s="11"/>
      <c r="C306" s="11"/>
      <c r="D306" s="11"/>
      <c r="E306" s="55"/>
      <c r="F306" s="50"/>
      <c r="G306" s="11"/>
      <c r="H306" s="11"/>
      <c r="I306" s="11"/>
      <c r="J306" s="55"/>
    </row>
    <row r="307">
      <c r="A307" s="11"/>
      <c r="B307" s="11"/>
      <c r="C307" s="11"/>
      <c r="D307" s="11"/>
      <c r="E307" s="55"/>
      <c r="F307" s="50"/>
      <c r="G307" s="11"/>
      <c r="H307" s="11"/>
      <c r="I307" s="11"/>
      <c r="J307" s="55"/>
    </row>
    <row r="308">
      <c r="A308" s="11"/>
      <c r="B308" s="11"/>
      <c r="C308" s="11"/>
      <c r="D308" s="11"/>
      <c r="E308" s="55"/>
      <c r="F308" s="50"/>
      <c r="G308" s="11"/>
      <c r="H308" s="11"/>
      <c r="I308" s="11"/>
      <c r="J308" s="55"/>
    </row>
    <row r="309">
      <c r="A309" s="11"/>
      <c r="B309" s="11"/>
      <c r="C309" s="11"/>
      <c r="D309" s="11"/>
      <c r="E309" s="55"/>
      <c r="F309" s="50"/>
      <c r="G309" s="11"/>
      <c r="H309" s="11"/>
      <c r="I309" s="11"/>
      <c r="J309" s="55"/>
    </row>
    <row r="310">
      <c r="A310" s="11"/>
      <c r="B310" s="11"/>
      <c r="C310" s="11"/>
      <c r="D310" s="11"/>
      <c r="E310" s="55"/>
      <c r="F310" s="50"/>
      <c r="G310" s="11"/>
      <c r="H310" s="11"/>
      <c r="I310" s="11"/>
      <c r="J310" s="55"/>
    </row>
    <row r="311">
      <c r="A311" s="11"/>
      <c r="B311" s="11"/>
      <c r="C311" s="11"/>
      <c r="D311" s="11"/>
      <c r="E311" s="55"/>
      <c r="F311" s="50"/>
      <c r="G311" s="11"/>
      <c r="H311" s="11"/>
      <c r="I311" s="11"/>
      <c r="J311" s="55"/>
    </row>
    <row r="312">
      <c r="A312" s="11"/>
      <c r="B312" s="11"/>
      <c r="C312" s="11"/>
      <c r="D312" s="11"/>
      <c r="E312" s="55"/>
      <c r="F312" s="50"/>
      <c r="G312" s="11"/>
      <c r="H312" s="11"/>
      <c r="I312" s="11"/>
      <c r="J312" s="55"/>
    </row>
    <row r="313">
      <c r="A313" s="11"/>
      <c r="B313" s="11"/>
      <c r="C313" s="11"/>
      <c r="D313" s="11"/>
      <c r="E313" s="55"/>
      <c r="F313" s="50"/>
      <c r="G313" s="11"/>
      <c r="H313" s="11"/>
      <c r="I313" s="11"/>
      <c r="J313" s="55"/>
    </row>
    <row r="314">
      <c r="A314" s="11"/>
      <c r="B314" s="11"/>
      <c r="C314" s="11"/>
      <c r="D314" s="11"/>
      <c r="E314" s="55"/>
      <c r="F314" s="50"/>
      <c r="G314" s="11"/>
      <c r="H314" s="11"/>
      <c r="I314" s="11"/>
      <c r="J314" s="55"/>
    </row>
    <row r="315">
      <c r="A315" s="11"/>
      <c r="B315" s="11"/>
      <c r="C315" s="11"/>
      <c r="D315" s="11"/>
      <c r="E315" s="55"/>
      <c r="F315" s="50"/>
      <c r="G315" s="11"/>
      <c r="H315" s="11"/>
      <c r="I315" s="11"/>
      <c r="J315" s="55"/>
    </row>
    <row r="316">
      <c r="A316" s="11"/>
      <c r="B316" s="11"/>
      <c r="C316" s="11"/>
      <c r="D316" s="11"/>
      <c r="E316" s="55"/>
      <c r="F316" s="50"/>
      <c r="G316" s="11"/>
      <c r="H316" s="11"/>
      <c r="I316" s="11"/>
      <c r="J316" s="55"/>
    </row>
    <row r="317">
      <c r="A317" s="11"/>
      <c r="B317" s="11"/>
      <c r="C317" s="11"/>
      <c r="D317" s="11"/>
      <c r="E317" s="55"/>
      <c r="F317" s="50"/>
      <c r="G317" s="11"/>
      <c r="H317" s="11"/>
      <c r="I317" s="11"/>
      <c r="J317" s="55"/>
    </row>
    <row r="318">
      <c r="A318" s="11"/>
      <c r="B318" s="11"/>
      <c r="C318" s="11"/>
      <c r="D318" s="11"/>
      <c r="E318" s="55"/>
      <c r="F318" s="50"/>
      <c r="G318" s="11"/>
      <c r="H318" s="11"/>
      <c r="I318" s="11"/>
      <c r="J318" s="55"/>
    </row>
    <row r="319">
      <c r="A319" s="11"/>
      <c r="B319" s="11"/>
      <c r="C319" s="11"/>
      <c r="D319" s="11"/>
      <c r="E319" s="55"/>
      <c r="F319" s="50"/>
      <c r="G319" s="11"/>
      <c r="H319" s="11"/>
      <c r="I319" s="11"/>
      <c r="J319" s="55"/>
    </row>
    <row r="320">
      <c r="A320" s="11"/>
      <c r="B320" s="11"/>
      <c r="C320" s="11"/>
      <c r="D320" s="11"/>
      <c r="E320" s="55"/>
      <c r="F320" s="50"/>
      <c r="G320" s="11"/>
      <c r="H320" s="11"/>
      <c r="I320" s="11"/>
      <c r="J320" s="55"/>
    </row>
    <row r="321">
      <c r="A321" s="11"/>
      <c r="B321" s="11"/>
      <c r="C321" s="11"/>
      <c r="D321" s="11"/>
      <c r="E321" s="55"/>
      <c r="F321" s="50"/>
      <c r="G321" s="11"/>
      <c r="H321" s="11"/>
      <c r="I321" s="11"/>
      <c r="J321" s="55"/>
    </row>
    <row r="322">
      <c r="A322" s="11"/>
      <c r="B322" s="11"/>
      <c r="C322" s="11"/>
      <c r="D322" s="11"/>
      <c r="E322" s="55"/>
      <c r="F322" s="50"/>
      <c r="G322" s="11"/>
      <c r="H322" s="11"/>
      <c r="I322" s="11"/>
      <c r="J322" s="55"/>
    </row>
    <row r="323">
      <c r="A323" s="11"/>
      <c r="B323" s="11"/>
      <c r="C323" s="11"/>
      <c r="D323" s="11"/>
      <c r="E323" s="55"/>
      <c r="F323" s="50"/>
      <c r="G323" s="11"/>
      <c r="H323" s="11"/>
      <c r="I323" s="11"/>
      <c r="J323" s="55"/>
    </row>
    <row r="324">
      <c r="A324" s="11"/>
      <c r="B324" s="11"/>
      <c r="C324" s="11"/>
      <c r="D324" s="11"/>
      <c r="E324" s="55"/>
      <c r="F324" s="50"/>
      <c r="G324" s="11"/>
      <c r="H324" s="11"/>
      <c r="I324" s="11"/>
      <c r="J324" s="55"/>
    </row>
    <row r="325">
      <c r="A325" s="11"/>
      <c r="B325" s="11"/>
      <c r="C325" s="11"/>
      <c r="D325" s="11"/>
      <c r="E325" s="55"/>
      <c r="F325" s="50"/>
      <c r="G325" s="11"/>
      <c r="H325" s="11"/>
      <c r="I325" s="11"/>
      <c r="J325" s="55"/>
    </row>
    <row r="326">
      <c r="A326" s="11"/>
      <c r="B326" s="11"/>
      <c r="C326" s="11"/>
      <c r="D326" s="11"/>
      <c r="E326" s="55"/>
      <c r="F326" s="50"/>
      <c r="G326" s="11"/>
      <c r="H326" s="11"/>
      <c r="I326" s="11"/>
      <c r="J326" s="55"/>
    </row>
    <row r="327">
      <c r="A327" s="11"/>
      <c r="B327" s="11"/>
      <c r="C327" s="11"/>
      <c r="D327" s="11"/>
      <c r="E327" s="55"/>
      <c r="F327" s="50"/>
      <c r="G327" s="11"/>
      <c r="H327" s="11"/>
      <c r="I327" s="11"/>
      <c r="J327" s="55"/>
    </row>
    <row r="328">
      <c r="A328" s="11"/>
      <c r="B328" s="11"/>
      <c r="C328" s="11"/>
      <c r="D328" s="11"/>
      <c r="E328" s="55"/>
      <c r="F328" s="50"/>
      <c r="G328" s="11"/>
      <c r="H328" s="11"/>
      <c r="I328" s="11"/>
      <c r="J328" s="55"/>
    </row>
    <row r="329">
      <c r="A329" s="11"/>
      <c r="B329" s="11"/>
      <c r="C329" s="11"/>
      <c r="D329" s="11"/>
      <c r="E329" s="55"/>
      <c r="F329" s="50"/>
      <c r="G329" s="11"/>
      <c r="H329" s="11"/>
      <c r="I329" s="11"/>
      <c r="J329" s="55"/>
    </row>
    <row r="330">
      <c r="A330" s="11"/>
      <c r="B330" s="11"/>
      <c r="C330" s="11"/>
      <c r="D330" s="11"/>
      <c r="E330" s="55"/>
      <c r="F330" s="50"/>
      <c r="G330" s="11"/>
      <c r="H330" s="11"/>
      <c r="I330" s="11"/>
      <c r="J330" s="55"/>
    </row>
    <row r="331">
      <c r="A331" s="11"/>
      <c r="B331" s="11"/>
      <c r="C331" s="11"/>
      <c r="D331" s="11"/>
      <c r="E331" s="55"/>
      <c r="F331" s="50"/>
      <c r="G331" s="11"/>
      <c r="H331" s="11"/>
      <c r="I331" s="11"/>
      <c r="J331" s="55"/>
    </row>
    <row r="332">
      <c r="A332" s="11"/>
      <c r="B332" s="11"/>
      <c r="C332" s="11"/>
      <c r="D332" s="11"/>
      <c r="E332" s="55"/>
      <c r="F332" s="50"/>
      <c r="G332" s="11"/>
      <c r="H332" s="11"/>
      <c r="I332" s="11"/>
      <c r="J332" s="55"/>
    </row>
    <row r="333">
      <c r="A333" s="11"/>
      <c r="B333" s="11"/>
      <c r="C333" s="11"/>
      <c r="D333" s="11"/>
      <c r="E333" s="55"/>
      <c r="F333" s="50"/>
      <c r="G333" s="11"/>
      <c r="H333" s="11"/>
      <c r="I333" s="11"/>
      <c r="J333" s="55"/>
    </row>
    <row r="334">
      <c r="A334" s="11"/>
      <c r="B334" s="11"/>
      <c r="C334" s="11"/>
      <c r="D334" s="11"/>
      <c r="E334" s="55"/>
      <c r="F334" s="50"/>
      <c r="G334" s="11"/>
      <c r="H334" s="11"/>
      <c r="I334" s="11"/>
      <c r="J334" s="55"/>
    </row>
    <row r="335">
      <c r="A335" s="11"/>
      <c r="B335" s="11"/>
      <c r="C335" s="11"/>
      <c r="D335" s="11"/>
      <c r="E335" s="55"/>
      <c r="F335" s="50"/>
      <c r="G335" s="11"/>
      <c r="H335" s="11"/>
      <c r="I335" s="11"/>
      <c r="J335" s="55"/>
    </row>
    <row r="336">
      <c r="A336" s="11"/>
      <c r="B336" s="11"/>
      <c r="C336" s="11"/>
      <c r="D336" s="11"/>
      <c r="E336" s="55"/>
      <c r="F336" s="50"/>
      <c r="G336" s="11"/>
      <c r="H336" s="11"/>
      <c r="I336" s="11"/>
      <c r="J336" s="55"/>
    </row>
    <row r="337">
      <c r="A337" s="11"/>
      <c r="B337" s="11"/>
      <c r="C337" s="11"/>
      <c r="D337" s="11"/>
      <c r="E337" s="55"/>
      <c r="F337" s="50"/>
      <c r="G337" s="11"/>
      <c r="H337" s="11"/>
      <c r="I337" s="11"/>
      <c r="J337" s="55"/>
    </row>
    <row r="338">
      <c r="A338" s="11"/>
      <c r="B338" s="11"/>
      <c r="C338" s="11"/>
      <c r="D338" s="11"/>
      <c r="E338" s="55"/>
      <c r="F338" s="50"/>
      <c r="G338" s="11"/>
      <c r="H338" s="11"/>
      <c r="I338" s="11"/>
      <c r="J338" s="55"/>
    </row>
    <row r="339">
      <c r="A339" s="11"/>
      <c r="B339" s="11"/>
      <c r="C339" s="11"/>
      <c r="D339" s="11"/>
      <c r="E339" s="55"/>
      <c r="F339" s="50"/>
      <c r="G339" s="11"/>
      <c r="H339" s="11"/>
      <c r="I339" s="11"/>
      <c r="J339" s="55"/>
    </row>
    <row r="340">
      <c r="A340" s="11"/>
      <c r="B340" s="11"/>
      <c r="C340" s="11"/>
      <c r="D340" s="11"/>
      <c r="E340" s="55"/>
      <c r="F340" s="50"/>
      <c r="G340" s="11"/>
      <c r="H340" s="11"/>
      <c r="I340" s="11"/>
      <c r="J340" s="55"/>
    </row>
    <row r="341">
      <c r="A341" s="11"/>
      <c r="B341" s="11"/>
      <c r="C341" s="11"/>
      <c r="D341" s="11"/>
      <c r="E341" s="55"/>
      <c r="F341" s="50"/>
      <c r="G341" s="11"/>
      <c r="H341" s="11"/>
      <c r="I341" s="11"/>
      <c r="J341" s="55"/>
    </row>
    <row r="342">
      <c r="A342" s="11"/>
      <c r="B342" s="11"/>
      <c r="C342" s="11"/>
      <c r="D342" s="11"/>
      <c r="E342" s="55"/>
      <c r="F342" s="50"/>
      <c r="G342" s="11"/>
      <c r="H342" s="11"/>
      <c r="I342" s="11"/>
      <c r="J342" s="55"/>
    </row>
    <row r="343">
      <c r="A343" s="11"/>
      <c r="B343" s="11"/>
      <c r="C343" s="11"/>
      <c r="D343" s="11"/>
      <c r="E343" s="55"/>
      <c r="F343" s="50"/>
      <c r="G343" s="11"/>
      <c r="H343" s="11"/>
      <c r="I343" s="11"/>
      <c r="J343" s="55"/>
    </row>
    <row r="344">
      <c r="A344" s="11"/>
      <c r="B344" s="11"/>
      <c r="C344" s="11"/>
      <c r="D344" s="11"/>
      <c r="E344" s="55"/>
      <c r="F344" s="50"/>
      <c r="G344" s="11"/>
      <c r="H344" s="11"/>
      <c r="I344" s="11"/>
      <c r="J344" s="55"/>
    </row>
    <row r="345">
      <c r="A345" s="11"/>
      <c r="B345" s="11"/>
      <c r="C345" s="11"/>
      <c r="D345" s="11"/>
      <c r="E345" s="55"/>
      <c r="F345" s="50"/>
      <c r="G345" s="11"/>
      <c r="H345" s="11"/>
      <c r="I345" s="11"/>
      <c r="J345" s="55"/>
    </row>
    <row r="346">
      <c r="A346" s="11"/>
      <c r="B346" s="11"/>
      <c r="C346" s="11"/>
      <c r="D346" s="11"/>
      <c r="E346" s="55"/>
      <c r="F346" s="50"/>
      <c r="G346" s="11"/>
      <c r="H346" s="11"/>
      <c r="I346" s="11"/>
      <c r="J346" s="55"/>
    </row>
    <row r="347">
      <c r="A347" s="11"/>
      <c r="B347" s="11"/>
      <c r="C347" s="11"/>
      <c r="D347" s="11"/>
      <c r="E347" s="55"/>
      <c r="F347" s="50"/>
      <c r="G347" s="11"/>
      <c r="H347" s="11"/>
      <c r="I347" s="11"/>
      <c r="J347" s="55"/>
    </row>
    <row r="348">
      <c r="A348" s="11"/>
      <c r="B348" s="11"/>
      <c r="C348" s="11"/>
      <c r="D348" s="11"/>
      <c r="E348" s="55"/>
      <c r="F348" s="50"/>
      <c r="G348" s="11"/>
      <c r="H348" s="11"/>
      <c r="I348" s="11"/>
      <c r="J348" s="55"/>
    </row>
    <row r="349">
      <c r="A349" s="11"/>
      <c r="B349" s="11"/>
      <c r="C349" s="11"/>
      <c r="D349" s="11"/>
      <c r="E349" s="55"/>
      <c r="F349" s="50"/>
      <c r="G349" s="11"/>
      <c r="H349" s="11"/>
      <c r="I349" s="11"/>
      <c r="J349" s="55"/>
    </row>
    <row r="350">
      <c r="A350" s="11"/>
      <c r="B350" s="11"/>
      <c r="C350" s="11"/>
      <c r="D350" s="11"/>
      <c r="E350" s="55"/>
      <c r="F350" s="50"/>
      <c r="G350" s="11"/>
      <c r="H350" s="11"/>
      <c r="I350" s="11"/>
      <c r="J350" s="55"/>
    </row>
    <row r="351">
      <c r="A351" s="11"/>
      <c r="B351" s="11"/>
      <c r="C351" s="11"/>
      <c r="D351" s="11"/>
      <c r="E351" s="55"/>
      <c r="F351" s="50"/>
      <c r="G351" s="11"/>
      <c r="H351" s="11"/>
      <c r="I351" s="11"/>
      <c r="J351" s="55"/>
    </row>
    <row r="352">
      <c r="A352" s="11"/>
      <c r="B352" s="11"/>
      <c r="C352" s="11"/>
      <c r="D352" s="11"/>
      <c r="E352" s="55"/>
      <c r="F352" s="50"/>
      <c r="G352" s="11"/>
      <c r="H352" s="11"/>
      <c r="I352" s="11"/>
      <c r="J352" s="55"/>
    </row>
    <row r="353">
      <c r="A353" s="11"/>
      <c r="B353" s="11"/>
      <c r="C353" s="11"/>
      <c r="D353" s="11"/>
      <c r="E353" s="55"/>
      <c r="F353" s="50"/>
      <c r="G353" s="11"/>
      <c r="H353" s="11"/>
      <c r="I353" s="11"/>
      <c r="J353" s="55"/>
    </row>
    <row r="354">
      <c r="A354" s="11"/>
      <c r="B354" s="11"/>
      <c r="C354" s="11"/>
      <c r="D354" s="11"/>
      <c r="E354" s="55"/>
      <c r="F354" s="50"/>
      <c r="G354" s="11"/>
      <c r="H354" s="11"/>
      <c r="I354" s="11"/>
      <c r="J354" s="55"/>
    </row>
    <row r="355">
      <c r="A355" s="11"/>
      <c r="B355" s="11"/>
      <c r="C355" s="11"/>
      <c r="D355" s="11"/>
      <c r="E355" s="55"/>
      <c r="F355" s="50"/>
      <c r="G355" s="11"/>
      <c r="H355" s="11"/>
      <c r="I355" s="11"/>
      <c r="J355" s="55"/>
    </row>
    <row r="356">
      <c r="A356" s="11"/>
      <c r="B356" s="11"/>
      <c r="C356" s="11"/>
      <c r="D356" s="11"/>
      <c r="E356" s="55"/>
      <c r="F356" s="50"/>
      <c r="G356" s="11"/>
      <c r="H356" s="11"/>
      <c r="I356" s="11"/>
      <c r="J356" s="55"/>
    </row>
    <row r="357">
      <c r="A357" s="11"/>
      <c r="B357" s="11"/>
      <c r="C357" s="11"/>
      <c r="D357" s="11"/>
      <c r="E357" s="55"/>
      <c r="F357" s="50"/>
      <c r="G357" s="11"/>
      <c r="H357" s="11"/>
      <c r="I357" s="11"/>
      <c r="J357" s="55"/>
    </row>
    <row r="358">
      <c r="A358" s="11"/>
      <c r="B358" s="11"/>
      <c r="C358" s="11"/>
      <c r="D358" s="11"/>
      <c r="E358" s="55"/>
      <c r="F358" s="50"/>
      <c r="G358" s="11"/>
      <c r="H358" s="11"/>
      <c r="I358" s="11"/>
      <c r="J358" s="55"/>
    </row>
    <row r="359">
      <c r="A359" s="11"/>
      <c r="B359" s="11"/>
      <c r="C359" s="11"/>
      <c r="D359" s="11"/>
      <c r="E359" s="55"/>
      <c r="F359" s="50"/>
      <c r="G359" s="11"/>
      <c r="H359" s="11"/>
      <c r="I359" s="11"/>
      <c r="J359" s="55"/>
    </row>
    <row r="360">
      <c r="A360" s="11"/>
      <c r="B360" s="11"/>
      <c r="C360" s="11"/>
      <c r="D360" s="11"/>
      <c r="E360" s="55"/>
      <c r="F360" s="50"/>
      <c r="G360" s="11"/>
      <c r="H360" s="11"/>
      <c r="I360" s="11"/>
      <c r="J360" s="55"/>
    </row>
    <row r="361">
      <c r="A361" s="11"/>
      <c r="B361" s="11"/>
      <c r="C361" s="11"/>
      <c r="D361" s="11"/>
      <c r="E361" s="55"/>
      <c r="F361" s="50"/>
      <c r="G361" s="11"/>
      <c r="H361" s="11"/>
      <c r="I361" s="11"/>
      <c r="J361" s="55"/>
    </row>
    <row r="362">
      <c r="A362" s="11"/>
      <c r="B362" s="11"/>
      <c r="C362" s="11"/>
      <c r="D362" s="11"/>
      <c r="E362" s="55"/>
      <c r="F362" s="50"/>
      <c r="G362" s="11"/>
      <c r="H362" s="11"/>
      <c r="I362" s="11"/>
      <c r="J362" s="55"/>
    </row>
    <row r="363">
      <c r="A363" s="11"/>
      <c r="B363" s="11"/>
      <c r="C363" s="11"/>
      <c r="D363" s="11"/>
      <c r="E363" s="55"/>
      <c r="F363" s="50"/>
      <c r="G363" s="11"/>
      <c r="H363" s="11"/>
      <c r="I363" s="11"/>
      <c r="J363" s="55"/>
    </row>
    <row r="364">
      <c r="A364" s="11"/>
      <c r="B364" s="11"/>
      <c r="C364" s="11"/>
      <c r="D364" s="11"/>
      <c r="E364" s="55"/>
      <c r="F364" s="50"/>
      <c r="G364" s="11"/>
      <c r="H364" s="11"/>
      <c r="I364" s="11"/>
      <c r="J364" s="55"/>
    </row>
    <row r="365">
      <c r="A365" s="11"/>
      <c r="B365" s="11"/>
      <c r="C365" s="11"/>
      <c r="D365" s="11"/>
      <c r="E365" s="55"/>
      <c r="F365" s="50"/>
      <c r="G365" s="11"/>
      <c r="H365" s="11"/>
      <c r="I365" s="11"/>
      <c r="J365" s="55"/>
    </row>
    <row r="366">
      <c r="A366" s="11"/>
      <c r="B366" s="11"/>
      <c r="C366" s="11"/>
      <c r="D366" s="11"/>
      <c r="E366" s="55"/>
      <c r="F366" s="50"/>
      <c r="G366" s="11"/>
      <c r="H366" s="11"/>
      <c r="I366" s="11"/>
      <c r="J366" s="55"/>
    </row>
    <row r="367">
      <c r="A367" s="11"/>
      <c r="B367" s="11"/>
      <c r="C367" s="11"/>
      <c r="D367" s="11"/>
      <c r="E367" s="55"/>
      <c r="F367" s="50"/>
      <c r="G367" s="11"/>
      <c r="H367" s="11"/>
      <c r="I367" s="11"/>
      <c r="J367" s="55"/>
    </row>
    <row r="368">
      <c r="A368" s="11"/>
      <c r="B368" s="11"/>
      <c r="C368" s="11"/>
      <c r="D368" s="11"/>
      <c r="E368" s="55"/>
      <c r="F368" s="50"/>
      <c r="G368" s="11"/>
      <c r="H368" s="11"/>
      <c r="I368" s="11"/>
      <c r="J368" s="55"/>
    </row>
    <row r="369">
      <c r="A369" s="11"/>
      <c r="B369" s="11"/>
      <c r="C369" s="11"/>
      <c r="D369" s="11"/>
      <c r="E369" s="55"/>
      <c r="F369" s="50"/>
      <c r="G369" s="11"/>
      <c r="H369" s="11"/>
      <c r="I369" s="11"/>
      <c r="J369" s="55"/>
    </row>
    <row r="370">
      <c r="A370" s="11"/>
      <c r="B370" s="11"/>
      <c r="C370" s="11"/>
      <c r="D370" s="11"/>
      <c r="E370" s="55"/>
      <c r="F370" s="50"/>
      <c r="G370" s="11"/>
      <c r="H370" s="11"/>
      <c r="I370" s="11"/>
      <c r="J370" s="55"/>
    </row>
    <row r="371">
      <c r="A371" s="11"/>
      <c r="B371" s="11"/>
      <c r="C371" s="11"/>
      <c r="D371" s="11"/>
      <c r="E371" s="55"/>
      <c r="F371" s="50"/>
      <c r="G371" s="11"/>
      <c r="H371" s="11"/>
      <c r="I371" s="11"/>
      <c r="J371" s="55"/>
    </row>
    <row r="372">
      <c r="A372" s="11"/>
      <c r="B372" s="11"/>
      <c r="C372" s="11"/>
      <c r="D372" s="11"/>
      <c r="E372" s="55"/>
      <c r="F372" s="50"/>
      <c r="G372" s="11"/>
      <c r="H372" s="11"/>
      <c r="I372" s="11"/>
      <c r="J372" s="55"/>
    </row>
    <row r="373">
      <c r="A373" s="11"/>
      <c r="B373" s="11"/>
      <c r="C373" s="11"/>
      <c r="D373" s="11"/>
      <c r="E373" s="55"/>
      <c r="F373" s="50"/>
      <c r="G373" s="11"/>
      <c r="H373" s="11"/>
      <c r="I373" s="11"/>
      <c r="J373" s="55"/>
    </row>
    <row r="374">
      <c r="A374" s="11"/>
      <c r="B374" s="11"/>
      <c r="C374" s="11"/>
      <c r="D374" s="11"/>
      <c r="E374" s="55"/>
      <c r="F374" s="50"/>
      <c r="G374" s="11"/>
      <c r="H374" s="11"/>
      <c r="I374" s="11"/>
      <c r="J374" s="55"/>
    </row>
    <row r="375">
      <c r="A375" s="11"/>
      <c r="B375" s="11"/>
      <c r="C375" s="11"/>
      <c r="D375" s="11"/>
      <c r="E375" s="55"/>
      <c r="F375" s="50"/>
      <c r="G375" s="11"/>
      <c r="H375" s="11"/>
      <c r="I375" s="11"/>
      <c r="J375" s="55"/>
    </row>
    <row r="376">
      <c r="A376" s="11"/>
      <c r="B376" s="11"/>
      <c r="C376" s="11"/>
      <c r="D376" s="11"/>
      <c r="E376" s="55"/>
      <c r="F376" s="50"/>
      <c r="G376" s="11"/>
      <c r="H376" s="11"/>
      <c r="I376" s="11"/>
      <c r="J376" s="55"/>
    </row>
    <row r="377">
      <c r="A377" s="11"/>
      <c r="B377" s="11"/>
      <c r="C377" s="11"/>
      <c r="D377" s="11"/>
      <c r="E377" s="55"/>
      <c r="F377" s="50"/>
      <c r="G377" s="11"/>
      <c r="H377" s="11"/>
      <c r="I377" s="11"/>
      <c r="J377" s="55"/>
    </row>
    <row r="378">
      <c r="A378" s="11"/>
      <c r="B378" s="11"/>
      <c r="C378" s="11"/>
      <c r="D378" s="11"/>
      <c r="E378" s="55"/>
      <c r="F378" s="50"/>
      <c r="G378" s="11"/>
      <c r="H378" s="11"/>
      <c r="I378" s="11"/>
      <c r="J378" s="55"/>
    </row>
    <row r="379">
      <c r="A379" s="11"/>
      <c r="B379" s="11"/>
      <c r="C379" s="11"/>
      <c r="D379" s="11"/>
      <c r="E379" s="55"/>
      <c r="F379" s="50"/>
      <c r="G379" s="11"/>
      <c r="H379" s="11"/>
      <c r="I379" s="11"/>
      <c r="J379" s="55"/>
    </row>
    <row r="380">
      <c r="A380" s="11"/>
      <c r="B380" s="11"/>
      <c r="C380" s="11"/>
      <c r="D380" s="11"/>
      <c r="E380" s="55"/>
      <c r="F380" s="50"/>
      <c r="G380" s="11"/>
      <c r="H380" s="11"/>
      <c r="I380" s="11"/>
      <c r="J380" s="55"/>
    </row>
    <row r="381">
      <c r="A381" s="11"/>
      <c r="B381" s="11"/>
      <c r="C381" s="11"/>
      <c r="D381" s="11"/>
      <c r="E381" s="55"/>
      <c r="F381" s="50"/>
      <c r="G381" s="11"/>
      <c r="H381" s="11"/>
      <c r="I381" s="11"/>
      <c r="J381" s="55"/>
    </row>
    <row r="382">
      <c r="A382" s="11"/>
      <c r="B382" s="11"/>
      <c r="C382" s="11"/>
      <c r="D382" s="11"/>
      <c r="E382" s="55"/>
      <c r="F382" s="50"/>
      <c r="G382" s="11"/>
      <c r="H382" s="11"/>
      <c r="I382" s="11"/>
      <c r="J382" s="55"/>
    </row>
    <row r="383">
      <c r="A383" s="11"/>
      <c r="B383" s="11"/>
      <c r="C383" s="11"/>
      <c r="D383" s="11"/>
      <c r="E383" s="55"/>
      <c r="F383" s="50"/>
      <c r="G383" s="11"/>
      <c r="H383" s="11"/>
      <c r="I383" s="11"/>
      <c r="J383" s="55"/>
    </row>
    <row r="384">
      <c r="A384" s="11"/>
      <c r="B384" s="11"/>
      <c r="C384" s="11"/>
      <c r="D384" s="11"/>
      <c r="E384" s="55"/>
      <c r="F384" s="50"/>
      <c r="G384" s="11"/>
      <c r="H384" s="11"/>
      <c r="I384" s="11"/>
      <c r="J384" s="55"/>
    </row>
    <row r="385">
      <c r="A385" s="11"/>
      <c r="B385" s="11"/>
      <c r="C385" s="11"/>
      <c r="D385" s="11"/>
      <c r="E385" s="55"/>
      <c r="F385" s="50"/>
      <c r="G385" s="11"/>
      <c r="H385" s="11"/>
      <c r="I385" s="11"/>
      <c r="J385" s="55"/>
    </row>
    <row r="386">
      <c r="A386" s="11"/>
      <c r="B386" s="11"/>
      <c r="C386" s="11"/>
      <c r="D386" s="11"/>
      <c r="E386" s="55"/>
      <c r="F386" s="50"/>
      <c r="G386" s="11"/>
      <c r="H386" s="11"/>
      <c r="I386" s="11"/>
      <c r="J386" s="55"/>
    </row>
    <row r="387">
      <c r="A387" s="11"/>
      <c r="B387" s="11"/>
      <c r="C387" s="11"/>
      <c r="D387" s="11"/>
      <c r="E387" s="55"/>
      <c r="F387" s="50"/>
      <c r="G387" s="11"/>
      <c r="H387" s="11"/>
      <c r="I387" s="11"/>
      <c r="J387" s="55"/>
    </row>
    <row r="388">
      <c r="A388" s="11"/>
      <c r="B388" s="11"/>
      <c r="C388" s="11"/>
      <c r="D388" s="11"/>
      <c r="E388" s="55"/>
      <c r="F388" s="50"/>
      <c r="G388" s="11"/>
      <c r="H388" s="11"/>
      <c r="I388" s="11"/>
      <c r="J388" s="55"/>
    </row>
    <row r="389">
      <c r="A389" s="11"/>
      <c r="B389" s="11"/>
      <c r="C389" s="11"/>
      <c r="D389" s="11"/>
      <c r="E389" s="55"/>
      <c r="F389" s="50"/>
      <c r="G389" s="11"/>
      <c r="H389" s="11"/>
      <c r="I389" s="11"/>
      <c r="J389" s="55"/>
    </row>
    <row r="390">
      <c r="A390" s="11"/>
      <c r="B390" s="11"/>
      <c r="C390" s="11"/>
      <c r="D390" s="11"/>
      <c r="E390" s="55"/>
      <c r="F390" s="50"/>
      <c r="G390" s="11"/>
      <c r="H390" s="11"/>
      <c r="I390" s="11"/>
      <c r="J390" s="55"/>
    </row>
    <row r="391">
      <c r="A391" s="11"/>
      <c r="B391" s="11"/>
      <c r="C391" s="11"/>
      <c r="D391" s="11"/>
      <c r="E391" s="55"/>
      <c r="F391" s="50"/>
      <c r="G391" s="11"/>
      <c r="H391" s="11"/>
      <c r="I391" s="11"/>
      <c r="J391" s="55"/>
    </row>
    <row r="392">
      <c r="A392" s="11"/>
      <c r="B392" s="11"/>
      <c r="C392" s="11"/>
      <c r="D392" s="11"/>
      <c r="E392" s="55"/>
      <c r="F392" s="50"/>
      <c r="G392" s="11"/>
      <c r="H392" s="11"/>
      <c r="I392" s="11"/>
      <c r="J392" s="55"/>
    </row>
    <row r="393">
      <c r="A393" s="11"/>
      <c r="B393" s="11"/>
      <c r="C393" s="11"/>
      <c r="D393" s="11"/>
      <c r="E393" s="55"/>
      <c r="F393" s="50"/>
      <c r="G393" s="11"/>
      <c r="H393" s="11"/>
      <c r="I393" s="11"/>
      <c r="J393" s="55"/>
    </row>
    <row r="394">
      <c r="A394" s="11"/>
      <c r="B394" s="11"/>
      <c r="C394" s="11"/>
      <c r="D394" s="11"/>
      <c r="E394" s="55"/>
      <c r="F394" s="50"/>
      <c r="G394" s="11"/>
      <c r="H394" s="11"/>
      <c r="I394" s="11"/>
      <c r="J394" s="55"/>
    </row>
    <row r="395">
      <c r="A395" s="11"/>
      <c r="B395" s="11"/>
      <c r="C395" s="11"/>
      <c r="D395" s="11"/>
      <c r="E395" s="55"/>
      <c r="F395" s="50"/>
      <c r="G395" s="11"/>
      <c r="H395" s="11"/>
      <c r="I395" s="11"/>
      <c r="J395" s="55"/>
    </row>
    <row r="396">
      <c r="A396" s="11"/>
      <c r="B396" s="11"/>
      <c r="C396" s="11"/>
      <c r="D396" s="11"/>
      <c r="E396" s="55"/>
      <c r="F396" s="50"/>
      <c r="G396" s="11"/>
      <c r="H396" s="11"/>
      <c r="I396" s="11"/>
      <c r="J396" s="55"/>
    </row>
    <row r="397">
      <c r="A397" s="11"/>
      <c r="B397" s="11"/>
      <c r="C397" s="11"/>
      <c r="D397" s="11"/>
      <c r="E397" s="55"/>
      <c r="F397" s="50"/>
      <c r="G397" s="11"/>
      <c r="H397" s="11"/>
      <c r="I397" s="11"/>
      <c r="J397" s="55"/>
    </row>
    <row r="398">
      <c r="A398" s="11"/>
      <c r="B398" s="11"/>
      <c r="C398" s="11"/>
      <c r="D398" s="11"/>
      <c r="E398" s="55"/>
      <c r="F398" s="50"/>
      <c r="G398" s="11"/>
      <c r="H398" s="11"/>
      <c r="I398" s="11"/>
      <c r="J398" s="55"/>
    </row>
    <row r="399">
      <c r="A399" s="11"/>
      <c r="B399" s="11"/>
      <c r="C399" s="11"/>
      <c r="D399" s="11"/>
      <c r="E399" s="55"/>
      <c r="F399" s="50"/>
      <c r="G399" s="11"/>
      <c r="H399" s="11"/>
      <c r="I399" s="11"/>
      <c r="J399" s="55"/>
    </row>
    <row r="400">
      <c r="A400" s="11"/>
      <c r="B400" s="11"/>
      <c r="C400" s="11"/>
      <c r="D400" s="11"/>
      <c r="E400" s="55"/>
      <c r="F400" s="50"/>
      <c r="G400" s="11"/>
      <c r="H400" s="11"/>
      <c r="I400" s="11"/>
      <c r="J400" s="55"/>
    </row>
    <row r="401">
      <c r="A401" s="11"/>
      <c r="B401" s="11"/>
      <c r="C401" s="11"/>
      <c r="D401" s="11"/>
      <c r="E401" s="55"/>
      <c r="F401" s="50"/>
      <c r="G401" s="11"/>
      <c r="H401" s="11"/>
      <c r="I401" s="11"/>
      <c r="J401" s="55"/>
    </row>
    <row r="402">
      <c r="A402" s="11"/>
      <c r="B402" s="11"/>
      <c r="C402" s="11"/>
      <c r="D402" s="11"/>
      <c r="E402" s="55"/>
      <c r="F402" s="50"/>
      <c r="G402" s="11"/>
      <c r="H402" s="11"/>
      <c r="I402" s="11"/>
      <c r="J402" s="55"/>
    </row>
    <row r="403">
      <c r="A403" s="11"/>
      <c r="B403" s="11"/>
      <c r="C403" s="11"/>
      <c r="D403" s="11"/>
      <c r="E403" s="55"/>
      <c r="F403" s="50"/>
      <c r="G403" s="11"/>
      <c r="H403" s="11"/>
      <c r="I403" s="11"/>
      <c r="J403" s="55"/>
    </row>
    <row r="404">
      <c r="A404" s="11"/>
      <c r="B404" s="11"/>
      <c r="C404" s="11"/>
      <c r="D404" s="11"/>
      <c r="E404" s="55"/>
      <c r="F404" s="50"/>
      <c r="G404" s="11"/>
      <c r="H404" s="11"/>
      <c r="I404" s="11"/>
      <c r="J404" s="55"/>
    </row>
    <row r="405">
      <c r="A405" s="11"/>
      <c r="B405" s="11"/>
      <c r="C405" s="11"/>
      <c r="D405" s="11"/>
      <c r="E405" s="55"/>
      <c r="F405" s="50"/>
      <c r="G405" s="11"/>
      <c r="H405" s="11"/>
      <c r="I405" s="11"/>
      <c r="J405" s="55"/>
    </row>
    <row r="406">
      <c r="A406" s="11"/>
      <c r="B406" s="11"/>
      <c r="C406" s="11"/>
      <c r="D406" s="11"/>
      <c r="E406" s="55"/>
      <c r="F406" s="50"/>
      <c r="G406" s="11"/>
      <c r="H406" s="11"/>
      <c r="I406" s="11"/>
      <c r="J406" s="55"/>
    </row>
    <row r="407">
      <c r="A407" s="11"/>
      <c r="B407" s="11"/>
      <c r="C407" s="11"/>
      <c r="D407" s="11"/>
      <c r="E407" s="55"/>
      <c r="F407" s="50"/>
      <c r="G407" s="11"/>
      <c r="H407" s="11"/>
      <c r="I407" s="11"/>
      <c r="J407" s="55"/>
    </row>
    <row r="408">
      <c r="A408" s="11"/>
      <c r="B408" s="11"/>
      <c r="C408" s="11"/>
      <c r="D408" s="11"/>
      <c r="E408" s="55"/>
      <c r="F408" s="50"/>
      <c r="G408" s="11"/>
      <c r="H408" s="11"/>
      <c r="I408" s="11"/>
      <c r="J408" s="55"/>
    </row>
    <row r="409">
      <c r="A409" s="11"/>
      <c r="B409" s="11"/>
      <c r="C409" s="11"/>
      <c r="D409" s="11"/>
      <c r="E409" s="55"/>
      <c r="F409" s="50"/>
      <c r="G409" s="11"/>
      <c r="H409" s="11"/>
      <c r="I409" s="11"/>
      <c r="J409" s="55"/>
    </row>
    <row r="410">
      <c r="A410" s="11"/>
      <c r="B410" s="11"/>
      <c r="C410" s="11"/>
      <c r="D410" s="11"/>
      <c r="E410" s="55"/>
      <c r="F410" s="50"/>
      <c r="G410" s="11"/>
      <c r="H410" s="11"/>
      <c r="I410" s="11"/>
      <c r="J410" s="55"/>
    </row>
    <row r="411">
      <c r="A411" s="11"/>
      <c r="B411" s="11"/>
      <c r="C411" s="11"/>
      <c r="D411" s="11"/>
      <c r="E411" s="55"/>
      <c r="F411" s="50"/>
      <c r="G411" s="11"/>
      <c r="H411" s="11"/>
      <c r="I411" s="11"/>
      <c r="J411" s="55"/>
    </row>
    <row r="412">
      <c r="A412" s="11"/>
      <c r="B412" s="11"/>
      <c r="C412" s="11"/>
      <c r="D412" s="11"/>
      <c r="E412" s="55"/>
      <c r="F412" s="50"/>
      <c r="G412" s="11"/>
      <c r="H412" s="11"/>
      <c r="I412" s="11"/>
      <c r="J412" s="55"/>
    </row>
    <row r="413">
      <c r="A413" s="11"/>
      <c r="B413" s="11"/>
      <c r="C413" s="11"/>
      <c r="D413" s="11"/>
      <c r="E413" s="55"/>
      <c r="F413" s="50"/>
      <c r="G413" s="11"/>
      <c r="H413" s="11"/>
      <c r="I413" s="11"/>
      <c r="J413" s="55"/>
    </row>
    <row r="414">
      <c r="A414" s="11"/>
      <c r="B414" s="11"/>
      <c r="C414" s="11"/>
      <c r="D414" s="11"/>
      <c r="E414" s="55"/>
      <c r="F414" s="50"/>
      <c r="G414" s="11"/>
      <c r="H414" s="11"/>
      <c r="I414" s="11"/>
      <c r="J414" s="55"/>
    </row>
    <row r="415">
      <c r="A415" s="11"/>
      <c r="B415" s="11"/>
      <c r="C415" s="11"/>
      <c r="D415" s="11"/>
      <c r="E415" s="55"/>
      <c r="F415" s="50"/>
      <c r="G415" s="11"/>
      <c r="H415" s="11"/>
      <c r="I415" s="11"/>
      <c r="J415" s="55"/>
    </row>
    <row r="416">
      <c r="A416" s="11"/>
      <c r="B416" s="11"/>
      <c r="C416" s="11"/>
      <c r="D416" s="11"/>
      <c r="E416" s="55"/>
      <c r="F416" s="50"/>
      <c r="G416" s="11"/>
      <c r="H416" s="11"/>
      <c r="I416" s="11"/>
      <c r="J416" s="55"/>
    </row>
    <row r="417">
      <c r="A417" s="11"/>
      <c r="B417" s="11"/>
      <c r="C417" s="11"/>
      <c r="D417" s="11"/>
      <c r="E417" s="55"/>
      <c r="F417" s="50"/>
      <c r="G417" s="11"/>
      <c r="H417" s="11"/>
      <c r="I417" s="11"/>
      <c r="J417" s="55"/>
    </row>
    <row r="418">
      <c r="A418" s="11"/>
      <c r="B418" s="11"/>
      <c r="C418" s="11"/>
      <c r="D418" s="11"/>
      <c r="E418" s="55"/>
      <c r="F418" s="50"/>
      <c r="G418" s="11"/>
      <c r="H418" s="11"/>
      <c r="I418" s="11"/>
      <c r="J418" s="55"/>
    </row>
    <row r="419">
      <c r="A419" s="11"/>
      <c r="B419" s="11"/>
      <c r="C419" s="11"/>
      <c r="D419" s="11"/>
      <c r="E419" s="55"/>
      <c r="F419" s="50"/>
      <c r="G419" s="11"/>
      <c r="H419" s="11"/>
      <c r="I419" s="11"/>
      <c r="J419" s="55"/>
    </row>
    <row r="420">
      <c r="A420" s="11"/>
      <c r="B420" s="11"/>
      <c r="C420" s="11"/>
      <c r="D420" s="11"/>
      <c r="E420" s="55"/>
      <c r="F420" s="50"/>
      <c r="G420" s="11"/>
      <c r="H420" s="11"/>
      <c r="I420" s="11"/>
      <c r="J420" s="55"/>
    </row>
    <row r="421">
      <c r="A421" s="11"/>
      <c r="B421" s="11"/>
      <c r="C421" s="11"/>
      <c r="D421" s="11"/>
      <c r="E421" s="55"/>
      <c r="F421" s="50"/>
      <c r="G421" s="11"/>
      <c r="H421" s="11"/>
      <c r="I421" s="11"/>
      <c r="J421" s="55"/>
    </row>
    <row r="422">
      <c r="A422" s="11"/>
      <c r="B422" s="11"/>
      <c r="C422" s="11"/>
      <c r="D422" s="11"/>
      <c r="E422" s="55"/>
      <c r="F422" s="50"/>
      <c r="G422" s="11"/>
      <c r="H422" s="11"/>
      <c r="I422" s="11"/>
      <c r="J422" s="55"/>
    </row>
    <row r="423">
      <c r="A423" s="11"/>
      <c r="B423" s="11"/>
      <c r="C423" s="11"/>
      <c r="D423" s="11"/>
      <c r="E423" s="55"/>
      <c r="F423" s="50"/>
      <c r="G423" s="11"/>
      <c r="H423" s="11"/>
      <c r="I423" s="11"/>
      <c r="J423" s="55"/>
    </row>
    <row r="424">
      <c r="A424" s="11"/>
      <c r="B424" s="11"/>
      <c r="C424" s="11"/>
      <c r="D424" s="11"/>
      <c r="E424" s="55"/>
      <c r="F424" s="50"/>
      <c r="G424" s="11"/>
      <c r="H424" s="11"/>
      <c r="I424" s="11"/>
      <c r="J424" s="55"/>
    </row>
    <row r="425">
      <c r="A425" s="11"/>
      <c r="B425" s="11"/>
      <c r="C425" s="11"/>
      <c r="D425" s="11"/>
      <c r="E425" s="55"/>
      <c r="F425" s="50"/>
      <c r="G425" s="11"/>
      <c r="H425" s="11"/>
      <c r="I425" s="11"/>
      <c r="J425" s="55"/>
    </row>
    <row r="426">
      <c r="A426" s="11"/>
      <c r="B426" s="11"/>
      <c r="C426" s="11"/>
      <c r="D426" s="11"/>
      <c r="E426" s="55"/>
      <c r="F426" s="50"/>
      <c r="G426" s="11"/>
      <c r="H426" s="11"/>
      <c r="I426" s="11"/>
      <c r="J426" s="55"/>
    </row>
    <row r="427">
      <c r="A427" s="11"/>
      <c r="B427" s="11"/>
      <c r="C427" s="11"/>
      <c r="D427" s="11"/>
      <c r="E427" s="55"/>
      <c r="F427" s="50"/>
      <c r="G427" s="11"/>
      <c r="H427" s="11"/>
      <c r="I427" s="11"/>
      <c r="J427" s="55"/>
    </row>
    <row r="428">
      <c r="A428" s="11"/>
      <c r="B428" s="11"/>
      <c r="C428" s="11"/>
      <c r="D428" s="11"/>
      <c r="E428" s="55"/>
      <c r="F428" s="50"/>
      <c r="G428" s="11"/>
      <c r="H428" s="11"/>
      <c r="I428" s="11"/>
      <c r="J428" s="55"/>
    </row>
    <row r="429">
      <c r="A429" s="11"/>
      <c r="B429" s="11"/>
      <c r="C429" s="11"/>
      <c r="D429" s="11"/>
      <c r="E429" s="55"/>
      <c r="F429" s="50"/>
      <c r="G429" s="11"/>
      <c r="H429" s="11"/>
      <c r="I429" s="11"/>
      <c r="J429" s="55"/>
    </row>
    <row r="430">
      <c r="A430" s="11"/>
      <c r="B430" s="11"/>
      <c r="C430" s="11"/>
      <c r="D430" s="11"/>
      <c r="E430" s="55"/>
      <c r="F430" s="50"/>
      <c r="G430" s="11"/>
      <c r="H430" s="11"/>
      <c r="I430" s="11"/>
      <c r="J430" s="55"/>
    </row>
    <row r="431">
      <c r="A431" s="11"/>
      <c r="B431" s="11"/>
      <c r="C431" s="11"/>
      <c r="D431" s="11"/>
      <c r="E431" s="55"/>
      <c r="F431" s="50"/>
      <c r="G431" s="11"/>
      <c r="H431" s="11"/>
      <c r="I431" s="11"/>
      <c r="J431" s="55"/>
    </row>
    <row r="432">
      <c r="A432" s="11"/>
      <c r="B432" s="11"/>
      <c r="C432" s="11"/>
      <c r="D432" s="11"/>
      <c r="E432" s="55"/>
      <c r="F432" s="50"/>
      <c r="G432" s="11"/>
      <c r="H432" s="11"/>
      <c r="I432" s="11"/>
      <c r="J432" s="55"/>
    </row>
    <row r="433">
      <c r="A433" s="11"/>
      <c r="B433" s="11"/>
      <c r="C433" s="11"/>
      <c r="D433" s="11"/>
      <c r="E433" s="55"/>
      <c r="F433" s="50"/>
      <c r="G433" s="11"/>
      <c r="H433" s="11"/>
      <c r="I433" s="11"/>
      <c r="J433" s="55"/>
    </row>
    <row r="434">
      <c r="A434" s="11"/>
      <c r="B434" s="11"/>
      <c r="C434" s="11"/>
      <c r="D434" s="11"/>
      <c r="E434" s="55"/>
      <c r="F434" s="50"/>
      <c r="G434" s="11"/>
      <c r="H434" s="11"/>
      <c r="I434" s="11"/>
      <c r="J434" s="55"/>
    </row>
    <row r="435">
      <c r="A435" s="11"/>
      <c r="B435" s="11"/>
      <c r="C435" s="11"/>
      <c r="D435" s="11"/>
      <c r="E435" s="55"/>
      <c r="F435" s="50"/>
      <c r="G435" s="11"/>
      <c r="H435" s="11"/>
      <c r="I435" s="11"/>
      <c r="J435" s="55"/>
    </row>
    <row r="436">
      <c r="A436" s="11"/>
      <c r="B436" s="11"/>
      <c r="C436" s="11"/>
      <c r="D436" s="11"/>
      <c r="E436" s="55"/>
      <c r="F436" s="50"/>
      <c r="G436" s="11"/>
      <c r="H436" s="11"/>
      <c r="I436" s="11"/>
      <c r="J436" s="55"/>
    </row>
    <row r="437">
      <c r="A437" s="11"/>
      <c r="B437" s="11"/>
      <c r="C437" s="11"/>
      <c r="D437" s="11"/>
      <c r="E437" s="55"/>
      <c r="F437" s="50"/>
      <c r="G437" s="11"/>
      <c r="H437" s="11"/>
      <c r="I437" s="11"/>
      <c r="J437" s="55"/>
    </row>
    <row r="438">
      <c r="A438" s="11"/>
      <c r="B438" s="11"/>
      <c r="C438" s="11"/>
      <c r="D438" s="11"/>
      <c r="E438" s="55"/>
      <c r="F438" s="50"/>
      <c r="G438" s="11"/>
      <c r="H438" s="11"/>
      <c r="I438" s="11"/>
      <c r="J438" s="55"/>
    </row>
    <row r="439">
      <c r="A439" s="11"/>
      <c r="B439" s="11"/>
      <c r="C439" s="11"/>
      <c r="D439" s="11"/>
      <c r="E439" s="55"/>
      <c r="F439" s="50"/>
      <c r="G439" s="11"/>
      <c r="H439" s="11"/>
      <c r="I439" s="11"/>
      <c r="J439" s="55"/>
    </row>
    <row r="440">
      <c r="A440" s="11"/>
      <c r="B440" s="11"/>
      <c r="C440" s="11"/>
      <c r="D440" s="11"/>
      <c r="E440" s="55"/>
      <c r="F440" s="50"/>
      <c r="G440" s="11"/>
      <c r="H440" s="11"/>
      <c r="I440" s="11"/>
      <c r="J440" s="55"/>
    </row>
    <row r="441">
      <c r="A441" s="11"/>
      <c r="B441" s="11"/>
      <c r="C441" s="11"/>
      <c r="D441" s="11"/>
      <c r="E441" s="55"/>
      <c r="F441" s="50"/>
      <c r="G441" s="11"/>
      <c r="H441" s="11"/>
      <c r="I441" s="11"/>
      <c r="J441" s="55"/>
    </row>
    <row r="442">
      <c r="A442" s="11"/>
      <c r="B442" s="11"/>
      <c r="C442" s="11"/>
      <c r="D442" s="11"/>
      <c r="E442" s="55"/>
      <c r="F442" s="50"/>
      <c r="G442" s="11"/>
      <c r="H442" s="11"/>
      <c r="I442" s="11"/>
      <c r="J442" s="55"/>
    </row>
    <row r="443">
      <c r="A443" s="11"/>
      <c r="B443" s="11"/>
      <c r="C443" s="11"/>
      <c r="D443" s="11"/>
      <c r="E443" s="55"/>
      <c r="F443" s="50"/>
      <c r="G443" s="11"/>
      <c r="H443" s="11"/>
      <c r="I443" s="11"/>
      <c r="J443" s="55"/>
    </row>
    <row r="444">
      <c r="A444" s="11"/>
      <c r="B444" s="11"/>
      <c r="C444" s="11"/>
      <c r="D444" s="11"/>
      <c r="E444" s="55"/>
      <c r="F444" s="50"/>
      <c r="G444" s="11"/>
      <c r="H444" s="11"/>
      <c r="I444" s="11"/>
      <c r="J444" s="55"/>
    </row>
    <row r="445">
      <c r="A445" s="11"/>
      <c r="B445" s="11"/>
      <c r="C445" s="11"/>
      <c r="D445" s="11"/>
      <c r="E445" s="55"/>
      <c r="F445" s="50"/>
      <c r="G445" s="11"/>
      <c r="H445" s="11"/>
      <c r="I445" s="11"/>
      <c r="J445" s="55"/>
    </row>
    <row r="446">
      <c r="A446" s="11"/>
      <c r="B446" s="11"/>
      <c r="C446" s="11"/>
      <c r="D446" s="11"/>
      <c r="E446" s="55"/>
      <c r="F446" s="50"/>
      <c r="G446" s="11"/>
      <c r="H446" s="11"/>
      <c r="I446" s="11"/>
      <c r="J446" s="55"/>
    </row>
    <row r="447">
      <c r="A447" s="11"/>
      <c r="B447" s="11"/>
      <c r="C447" s="11"/>
      <c r="D447" s="11"/>
      <c r="E447" s="55"/>
      <c r="F447" s="50"/>
      <c r="G447" s="11"/>
      <c r="H447" s="11"/>
      <c r="I447" s="11"/>
      <c r="J447" s="55"/>
    </row>
    <row r="448">
      <c r="A448" s="11"/>
      <c r="B448" s="11"/>
      <c r="C448" s="11"/>
      <c r="D448" s="11"/>
      <c r="E448" s="55"/>
      <c r="F448" s="50"/>
      <c r="G448" s="11"/>
      <c r="H448" s="11"/>
      <c r="I448" s="11"/>
      <c r="J448" s="55"/>
    </row>
    <row r="449">
      <c r="A449" s="11"/>
      <c r="B449" s="11"/>
      <c r="C449" s="11"/>
      <c r="D449" s="11"/>
      <c r="E449" s="55"/>
      <c r="F449" s="50"/>
      <c r="G449" s="11"/>
      <c r="H449" s="11"/>
      <c r="I449" s="11"/>
      <c r="J449" s="55"/>
    </row>
    <row r="450">
      <c r="A450" s="11"/>
      <c r="B450" s="11"/>
      <c r="C450" s="11"/>
      <c r="D450" s="11"/>
      <c r="E450" s="55"/>
      <c r="F450" s="50"/>
      <c r="G450" s="11"/>
      <c r="H450" s="11"/>
      <c r="I450" s="11"/>
      <c r="J450" s="55"/>
    </row>
    <row r="451">
      <c r="A451" s="11"/>
      <c r="B451" s="11"/>
      <c r="C451" s="11"/>
      <c r="D451" s="11"/>
      <c r="E451" s="55"/>
      <c r="F451" s="50"/>
      <c r="G451" s="11"/>
      <c r="H451" s="11"/>
      <c r="I451" s="11"/>
      <c r="J451" s="55"/>
    </row>
    <row r="452">
      <c r="A452" s="11"/>
      <c r="B452" s="11"/>
      <c r="C452" s="11"/>
      <c r="D452" s="11"/>
      <c r="E452" s="55"/>
      <c r="F452" s="50"/>
      <c r="G452" s="11"/>
      <c r="H452" s="11"/>
      <c r="I452" s="11"/>
      <c r="J452" s="55"/>
    </row>
    <row r="453">
      <c r="A453" s="11"/>
      <c r="B453" s="11"/>
      <c r="C453" s="11"/>
      <c r="D453" s="11"/>
      <c r="E453" s="55"/>
      <c r="F453" s="50"/>
      <c r="G453" s="11"/>
      <c r="H453" s="11"/>
      <c r="I453" s="11"/>
      <c r="J453" s="55"/>
    </row>
    <row r="454">
      <c r="A454" s="11"/>
      <c r="B454" s="11"/>
      <c r="C454" s="11"/>
      <c r="D454" s="11"/>
      <c r="E454" s="55"/>
      <c r="F454" s="50"/>
      <c r="G454" s="11"/>
      <c r="H454" s="11"/>
      <c r="I454" s="11"/>
      <c r="J454" s="55"/>
    </row>
    <row r="455">
      <c r="A455" s="11"/>
      <c r="B455" s="11"/>
      <c r="C455" s="11"/>
      <c r="D455" s="11"/>
      <c r="E455" s="55"/>
      <c r="F455" s="50"/>
      <c r="G455" s="11"/>
      <c r="H455" s="11"/>
      <c r="I455" s="11"/>
      <c r="J455" s="55"/>
    </row>
    <row r="456">
      <c r="A456" s="11"/>
      <c r="B456" s="11"/>
      <c r="C456" s="11"/>
      <c r="D456" s="11"/>
      <c r="E456" s="55"/>
      <c r="F456" s="50"/>
      <c r="G456" s="11"/>
      <c r="H456" s="11"/>
      <c r="I456" s="11"/>
      <c r="J456" s="55"/>
    </row>
    <row r="457">
      <c r="A457" s="11"/>
      <c r="B457" s="11"/>
      <c r="C457" s="11"/>
      <c r="D457" s="11"/>
      <c r="E457" s="55"/>
      <c r="F457" s="50"/>
      <c r="G457" s="11"/>
      <c r="H457" s="11"/>
      <c r="I457" s="11"/>
      <c r="J457" s="55"/>
    </row>
    <row r="458">
      <c r="A458" s="11"/>
      <c r="B458" s="11"/>
      <c r="C458" s="11"/>
      <c r="D458" s="11"/>
      <c r="E458" s="55"/>
      <c r="F458" s="50"/>
      <c r="G458" s="11"/>
      <c r="H458" s="11"/>
      <c r="I458" s="11"/>
      <c r="J458" s="55"/>
    </row>
    <row r="459">
      <c r="A459" s="11"/>
      <c r="B459" s="11"/>
      <c r="C459" s="11"/>
      <c r="D459" s="11"/>
      <c r="E459" s="55"/>
      <c r="F459" s="50"/>
      <c r="G459" s="11"/>
      <c r="H459" s="11"/>
      <c r="I459" s="11"/>
      <c r="J459" s="55"/>
    </row>
    <row r="460">
      <c r="A460" s="11"/>
      <c r="B460" s="11"/>
      <c r="C460" s="11"/>
      <c r="D460" s="11"/>
      <c r="E460" s="55"/>
      <c r="F460" s="50"/>
      <c r="G460" s="11"/>
      <c r="H460" s="11"/>
      <c r="I460" s="11"/>
      <c r="J460" s="55"/>
    </row>
    <row r="461">
      <c r="A461" s="11"/>
      <c r="B461" s="11"/>
      <c r="C461" s="11"/>
      <c r="D461" s="11"/>
      <c r="E461" s="55"/>
      <c r="F461" s="50"/>
      <c r="G461" s="11"/>
      <c r="H461" s="11"/>
      <c r="I461" s="11"/>
      <c r="J461" s="55"/>
    </row>
    <row r="462">
      <c r="A462" s="11"/>
      <c r="B462" s="11"/>
      <c r="C462" s="11"/>
      <c r="D462" s="11"/>
      <c r="E462" s="55"/>
      <c r="F462" s="50"/>
      <c r="G462" s="11"/>
      <c r="H462" s="11"/>
      <c r="I462" s="11"/>
      <c r="J462" s="55"/>
    </row>
    <row r="463">
      <c r="A463" s="11"/>
      <c r="B463" s="11"/>
      <c r="C463" s="11"/>
      <c r="D463" s="11"/>
      <c r="E463" s="55"/>
      <c r="F463" s="50"/>
      <c r="G463" s="11"/>
      <c r="H463" s="11"/>
      <c r="I463" s="11"/>
      <c r="J463" s="55"/>
    </row>
    <row r="464">
      <c r="A464" s="11"/>
      <c r="B464" s="11"/>
      <c r="C464" s="11"/>
      <c r="D464" s="11"/>
      <c r="E464" s="55"/>
      <c r="F464" s="50"/>
      <c r="G464" s="11"/>
      <c r="H464" s="11"/>
      <c r="I464" s="11"/>
      <c r="J464" s="55"/>
    </row>
    <row r="465">
      <c r="A465" s="11"/>
      <c r="B465" s="11"/>
      <c r="C465" s="11"/>
      <c r="D465" s="11"/>
      <c r="E465" s="55"/>
      <c r="F465" s="50"/>
      <c r="G465" s="11"/>
      <c r="H465" s="11"/>
      <c r="I465" s="11"/>
      <c r="J465" s="55"/>
    </row>
    <row r="466">
      <c r="A466" s="11"/>
      <c r="B466" s="11"/>
      <c r="C466" s="11"/>
      <c r="D466" s="11"/>
      <c r="E466" s="55"/>
      <c r="F466" s="50"/>
      <c r="G466" s="11"/>
      <c r="H466" s="11"/>
      <c r="I466" s="11"/>
      <c r="J466" s="55"/>
    </row>
    <row r="467">
      <c r="A467" s="11"/>
      <c r="B467" s="11"/>
      <c r="C467" s="11"/>
      <c r="D467" s="11"/>
      <c r="E467" s="55"/>
      <c r="F467" s="50"/>
      <c r="G467" s="11"/>
      <c r="H467" s="11"/>
      <c r="I467" s="11"/>
      <c r="J467" s="55"/>
    </row>
    <row r="468">
      <c r="A468" s="11"/>
      <c r="B468" s="11"/>
      <c r="C468" s="11"/>
      <c r="D468" s="11"/>
      <c r="E468" s="55"/>
      <c r="F468" s="50"/>
      <c r="G468" s="11"/>
      <c r="H468" s="11"/>
      <c r="I468" s="11"/>
      <c r="J468" s="55"/>
    </row>
    <row r="469">
      <c r="A469" s="11"/>
      <c r="B469" s="11"/>
      <c r="C469" s="11"/>
      <c r="D469" s="11"/>
      <c r="E469" s="55"/>
      <c r="F469" s="50"/>
      <c r="G469" s="11"/>
      <c r="H469" s="11"/>
      <c r="I469" s="11"/>
      <c r="J469" s="55"/>
    </row>
    <row r="470">
      <c r="A470" s="11"/>
      <c r="B470" s="11"/>
      <c r="C470" s="11"/>
      <c r="D470" s="11"/>
      <c r="E470" s="55"/>
      <c r="F470" s="50"/>
      <c r="G470" s="11"/>
      <c r="H470" s="11"/>
      <c r="I470" s="11"/>
      <c r="J470" s="55"/>
    </row>
    <row r="471">
      <c r="A471" s="11"/>
      <c r="B471" s="11"/>
      <c r="C471" s="11"/>
      <c r="D471" s="11"/>
      <c r="E471" s="55"/>
      <c r="F471" s="50"/>
      <c r="G471" s="11"/>
      <c r="H471" s="11"/>
      <c r="I471" s="11"/>
      <c r="J471" s="55"/>
    </row>
    <row r="472">
      <c r="A472" s="11"/>
      <c r="B472" s="11"/>
      <c r="C472" s="11"/>
      <c r="D472" s="11"/>
      <c r="E472" s="55"/>
      <c r="F472" s="50"/>
      <c r="G472" s="11"/>
      <c r="H472" s="11"/>
      <c r="I472" s="11"/>
      <c r="J472" s="55"/>
    </row>
    <row r="473">
      <c r="A473" s="11"/>
      <c r="B473" s="11"/>
      <c r="C473" s="11"/>
      <c r="D473" s="11"/>
      <c r="E473" s="55"/>
      <c r="F473" s="50"/>
      <c r="G473" s="11"/>
      <c r="H473" s="11"/>
      <c r="I473" s="11"/>
      <c r="J473" s="55"/>
    </row>
    <row r="474">
      <c r="A474" s="11"/>
      <c r="B474" s="11"/>
      <c r="C474" s="11"/>
      <c r="D474" s="11"/>
      <c r="E474" s="55"/>
      <c r="F474" s="50"/>
      <c r="G474" s="11"/>
      <c r="H474" s="11"/>
      <c r="I474" s="11"/>
      <c r="J474" s="55"/>
    </row>
    <row r="475">
      <c r="A475" s="11"/>
      <c r="B475" s="11"/>
      <c r="C475" s="11"/>
      <c r="D475" s="11"/>
      <c r="E475" s="55"/>
      <c r="F475" s="50"/>
      <c r="G475" s="11"/>
      <c r="H475" s="11"/>
      <c r="I475" s="11"/>
      <c r="J475" s="55"/>
    </row>
    <row r="476">
      <c r="A476" s="11"/>
      <c r="B476" s="11"/>
      <c r="C476" s="11"/>
      <c r="D476" s="11"/>
      <c r="E476" s="55"/>
      <c r="F476" s="50"/>
      <c r="G476" s="11"/>
      <c r="H476" s="11"/>
      <c r="I476" s="11"/>
      <c r="J476" s="55"/>
    </row>
    <row r="477">
      <c r="A477" s="11"/>
      <c r="B477" s="11"/>
      <c r="C477" s="11"/>
      <c r="D477" s="11"/>
      <c r="E477" s="55"/>
      <c r="F477" s="50"/>
      <c r="G477" s="11"/>
      <c r="H477" s="11"/>
      <c r="I477" s="11"/>
      <c r="J477" s="55"/>
    </row>
    <row r="478">
      <c r="A478" s="11"/>
      <c r="B478" s="11"/>
      <c r="C478" s="11"/>
      <c r="D478" s="11"/>
      <c r="E478" s="55"/>
      <c r="F478" s="50"/>
      <c r="G478" s="11"/>
      <c r="H478" s="11"/>
      <c r="I478" s="11"/>
      <c r="J478" s="55"/>
    </row>
    <row r="479">
      <c r="A479" s="11"/>
      <c r="B479" s="11"/>
      <c r="C479" s="11"/>
      <c r="D479" s="11"/>
      <c r="E479" s="55"/>
      <c r="F479" s="50"/>
      <c r="G479" s="11"/>
      <c r="H479" s="11"/>
      <c r="I479" s="11"/>
      <c r="J479" s="55"/>
    </row>
    <row r="480">
      <c r="A480" s="11"/>
      <c r="B480" s="11"/>
      <c r="C480" s="11"/>
      <c r="D480" s="11"/>
      <c r="E480" s="55"/>
      <c r="F480" s="50"/>
      <c r="G480" s="11"/>
      <c r="H480" s="11"/>
      <c r="I480" s="11"/>
      <c r="J480" s="55"/>
    </row>
    <row r="481">
      <c r="A481" s="11"/>
      <c r="B481" s="11"/>
      <c r="C481" s="11"/>
      <c r="D481" s="11"/>
      <c r="E481" s="55"/>
      <c r="F481" s="50"/>
      <c r="G481" s="11"/>
      <c r="H481" s="11"/>
      <c r="I481" s="11"/>
      <c r="J481" s="55"/>
    </row>
    <row r="482">
      <c r="A482" s="11"/>
      <c r="B482" s="11"/>
      <c r="C482" s="11"/>
      <c r="D482" s="11"/>
      <c r="E482" s="55"/>
      <c r="F482" s="50"/>
      <c r="G482" s="11"/>
      <c r="H482" s="11"/>
      <c r="I482" s="11"/>
      <c r="J482" s="55"/>
    </row>
    <row r="483">
      <c r="A483" s="11"/>
      <c r="B483" s="11"/>
      <c r="C483" s="11"/>
      <c r="D483" s="11"/>
      <c r="E483" s="55"/>
      <c r="F483" s="50"/>
      <c r="G483" s="11"/>
      <c r="H483" s="11"/>
      <c r="I483" s="11"/>
      <c r="J483" s="55"/>
    </row>
    <row r="484">
      <c r="A484" s="11"/>
      <c r="B484" s="11"/>
      <c r="C484" s="11"/>
      <c r="D484" s="11"/>
      <c r="E484" s="55"/>
      <c r="F484" s="50"/>
      <c r="G484" s="11"/>
      <c r="H484" s="11"/>
      <c r="I484" s="11"/>
      <c r="J484" s="55"/>
    </row>
    <row r="485">
      <c r="A485" s="11"/>
      <c r="B485" s="11"/>
      <c r="C485" s="11"/>
      <c r="D485" s="11"/>
      <c r="E485" s="55"/>
      <c r="F485" s="50"/>
      <c r="G485" s="11"/>
      <c r="H485" s="11"/>
      <c r="I485" s="11"/>
      <c r="J485" s="55"/>
    </row>
    <row r="486">
      <c r="A486" s="11"/>
      <c r="B486" s="11"/>
      <c r="C486" s="11"/>
      <c r="D486" s="11"/>
      <c r="E486" s="55"/>
      <c r="F486" s="50"/>
      <c r="G486" s="11"/>
      <c r="H486" s="11"/>
      <c r="I486" s="11"/>
      <c r="J486" s="55"/>
    </row>
    <row r="487">
      <c r="A487" s="11"/>
      <c r="B487" s="11"/>
      <c r="C487" s="11"/>
      <c r="D487" s="11"/>
      <c r="E487" s="55"/>
      <c r="F487" s="50"/>
      <c r="G487" s="11"/>
      <c r="H487" s="11"/>
      <c r="I487" s="11"/>
      <c r="J487" s="55"/>
    </row>
    <row r="488">
      <c r="A488" s="11"/>
      <c r="B488" s="11"/>
      <c r="C488" s="11"/>
      <c r="D488" s="11"/>
      <c r="E488" s="55"/>
      <c r="F488" s="50"/>
      <c r="G488" s="11"/>
      <c r="H488" s="11"/>
      <c r="I488" s="11"/>
      <c r="J488" s="55"/>
    </row>
    <row r="489">
      <c r="A489" s="11"/>
      <c r="B489" s="11"/>
      <c r="C489" s="11"/>
      <c r="D489" s="11"/>
      <c r="E489" s="55"/>
      <c r="F489" s="50"/>
      <c r="G489" s="11"/>
      <c r="H489" s="11"/>
      <c r="I489" s="11"/>
      <c r="J489" s="55"/>
    </row>
    <row r="490">
      <c r="A490" s="11"/>
      <c r="B490" s="11"/>
      <c r="C490" s="11"/>
      <c r="D490" s="11"/>
      <c r="E490" s="55"/>
      <c r="F490" s="50"/>
      <c r="G490" s="11"/>
      <c r="H490" s="11"/>
      <c r="I490" s="11"/>
      <c r="J490" s="55"/>
    </row>
    <row r="491">
      <c r="A491" s="11"/>
      <c r="B491" s="11"/>
      <c r="C491" s="11"/>
      <c r="D491" s="11"/>
      <c r="E491" s="55"/>
      <c r="F491" s="50"/>
      <c r="G491" s="11"/>
      <c r="H491" s="11"/>
      <c r="I491" s="11"/>
      <c r="J491" s="55"/>
    </row>
    <row r="492">
      <c r="A492" s="11"/>
      <c r="B492" s="11"/>
      <c r="C492" s="11"/>
      <c r="D492" s="11"/>
      <c r="E492" s="55"/>
      <c r="F492" s="50"/>
      <c r="G492" s="11"/>
      <c r="H492" s="11"/>
      <c r="I492" s="11"/>
      <c r="J492" s="55"/>
    </row>
    <row r="493">
      <c r="A493" s="11"/>
      <c r="B493" s="11"/>
      <c r="C493" s="11"/>
      <c r="D493" s="11"/>
      <c r="E493" s="55"/>
      <c r="F493" s="50"/>
      <c r="G493" s="11"/>
      <c r="H493" s="11"/>
      <c r="I493" s="11"/>
      <c r="J493" s="55"/>
    </row>
    <row r="494">
      <c r="A494" s="11"/>
      <c r="B494" s="11"/>
      <c r="C494" s="11"/>
      <c r="D494" s="11"/>
      <c r="E494" s="55"/>
      <c r="F494" s="50"/>
      <c r="G494" s="11"/>
      <c r="H494" s="11"/>
      <c r="I494" s="11"/>
      <c r="J494" s="55"/>
    </row>
    <row r="495">
      <c r="A495" s="11"/>
      <c r="B495" s="11"/>
      <c r="C495" s="11"/>
      <c r="D495" s="11"/>
      <c r="E495" s="55"/>
      <c r="F495" s="50"/>
      <c r="G495" s="11"/>
      <c r="H495" s="11"/>
      <c r="I495" s="11"/>
      <c r="J495" s="55"/>
    </row>
    <row r="496">
      <c r="A496" s="11"/>
      <c r="B496" s="11"/>
      <c r="C496" s="11"/>
      <c r="D496" s="11"/>
      <c r="E496" s="55"/>
      <c r="F496" s="50"/>
      <c r="G496" s="11"/>
      <c r="H496" s="11"/>
      <c r="I496" s="11"/>
      <c r="J496" s="55"/>
    </row>
    <row r="497">
      <c r="A497" s="11"/>
      <c r="B497" s="11"/>
      <c r="C497" s="11"/>
      <c r="D497" s="11"/>
      <c r="E497" s="55"/>
      <c r="F497" s="50"/>
      <c r="G497" s="11"/>
      <c r="H497" s="11"/>
      <c r="I497" s="11"/>
      <c r="J497" s="55"/>
    </row>
    <row r="498">
      <c r="A498" s="11"/>
      <c r="B498" s="11"/>
      <c r="C498" s="11"/>
      <c r="D498" s="11"/>
      <c r="E498" s="55"/>
      <c r="F498" s="50"/>
      <c r="G498" s="11"/>
      <c r="H498" s="11"/>
      <c r="I498" s="11"/>
      <c r="J498" s="55"/>
    </row>
    <row r="499">
      <c r="A499" s="11"/>
      <c r="B499" s="11"/>
      <c r="C499" s="11"/>
      <c r="D499" s="11"/>
      <c r="E499" s="55"/>
      <c r="F499" s="50"/>
      <c r="G499" s="11"/>
      <c r="H499" s="11"/>
      <c r="I499" s="11"/>
      <c r="J499" s="55"/>
    </row>
    <row r="500">
      <c r="A500" s="11"/>
      <c r="B500" s="11"/>
      <c r="C500" s="11"/>
      <c r="D500" s="11"/>
      <c r="E500" s="55"/>
      <c r="F500" s="50"/>
      <c r="G500" s="11"/>
      <c r="H500" s="11"/>
      <c r="I500" s="11"/>
      <c r="J500" s="55"/>
    </row>
    <row r="501">
      <c r="A501" s="11"/>
      <c r="B501" s="11"/>
      <c r="C501" s="11"/>
      <c r="D501" s="11"/>
      <c r="E501" s="55"/>
      <c r="F501" s="50"/>
      <c r="G501" s="11"/>
      <c r="H501" s="11"/>
      <c r="I501" s="11"/>
      <c r="J501" s="55"/>
    </row>
    <row r="502">
      <c r="A502" s="11"/>
      <c r="B502" s="11"/>
      <c r="C502" s="11"/>
      <c r="D502" s="11"/>
      <c r="E502" s="55"/>
      <c r="F502" s="50"/>
      <c r="G502" s="11"/>
      <c r="H502" s="11"/>
      <c r="I502" s="11"/>
      <c r="J502" s="55"/>
    </row>
    <row r="503">
      <c r="A503" s="11"/>
      <c r="B503" s="11"/>
      <c r="C503" s="11"/>
      <c r="D503" s="11"/>
      <c r="E503" s="55"/>
      <c r="F503" s="50"/>
      <c r="G503" s="11"/>
      <c r="H503" s="11"/>
      <c r="I503" s="11"/>
      <c r="J503" s="55"/>
    </row>
    <row r="504">
      <c r="A504" s="11"/>
      <c r="B504" s="11"/>
      <c r="C504" s="11"/>
      <c r="D504" s="11"/>
      <c r="E504" s="55"/>
      <c r="F504" s="50"/>
      <c r="G504" s="11"/>
      <c r="H504" s="11"/>
      <c r="I504" s="11"/>
      <c r="J504" s="55"/>
    </row>
    <row r="505">
      <c r="A505" s="11"/>
      <c r="B505" s="11"/>
      <c r="C505" s="11"/>
      <c r="D505" s="11"/>
      <c r="E505" s="55"/>
      <c r="F505" s="50"/>
      <c r="G505" s="11"/>
      <c r="H505" s="11"/>
      <c r="I505" s="11"/>
      <c r="J505" s="55"/>
    </row>
    <row r="506">
      <c r="A506" s="11"/>
      <c r="B506" s="11"/>
      <c r="C506" s="11"/>
      <c r="D506" s="11"/>
      <c r="E506" s="55"/>
      <c r="F506" s="50"/>
      <c r="G506" s="11"/>
      <c r="H506" s="11"/>
      <c r="I506" s="11"/>
      <c r="J506" s="55"/>
    </row>
    <row r="507">
      <c r="A507" s="11"/>
      <c r="B507" s="11"/>
      <c r="C507" s="11"/>
      <c r="D507" s="11"/>
      <c r="E507" s="55"/>
      <c r="F507" s="50"/>
      <c r="G507" s="11"/>
      <c r="H507" s="11"/>
      <c r="I507" s="11"/>
      <c r="J507" s="55"/>
    </row>
    <row r="508">
      <c r="A508" s="11"/>
      <c r="B508" s="11"/>
      <c r="C508" s="11"/>
      <c r="D508" s="11"/>
      <c r="E508" s="55"/>
      <c r="F508" s="50"/>
      <c r="G508" s="11"/>
      <c r="H508" s="11"/>
      <c r="I508" s="11"/>
      <c r="J508" s="55"/>
    </row>
    <row r="509">
      <c r="A509" s="11"/>
      <c r="B509" s="11"/>
      <c r="C509" s="11"/>
      <c r="D509" s="11"/>
      <c r="E509" s="55"/>
      <c r="F509" s="50"/>
      <c r="G509" s="11"/>
      <c r="H509" s="11"/>
      <c r="I509" s="11"/>
      <c r="J509" s="55"/>
    </row>
    <row r="510">
      <c r="A510" s="11"/>
      <c r="B510" s="11"/>
      <c r="C510" s="11"/>
      <c r="D510" s="11"/>
      <c r="E510" s="55"/>
      <c r="F510" s="50"/>
      <c r="G510" s="11"/>
      <c r="H510" s="11"/>
      <c r="I510" s="11"/>
      <c r="J510" s="55"/>
    </row>
    <row r="511">
      <c r="A511" s="11"/>
      <c r="B511" s="11"/>
      <c r="C511" s="11"/>
      <c r="D511" s="11"/>
      <c r="E511" s="55"/>
      <c r="F511" s="50"/>
      <c r="G511" s="11"/>
      <c r="H511" s="11"/>
      <c r="I511" s="11"/>
      <c r="J511" s="55"/>
    </row>
    <row r="512">
      <c r="A512" s="11"/>
      <c r="B512" s="11"/>
      <c r="C512" s="11"/>
      <c r="D512" s="11"/>
      <c r="E512" s="55"/>
      <c r="F512" s="50"/>
      <c r="G512" s="11"/>
      <c r="H512" s="11"/>
      <c r="I512" s="11"/>
      <c r="J512" s="55"/>
    </row>
    <row r="513">
      <c r="A513" s="11"/>
      <c r="B513" s="11"/>
      <c r="C513" s="11"/>
      <c r="D513" s="11"/>
      <c r="E513" s="55"/>
      <c r="F513" s="50"/>
      <c r="G513" s="11"/>
      <c r="H513" s="11"/>
      <c r="I513" s="11"/>
      <c r="J513" s="55"/>
    </row>
    <row r="514">
      <c r="A514" s="11"/>
      <c r="B514" s="11"/>
      <c r="C514" s="11"/>
      <c r="D514" s="11"/>
      <c r="E514" s="55"/>
      <c r="F514" s="50"/>
      <c r="G514" s="11"/>
      <c r="H514" s="11"/>
      <c r="I514" s="11"/>
      <c r="J514" s="55"/>
    </row>
    <row r="515">
      <c r="A515" s="11"/>
      <c r="B515" s="11"/>
      <c r="C515" s="11"/>
      <c r="D515" s="11"/>
      <c r="E515" s="55"/>
      <c r="F515" s="50"/>
      <c r="G515" s="11"/>
      <c r="H515" s="11"/>
      <c r="I515" s="11"/>
      <c r="J515" s="55"/>
    </row>
    <row r="516">
      <c r="A516" s="11"/>
      <c r="B516" s="11"/>
      <c r="C516" s="11"/>
      <c r="D516" s="11"/>
      <c r="E516" s="55"/>
      <c r="F516" s="50"/>
      <c r="G516" s="11"/>
      <c r="H516" s="11"/>
      <c r="I516" s="11"/>
      <c r="J516" s="55"/>
    </row>
    <row r="517">
      <c r="A517" s="11"/>
      <c r="B517" s="11"/>
      <c r="C517" s="11"/>
      <c r="D517" s="11"/>
      <c r="E517" s="55"/>
      <c r="F517" s="50"/>
      <c r="G517" s="11"/>
      <c r="H517" s="11"/>
      <c r="I517" s="11"/>
      <c r="J517" s="55"/>
    </row>
    <row r="518">
      <c r="A518" s="11"/>
      <c r="B518" s="11"/>
      <c r="C518" s="11"/>
      <c r="D518" s="11"/>
      <c r="E518" s="55"/>
      <c r="F518" s="50"/>
      <c r="G518" s="11"/>
      <c r="H518" s="11"/>
      <c r="I518" s="11"/>
      <c r="J518" s="55"/>
    </row>
    <row r="519">
      <c r="A519" s="11"/>
      <c r="B519" s="11"/>
      <c r="C519" s="11"/>
      <c r="D519" s="11"/>
      <c r="E519" s="55"/>
      <c r="F519" s="50"/>
      <c r="G519" s="11"/>
      <c r="H519" s="11"/>
      <c r="I519" s="11"/>
      <c r="J519" s="55"/>
    </row>
    <row r="520">
      <c r="A520" s="11"/>
      <c r="B520" s="11"/>
      <c r="C520" s="11"/>
      <c r="D520" s="11"/>
      <c r="E520" s="55"/>
      <c r="F520" s="50"/>
      <c r="G520" s="11"/>
      <c r="H520" s="11"/>
      <c r="I520" s="11"/>
      <c r="J520" s="55"/>
    </row>
    <row r="521">
      <c r="A521" s="11"/>
      <c r="B521" s="11"/>
      <c r="C521" s="11"/>
      <c r="D521" s="11"/>
      <c r="E521" s="55"/>
      <c r="F521" s="50"/>
      <c r="G521" s="11"/>
      <c r="H521" s="11"/>
      <c r="I521" s="11"/>
      <c r="J521" s="55"/>
    </row>
    <row r="522">
      <c r="A522" s="11"/>
      <c r="B522" s="11"/>
      <c r="C522" s="11"/>
      <c r="D522" s="11"/>
      <c r="E522" s="55"/>
      <c r="F522" s="50"/>
      <c r="G522" s="11"/>
      <c r="H522" s="11"/>
      <c r="I522" s="11"/>
      <c r="J522" s="55"/>
    </row>
    <row r="523">
      <c r="A523" s="11"/>
      <c r="B523" s="11"/>
      <c r="C523" s="11"/>
      <c r="D523" s="11"/>
      <c r="E523" s="55"/>
      <c r="F523" s="50"/>
      <c r="G523" s="11"/>
      <c r="H523" s="11"/>
      <c r="I523" s="11"/>
      <c r="J523" s="55"/>
    </row>
    <row r="524">
      <c r="A524" s="11"/>
      <c r="B524" s="11"/>
      <c r="C524" s="11"/>
      <c r="D524" s="11"/>
      <c r="E524" s="55"/>
      <c r="F524" s="50"/>
      <c r="G524" s="11"/>
      <c r="H524" s="11"/>
      <c r="I524" s="11"/>
      <c r="J524" s="55"/>
    </row>
    <row r="525">
      <c r="A525" s="11"/>
      <c r="B525" s="11"/>
      <c r="C525" s="11"/>
      <c r="D525" s="11"/>
      <c r="E525" s="55"/>
      <c r="F525" s="50"/>
      <c r="G525" s="11"/>
      <c r="H525" s="11"/>
      <c r="I525" s="11"/>
      <c r="J525" s="55"/>
    </row>
    <row r="526">
      <c r="A526" s="11"/>
      <c r="B526" s="11"/>
      <c r="C526" s="11"/>
      <c r="D526" s="11"/>
      <c r="E526" s="55"/>
      <c r="F526" s="50"/>
      <c r="G526" s="11"/>
      <c r="H526" s="11"/>
      <c r="I526" s="11"/>
      <c r="J526" s="55"/>
    </row>
    <row r="527">
      <c r="A527" s="11"/>
      <c r="B527" s="11"/>
      <c r="C527" s="11"/>
      <c r="D527" s="11"/>
      <c r="E527" s="55"/>
      <c r="F527" s="50"/>
      <c r="G527" s="11"/>
      <c r="H527" s="11"/>
      <c r="I527" s="11"/>
      <c r="J527" s="55"/>
    </row>
    <row r="528">
      <c r="A528" s="11"/>
      <c r="B528" s="11"/>
      <c r="C528" s="11"/>
      <c r="D528" s="11"/>
      <c r="E528" s="55"/>
      <c r="F528" s="50"/>
      <c r="G528" s="11"/>
      <c r="H528" s="11"/>
      <c r="I528" s="11"/>
      <c r="J528" s="55"/>
    </row>
    <row r="529">
      <c r="A529" s="11"/>
      <c r="B529" s="11"/>
      <c r="C529" s="11"/>
      <c r="D529" s="11"/>
      <c r="E529" s="55"/>
      <c r="F529" s="50"/>
      <c r="G529" s="11"/>
      <c r="H529" s="11"/>
      <c r="I529" s="11"/>
      <c r="J529" s="55"/>
    </row>
    <row r="530">
      <c r="A530" s="11"/>
      <c r="B530" s="11"/>
      <c r="C530" s="11"/>
      <c r="D530" s="11"/>
      <c r="E530" s="55"/>
      <c r="F530" s="50"/>
      <c r="G530" s="11"/>
      <c r="H530" s="11"/>
      <c r="I530" s="11"/>
      <c r="J530" s="55"/>
    </row>
    <row r="531">
      <c r="A531" s="11"/>
      <c r="B531" s="11"/>
      <c r="C531" s="11"/>
      <c r="D531" s="11"/>
      <c r="E531" s="55"/>
      <c r="F531" s="50"/>
      <c r="G531" s="11"/>
      <c r="H531" s="11"/>
      <c r="I531" s="11"/>
      <c r="J531" s="55"/>
    </row>
    <row r="532">
      <c r="A532" s="11"/>
      <c r="B532" s="11"/>
      <c r="C532" s="11"/>
      <c r="D532" s="11"/>
      <c r="E532" s="55"/>
      <c r="F532" s="50"/>
      <c r="G532" s="11"/>
      <c r="H532" s="11"/>
      <c r="I532" s="11"/>
      <c r="J532" s="55"/>
    </row>
    <row r="533">
      <c r="A533" s="11"/>
      <c r="B533" s="11"/>
      <c r="C533" s="11"/>
      <c r="D533" s="11"/>
      <c r="E533" s="55"/>
      <c r="F533" s="50"/>
      <c r="G533" s="11"/>
      <c r="H533" s="11"/>
      <c r="I533" s="11"/>
      <c r="J533" s="55"/>
    </row>
    <row r="534">
      <c r="A534" s="11"/>
      <c r="B534" s="11"/>
      <c r="C534" s="11"/>
      <c r="D534" s="11"/>
      <c r="E534" s="55"/>
      <c r="F534" s="50"/>
      <c r="G534" s="11"/>
      <c r="H534" s="11"/>
      <c r="I534" s="11"/>
      <c r="J534" s="55"/>
    </row>
    <row r="535">
      <c r="A535" s="11"/>
      <c r="B535" s="11"/>
      <c r="C535" s="11"/>
      <c r="D535" s="11"/>
      <c r="E535" s="55"/>
      <c r="F535" s="50"/>
      <c r="G535" s="11"/>
      <c r="H535" s="11"/>
      <c r="I535" s="11"/>
      <c r="J535" s="55"/>
    </row>
    <row r="536">
      <c r="A536" s="11"/>
      <c r="B536" s="11"/>
      <c r="C536" s="11"/>
      <c r="D536" s="11"/>
      <c r="E536" s="55"/>
      <c r="F536" s="50"/>
      <c r="G536" s="11"/>
      <c r="H536" s="11"/>
      <c r="I536" s="11"/>
      <c r="J536" s="55"/>
    </row>
    <row r="537">
      <c r="A537" s="11"/>
      <c r="B537" s="11"/>
      <c r="C537" s="11"/>
      <c r="D537" s="11"/>
      <c r="E537" s="55"/>
      <c r="F537" s="50"/>
      <c r="G537" s="11"/>
      <c r="H537" s="11"/>
      <c r="I537" s="11"/>
      <c r="J537" s="55"/>
    </row>
    <row r="538">
      <c r="A538" s="11"/>
      <c r="B538" s="11"/>
      <c r="C538" s="11"/>
      <c r="D538" s="11"/>
      <c r="E538" s="55"/>
      <c r="F538" s="50"/>
      <c r="G538" s="11"/>
      <c r="H538" s="11"/>
      <c r="I538" s="11"/>
      <c r="J538" s="55"/>
    </row>
    <row r="539">
      <c r="A539" s="11"/>
      <c r="B539" s="11"/>
      <c r="C539" s="11"/>
      <c r="D539" s="11"/>
      <c r="E539" s="55"/>
      <c r="F539" s="50"/>
      <c r="G539" s="11"/>
      <c r="H539" s="11"/>
      <c r="I539" s="11"/>
      <c r="J539" s="55"/>
    </row>
    <row r="540">
      <c r="A540" s="11"/>
      <c r="B540" s="11"/>
      <c r="C540" s="11"/>
      <c r="D540" s="11"/>
      <c r="E540" s="55"/>
      <c r="F540" s="50"/>
      <c r="G540" s="11"/>
      <c r="H540" s="11"/>
      <c r="I540" s="11"/>
      <c r="J540" s="55"/>
    </row>
    <row r="541">
      <c r="A541" s="11"/>
      <c r="B541" s="11"/>
      <c r="C541" s="11"/>
      <c r="D541" s="11"/>
      <c r="E541" s="55"/>
      <c r="F541" s="50"/>
      <c r="G541" s="11"/>
      <c r="H541" s="11"/>
      <c r="I541" s="11"/>
      <c r="J541" s="55"/>
    </row>
    <row r="542">
      <c r="A542" s="11"/>
      <c r="B542" s="11"/>
      <c r="C542" s="11"/>
      <c r="D542" s="11"/>
      <c r="E542" s="55"/>
      <c r="F542" s="50"/>
      <c r="G542" s="11"/>
      <c r="H542" s="11"/>
      <c r="I542" s="11"/>
      <c r="J542" s="55"/>
    </row>
    <row r="543">
      <c r="A543" s="11"/>
      <c r="B543" s="11"/>
      <c r="C543" s="11"/>
      <c r="D543" s="11"/>
      <c r="E543" s="55"/>
      <c r="F543" s="50"/>
      <c r="G543" s="11"/>
      <c r="H543" s="11"/>
      <c r="I543" s="11"/>
      <c r="J543" s="55"/>
    </row>
    <row r="544">
      <c r="A544" s="11"/>
      <c r="B544" s="11"/>
      <c r="C544" s="11"/>
      <c r="D544" s="11"/>
      <c r="E544" s="55"/>
      <c r="F544" s="50"/>
      <c r="G544" s="11"/>
      <c r="H544" s="11"/>
      <c r="I544" s="11"/>
      <c r="J544" s="55"/>
    </row>
    <row r="545">
      <c r="A545" s="11"/>
      <c r="B545" s="11"/>
      <c r="C545" s="11"/>
      <c r="D545" s="11"/>
      <c r="E545" s="55"/>
      <c r="F545" s="50"/>
      <c r="G545" s="11"/>
      <c r="H545" s="11"/>
      <c r="I545" s="11"/>
      <c r="J545" s="55"/>
    </row>
    <row r="546">
      <c r="A546" s="11"/>
      <c r="B546" s="11"/>
      <c r="C546" s="11"/>
      <c r="D546" s="11"/>
      <c r="E546" s="55"/>
      <c r="F546" s="50"/>
      <c r="G546" s="11"/>
      <c r="H546" s="11"/>
      <c r="I546" s="11"/>
      <c r="J546" s="55"/>
    </row>
    <row r="547">
      <c r="A547" s="11"/>
      <c r="B547" s="11"/>
      <c r="C547" s="11"/>
      <c r="D547" s="11"/>
      <c r="E547" s="55"/>
      <c r="F547" s="50"/>
      <c r="G547" s="11"/>
      <c r="H547" s="11"/>
      <c r="I547" s="11"/>
      <c r="J547" s="55"/>
    </row>
    <row r="548">
      <c r="A548" s="11"/>
      <c r="B548" s="11"/>
      <c r="C548" s="11"/>
      <c r="D548" s="11"/>
      <c r="E548" s="55"/>
      <c r="F548" s="50"/>
      <c r="G548" s="11"/>
      <c r="H548" s="11"/>
      <c r="I548" s="11"/>
      <c r="J548" s="55"/>
    </row>
    <row r="549">
      <c r="A549" s="11"/>
      <c r="B549" s="11"/>
      <c r="C549" s="11"/>
      <c r="D549" s="11"/>
      <c r="E549" s="55"/>
      <c r="F549" s="50"/>
      <c r="G549" s="11"/>
      <c r="H549" s="11"/>
      <c r="I549" s="11"/>
      <c r="J549" s="55"/>
    </row>
    <row r="550">
      <c r="A550" s="11"/>
      <c r="B550" s="11"/>
      <c r="C550" s="11"/>
      <c r="D550" s="11"/>
      <c r="E550" s="55"/>
      <c r="F550" s="50"/>
      <c r="G550" s="11"/>
      <c r="H550" s="11"/>
      <c r="I550" s="11"/>
      <c r="J550" s="55"/>
    </row>
    <row r="551">
      <c r="A551" s="11"/>
      <c r="B551" s="11"/>
      <c r="C551" s="11"/>
      <c r="D551" s="11"/>
      <c r="E551" s="55"/>
      <c r="F551" s="50"/>
      <c r="G551" s="11"/>
      <c r="H551" s="11"/>
      <c r="I551" s="11"/>
      <c r="J551" s="55"/>
    </row>
    <row r="552">
      <c r="A552" s="11"/>
      <c r="B552" s="11"/>
      <c r="C552" s="11"/>
      <c r="D552" s="11"/>
      <c r="E552" s="55"/>
      <c r="F552" s="50"/>
      <c r="G552" s="11"/>
      <c r="H552" s="11"/>
      <c r="I552" s="11"/>
      <c r="J552" s="55"/>
    </row>
    <row r="553">
      <c r="A553" s="11"/>
      <c r="B553" s="11"/>
      <c r="C553" s="11"/>
      <c r="D553" s="11"/>
      <c r="E553" s="55"/>
      <c r="F553" s="50"/>
      <c r="G553" s="11"/>
      <c r="H553" s="11"/>
      <c r="I553" s="11"/>
      <c r="J553" s="55"/>
    </row>
    <row r="554">
      <c r="A554" s="11"/>
      <c r="B554" s="11"/>
      <c r="C554" s="11"/>
      <c r="D554" s="11"/>
      <c r="E554" s="55"/>
      <c r="F554" s="50"/>
      <c r="G554" s="11"/>
      <c r="H554" s="11"/>
      <c r="I554" s="11"/>
      <c r="J554" s="55"/>
    </row>
    <row r="555">
      <c r="A555" s="11"/>
      <c r="B555" s="11"/>
      <c r="C555" s="11"/>
      <c r="D555" s="11"/>
      <c r="E555" s="55"/>
      <c r="F555" s="50"/>
      <c r="G555" s="11"/>
      <c r="H555" s="11"/>
      <c r="I555" s="11"/>
      <c r="J555" s="55"/>
    </row>
    <row r="556">
      <c r="A556" s="11"/>
      <c r="B556" s="11"/>
      <c r="C556" s="11"/>
      <c r="D556" s="11"/>
      <c r="E556" s="55"/>
      <c r="F556" s="50"/>
      <c r="G556" s="11"/>
      <c r="H556" s="11"/>
      <c r="I556" s="11"/>
      <c r="J556" s="55"/>
    </row>
    <row r="557">
      <c r="A557" s="11"/>
      <c r="B557" s="11"/>
      <c r="C557" s="11"/>
      <c r="D557" s="11"/>
      <c r="E557" s="55"/>
      <c r="F557" s="50"/>
      <c r="G557" s="11"/>
      <c r="H557" s="11"/>
      <c r="I557" s="11"/>
      <c r="J557" s="55"/>
    </row>
    <row r="558">
      <c r="A558" s="11"/>
      <c r="B558" s="11"/>
      <c r="C558" s="11"/>
      <c r="D558" s="11"/>
      <c r="E558" s="55"/>
      <c r="F558" s="50"/>
      <c r="G558" s="11"/>
      <c r="H558" s="11"/>
      <c r="I558" s="11"/>
      <c r="J558" s="55"/>
    </row>
    <row r="559">
      <c r="A559" s="11"/>
      <c r="B559" s="11"/>
      <c r="C559" s="11"/>
      <c r="D559" s="11"/>
      <c r="E559" s="55"/>
      <c r="F559" s="50"/>
      <c r="G559" s="11"/>
      <c r="H559" s="11"/>
      <c r="I559" s="11"/>
      <c r="J559" s="55"/>
    </row>
    <row r="560">
      <c r="A560" s="11"/>
      <c r="B560" s="11"/>
      <c r="C560" s="11"/>
      <c r="D560" s="11"/>
      <c r="E560" s="55"/>
      <c r="F560" s="50"/>
      <c r="G560" s="11"/>
      <c r="H560" s="11"/>
      <c r="I560" s="11"/>
      <c r="J560" s="55"/>
    </row>
    <row r="561">
      <c r="A561" s="11"/>
      <c r="B561" s="11"/>
      <c r="C561" s="11"/>
      <c r="D561" s="11"/>
      <c r="E561" s="55"/>
      <c r="F561" s="50"/>
      <c r="G561" s="11"/>
      <c r="H561" s="11"/>
      <c r="I561" s="11"/>
      <c r="J561" s="55"/>
    </row>
    <row r="562">
      <c r="A562" s="11"/>
      <c r="B562" s="11"/>
      <c r="C562" s="11"/>
      <c r="D562" s="11"/>
      <c r="E562" s="55"/>
      <c r="F562" s="50"/>
      <c r="G562" s="11"/>
      <c r="H562" s="11"/>
      <c r="I562" s="11"/>
      <c r="J562" s="55"/>
    </row>
    <row r="563">
      <c r="A563" s="11"/>
      <c r="B563" s="11"/>
      <c r="C563" s="11"/>
      <c r="D563" s="11"/>
      <c r="E563" s="55"/>
      <c r="F563" s="50"/>
      <c r="G563" s="11"/>
      <c r="H563" s="11"/>
      <c r="I563" s="11"/>
      <c r="J563" s="55"/>
    </row>
    <row r="564">
      <c r="A564" s="11"/>
      <c r="B564" s="11"/>
      <c r="C564" s="11"/>
      <c r="D564" s="11"/>
      <c r="E564" s="55"/>
      <c r="F564" s="50"/>
      <c r="G564" s="11"/>
      <c r="H564" s="11"/>
      <c r="I564" s="11"/>
      <c r="J564" s="55"/>
    </row>
    <row r="565">
      <c r="A565" s="11"/>
      <c r="B565" s="11"/>
      <c r="C565" s="11"/>
      <c r="D565" s="11"/>
      <c r="E565" s="55"/>
      <c r="F565" s="50"/>
      <c r="G565" s="11"/>
      <c r="H565" s="11"/>
      <c r="I565" s="11"/>
      <c r="J565" s="55"/>
    </row>
    <row r="566">
      <c r="A566" s="11"/>
      <c r="B566" s="11"/>
      <c r="C566" s="11"/>
      <c r="D566" s="11"/>
      <c r="E566" s="55"/>
      <c r="F566" s="50"/>
      <c r="G566" s="11"/>
      <c r="H566" s="11"/>
      <c r="I566" s="11"/>
      <c r="J566" s="55"/>
    </row>
    <row r="567">
      <c r="A567" s="11"/>
      <c r="B567" s="11"/>
      <c r="C567" s="11"/>
      <c r="D567" s="11"/>
      <c r="E567" s="55"/>
      <c r="F567" s="50"/>
      <c r="G567" s="11"/>
      <c r="H567" s="11"/>
      <c r="I567" s="11"/>
      <c r="J567" s="55"/>
    </row>
    <row r="568">
      <c r="A568" s="11"/>
      <c r="B568" s="11"/>
      <c r="C568" s="11"/>
      <c r="D568" s="11"/>
      <c r="E568" s="55"/>
      <c r="F568" s="50"/>
      <c r="G568" s="11"/>
      <c r="H568" s="11"/>
      <c r="I568" s="11"/>
      <c r="J568" s="55"/>
    </row>
    <row r="569">
      <c r="A569" s="11"/>
      <c r="B569" s="11"/>
      <c r="C569" s="11"/>
      <c r="D569" s="11"/>
      <c r="E569" s="55"/>
      <c r="F569" s="50"/>
      <c r="G569" s="11"/>
      <c r="H569" s="11"/>
      <c r="I569" s="11"/>
      <c r="J569" s="55"/>
    </row>
    <row r="570">
      <c r="A570" s="11"/>
      <c r="B570" s="11"/>
      <c r="C570" s="11"/>
      <c r="D570" s="11"/>
      <c r="E570" s="55"/>
      <c r="F570" s="50"/>
      <c r="G570" s="11"/>
      <c r="H570" s="11"/>
      <c r="I570" s="11"/>
      <c r="J570" s="55"/>
    </row>
    <row r="571">
      <c r="A571" s="11"/>
      <c r="B571" s="11"/>
      <c r="C571" s="11"/>
      <c r="D571" s="11"/>
      <c r="E571" s="55"/>
      <c r="F571" s="50"/>
      <c r="G571" s="11"/>
      <c r="H571" s="11"/>
      <c r="I571" s="11"/>
      <c r="J571" s="55"/>
    </row>
    <row r="572">
      <c r="A572" s="11"/>
      <c r="B572" s="11"/>
      <c r="C572" s="11"/>
      <c r="D572" s="11"/>
      <c r="E572" s="55"/>
      <c r="F572" s="50"/>
      <c r="G572" s="11"/>
      <c r="H572" s="11"/>
      <c r="I572" s="11"/>
      <c r="J572" s="55"/>
    </row>
    <row r="573">
      <c r="A573" s="11"/>
      <c r="B573" s="11"/>
      <c r="C573" s="11"/>
      <c r="D573" s="11"/>
      <c r="E573" s="55"/>
      <c r="F573" s="50"/>
      <c r="G573" s="11"/>
      <c r="H573" s="11"/>
      <c r="I573" s="11"/>
      <c r="J573" s="55"/>
    </row>
    <row r="574">
      <c r="A574" s="11"/>
      <c r="B574" s="11"/>
      <c r="C574" s="11"/>
      <c r="D574" s="11"/>
      <c r="E574" s="55"/>
      <c r="F574" s="50"/>
      <c r="G574" s="11"/>
      <c r="H574" s="11"/>
      <c r="I574" s="11"/>
      <c r="J574" s="55"/>
    </row>
    <row r="575">
      <c r="A575" s="11"/>
      <c r="B575" s="11"/>
      <c r="C575" s="11"/>
      <c r="D575" s="11"/>
      <c r="E575" s="55"/>
      <c r="F575" s="50"/>
      <c r="G575" s="11"/>
      <c r="H575" s="11"/>
      <c r="I575" s="11"/>
      <c r="J575" s="55"/>
    </row>
    <row r="576">
      <c r="A576" s="11"/>
      <c r="B576" s="11"/>
      <c r="C576" s="11"/>
      <c r="D576" s="11"/>
      <c r="E576" s="55"/>
      <c r="F576" s="50"/>
      <c r="G576" s="11"/>
      <c r="H576" s="11"/>
      <c r="I576" s="11"/>
      <c r="J576" s="55"/>
    </row>
    <row r="577">
      <c r="A577" s="11"/>
      <c r="B577" s="11"/>
      <c r="C577" s="11"/>
      <c r="D577" s="11"/>
      <c r="E577" s="55"/>
      <c r="F577" s="50"/>
      <c r="G577" s="11"/>
      <c r="H577" s="11"/>
      <c r="I577" s="11"/>
      <c r="J577" s="55"/>
    </row>
    <row r="578">
      <c r="A578" s="11"/>
      <c r="B578" s="11"/>
      <c r="C578" s="11"/>
      <c r="D578" s="11"/>
      <c r="E578" s="55"/>
      <c r="F578" s="50"/>
      <c r="G578" s="11"/>
      <c r="H578" s="11"/>
      <c r="I578" s="11"/>
      <c r="J578" s="55"/>
    </row>
    <row r="579">
      <c r="A579" s="11"/>
      <c r="B579" s="11"/>
      <c r="C579" s="11"/>
      <c r="D579" s="11"/>
      <c r="E579" s="55"/>
      <c r="F579" s="50"/>
      <c r="G579" s="11"/>
      <c r="H579" s="11"/>
      <c r="I579" s="11"/>
      <c r="J579" s="55"/>
    </row>
    <row r="580">
      <c r="A580" s="11"/>
      <c r="B580" s="11"/>
      <c r="C580" s="11"/>
      <c r="D580" s="11"/>
      <c r="E580" s="55"/>
      <c r="F580" s="50"/>
      <c r="G580" s="11"/>
      <c r="H580" s="11"/>
      <c r="I580" s="11"/>
      <c r="J580" s="55"/>
    </row>
    <row r="581">
      <c r="A581" s="11"/>
      <c r="B581" s="11"/>
      <c r="C581" s="11"/>
      <c r="D581" s="11"/>
      <c r="E581" s="55"/>
      <c r="F581" s="50"/>
      <c r="G581" s="11"/>
      <c r="H581" s="11"/>
      <c r="I581" s="11"/>
      <c r="J581" s="55"/>
    </row>
    <row r="582">
      <c r="A582" s="11"/>
      <c r="B582" s="11"/>
      <c r="C582" s="11"/>
      <c r="D582" s="11"/>
      <c r="E582" s="55"/>
      <c r="F582" s="50"/>
      <c r="G582" s="11"/>
      <c r="H582" s="11"/>
      <c r="I582" s="11"/>
      <c r="J582" s="55"/>
    </row>
    <row r="583">
      <c r="A583" s="11"/>
      <c r="B583" s="11"/>
      <c r="C583" s="11"/>
      <c r="D583" s="11"/>
      <c r="E583" s="55"/>
      <c r="F583" s="50"/>
      <c r="G583" s="11"/>
      <c r="H583" s="11"/>
      <c r="I583" s="11"/>
      <c r="J583" s="55"/>
    </row>
    <row r="584">
      <c r="A584" s="11"/>
      <c r="B584" s="11"/>
      <c r="C584" s="11"/>
      <c r="D584" s="11"/>
      <c r="E584" s="55"/>
      <c r="F584" s="50"/>
      <c r="G584" s="11"/>
      <c r="H584" s="11"/>
      <c r="I584" s="11"/>
      <c r="J584" s="55"/>
    </row>
    <row r="585">
      <c r="A585" s="11"/>
      <c r="B585" s="11"/>
      <c r="C585" s="11"/>
      <c r="D585" s="11"/>
      <c r="E585" s="55"/>
      <c r="F585" s="50"/>
      <c r="G585" s="11"/>
      <c r="H585" s="11"/>
      <c r="I585" s="11"/>
      <c r="J585" s="55"/>
    </row>
    <row r="586">
      <c r="A586" s="11"/>
      <c r="B586" s="11"/>
      <c r="C586" s="11"/>
      <c r="D586" s="11"/>
      <c r="E586" s="55"/>
      <c r="F586" s="50"/>
      <c r="G586" s="11"/>
      <c r="H586" s="11"/>
      <c r="I586" s="11"/>
      <c r="J586" s="55"/>
    </row>
    <row r="587">
      <c r="A587" s="11"/>
      <c r="B587" s="11"/>
      <c r="C587" s="11"/>
      <c r="D587" s="11"/>
      <c r="E587" s="55"/>
      <c r="F587" s="50"/>
      <c r="G587" s="11"/>
      <c r="H587" s="11"/>
      <c r="I587" s="11"/>
      <c r="J587" s="55"/>
    </row>
    <row r="588">
      <c r="A588" s="11"/>
      <c r="B588" s="11"/>
      <c r="C588" s="11"/>
      <c r="D588" s="11"/>
      <c r="E588" s="55"/>
      <c r="F588" s="50"/>
      <c r="G588" s="11"/>
      <c r="H588" s="11"/>
      <c r="I588" s="11"/>
      <c r="J588" s="55"/>
    </row>
    <row r="589">
      <c r="A589" s="11"/>
      <c r="B589" s="11"/>
      <c r="C589" s="11"/>
      <c r="D589" s="11"/>
      <c r="E589" s="55"/>
      <c r="F589" s="50"/>
      <c r="G589" s="11"/>
      <c r="H589" s="11"/>
      <c r="I589" s="11"/>
      <c r="J589" s="55"/>
    </row>
    <row r="590">
      <c r="A590" s="11"/>
      <c r="B590" s="11"/>
      <c r="C590" s="11"/>
      <c r="D590" s="11"/>
      <c r="E590" s="55"/>
      <c r="F590" s="50"/>
      <c r="G590" s="11"/>
      <c r="H590" s="11"/>
      <c r="I590" s="11"/>
      <c r="J590" s="55"/>
    </row>
    <row r="591">
      <c r="A591" s="11"/>
      <c r="B591" s="11"/>
      <c r="C591" s="11"/>
      <c r="D591" s="11"/>
      <c r="E591" s="55"/>
      <c r="F591" s="50"/>
      <c r="G591" s="11"/>
      <c r="H591" s="11"/>
      <c r="I591" s="11"/>
      <c r="J591" s="55"/>
    </row>
    <row r="592">
      <c r="A592" s="11"/>
      <c r="B592" s="11"/>
      <c r="C592" s="11"/>
      <c r="D592" s="11"/>
      <c r="E592" s="55"/>
      <c r="F592" s="50"/>
      <c r="G592" s="11"/>
      <c r="H592" s="11"/>
      <c r="I592" s="11"/>
      <c r="J592" s="55"/>
    </row>
    <row r="593">
      <c r="A593" s="11"/>
      <c r="B593" s="11"/>
      <c r="C593" s="11"/>
      <c r="D593" s="11"/>
      <c r="E593" s="55"/>
      <c r="F593" s="50"/>
      <c r="G593" s="11"/>
      <c r="H593" s="11"/>
      <c r="I593" s="11"/>
      <c r="J593" s="55"/>
    </row>
    <row r="594">
      <c r="A594" s="11"/>
      <c r="B594" s="11"/>
      <c r="C594" s="11"/>
      <c r="D594" s="11"/>
      <c r="E594" s="55"/>
      <c r="F594" s="50"/>
      <c r="G594" s="11"/>
      <c r="H594" s="11"/>
      <c r="I594" s="11"/>
      <c r="J594" s="55"/>
    </row>
    <row r="595">
      <c r="A595" s="11"/>
      <c r="B595" s="11"/>
      <c r="C595" s="11"/>
      <c r="D595" s="11"/>
      <c r="E595" s="55"/>
      <c r="F595" s="50"/>
      <c r="G595" s="11"/>
      <c r="H595" s="11"/>
      <c r="I595" s="11"/>
      <c r="J595" s="55"/>
    </row>
    <row r="596">
      <c r="A596" s="11"/>
      <c r="B596" s="11"/>
      <c r="C596" s="11"/>
      <c r="D596" s="11"/>
      <c r="E596" s="55"/>
      <c r="F596" s="50"/>
      <c r="G596" s="11"/>
      <c r="H596" s="11"/>
      <c r="I596" s="11"/>
      <c r="J596" s="55"/>
    </row>
    <row r="597">
      <c r="A597" s="11"/>
      <c r="B597" s="11"/>
      <c r="C597" s="11"/>
      <c r="D597" s="11"/>
      <c r="E597" s="55"/>
      <c r="F597" s="50"/>
      <c r="G597" s="11"/>
      <c r="H597" s="11"/>
      <c r="I597" s="11"/>
      <c r="J597" s="55"/>
    </row>
    <row r="598">
      <c r="A598" s="11"/>
      <c r="B598" s="11"/>
      <c r="C598" s="11"/>
      <c r="D598" s="11"/>
      <c r="E598" s="55"/>
      <c r="F598" s="50"/>
      <c r="G598" s="11"/>
      <c r="H598" s="11"/>
      <c r="I598" s="11"/>
      <c r="J598" s="55"/>
    </row>
    <row r="599">
      <c r="A599" s="11"/>
      <c r="B599" s="11"/>
      <c r="C599" s="11"/>
      <c r="D599" s="11"/>
      <c r="E599" s="55"/>
      <c r="F599" s="50"/>
      <c r="G599" s="11"/>
      <c r="H599" s="11"/>
      <c r="I599" s="11"/>
      <c r="J599" s="55"/>
    </row>
    <row r="600">
      <c r="A600" s="11"/>
      <c r="B600" s="11"/>
      <c r="C600" s="11"/>
      <c r="D600" s="11"/>
      <c r="E600" s="55"/>
      <c r="F600" s="50"/>
      <c r="G600" s="11"/>
      <c r="H600" s="11"/>
      <c r="I600" s="11"/>
      <c r="J600" s="55"/>
    </row>
    <row r="601">
      <c r="A601" s="11"/>
      <c r="B601" s="11"/>
      <c r="C601" s="11"/>
      <c r="D601" s="11"/>
      <c r="E601" s="55"/>
      <c r="F601" s="50"/>
      <c r="G601" s="11"/>
      <c r="H601" s="11"/>
      <c r="I601" s="11"/>
      <c r="J601" s="55"/>
    </row>
    <row r="602">
      <c r="A602" s="11"/>
      <c r="B602" s="11"/>
      <c r="C602" s="11"/>
      <c r="D602" s="11"/>
      <c r="E602" s="55"/>
      <c r="F602" s="50"/>
      <c r="G602" s="11"/>
      <c r="H602" s="11"/>
      <c r="I602" s="11"/>
      <c r="J602" s="55"/>
    </row>
    <row r="603">
      <c r="A603" s="11"/>
      <c r="B603" s="11"/>
      <c r="C603" s="11"/>
      <c r="D603" s="11"/>
      <c r="E603" s="55"/>
      <c r="F603" s="50"/>
      <c r="G603" s="11"/>
      <c r="H603" s="11"/>
      <c r="I603" s="11"/>
      <c r="J603" s="55"/>
    </row>
    <row r="604">
      <c r="A604" s="11"/>
      <c r="B604" s="11"/>
      <c r="C604" s="11"/>
      <c r="D604" s="11"/>
      <c r="E604" s="55"/>
      <c r="F604" s="50"/>
      <c r="G604" s="11"/>
      <c r="H604" s="11"/>
      <c r="I604" s="11"/>
      <c r="J604" s="55"/>
    </row>
    <row r="605">
      <c r="A605" s="11"/>
      <c r="B605" s="11"/>
      <c r="C605" s="11"/>
      <c r="D605" s="11"/>
      <c r="E605" s="55"/>
      <c r="F605" s="50"/>
      <c r="G605" s="11"/>
      <c r="H605" s="11"/>
      <c r="I605" s="11"/>
      <c r="J605" s="55"/>
    </row>
    <row r="606">
      <c r="A606" s="11"/>
      <c r="B606" s="11"/>
      <c r="C606" s="11"/>
      <c r="D606" s="11"/>
      <c r="E606" s="55"/>
      <c r="F606" s="50"/>
      <c r="G606" s="11"/>
      <c r="H606" s="11"/>
      <c r="I606" s="11"/>
      <c r="J606" s="55"/>
    </row>
    <row r="607">
      <c r="A607" s="11"/>
      <c r="B607" s="11"/>
      <c r="C607" s="11"/>
      <c r="D607" s="11"/>
      <c r="E607" s="55"/>
      <c r="F607" s="50"/>
      <c r="G607" s="11"/>
      <c r="H607" s="11"/>
      <c r="I607" s="11"/>
      <c r="J607" s="55"/>
    </row>
    <row r="608">
      <c r="A608" s="11"/>
      <c r="B608" s="11"/>
      <c r="C608" s="11"/>
      <c r="D608" s="11"/>
      <c r="E608" s="55"/>
      <c r="F608" s="50"/>
      <c r="G608" s="11"/>
      <c r="H608" s="11"/>
      <c r="I608" s="11"/>
      <c r="J608" s="55"/>
    </row>
    <row r="609">
      <c r="A609" s="11"/>
      <c r="B609" s="11"/>
      <c r="C609" s="11"/>
      <c r="D609" s="11"/>
      <c r="E609" s="55"/>
      <c r="F609" s="50"/>
      <c r="G609" s="11"/>
      <c r="H609" s="11"/>
      <c r="I609" s="11"/>
      <c r="J609" s="55"/>
    </row>
    <row r="610">
      <c r="A610" s="11"/>
      <c r="B610" s="11"/>
      <c r="C610" s="11"/>
      <c r="D610" s="11"/>
      <c r="E610" s="55"/>
      <c r="F610" s="50"/>
      <c r="G610" s="11"/>
      <c r="H610" s="11"/>
      <c r="I610" s="11"/>
      <c r="J610" s="55"/>
    </row>
    <row r="611">
      <c r="A611" s="11"/>
      <c r="B611" s="11"/>
      <c r="C611" s="11"/>
      <c r="D611" s="11"/>
      <c r="E611" s="55"/>
      <c r="F611" s="50"/>
      <c r="G611" s="11"/>
      <c r="H611" s="11"/>
      <c r="I611" s="11"/>
      <c r="J611" s="55"/>
    </row>
    <row r="612">
      <c r="A612" s="11"/>
      <c r="B612" s="11"/>
      <c r="C612" s="11"/>
      <c r="D612" s="11"/>
      <c r="E612" s="55"/>
      <c r="F612" s="50"/>
      <c r="G612" s="11"/>
      <c r="H612" s="11"/>
      <c r="I612" s="11"/>
      <c r="J612" s="55"/>
    </row>
    <row r="613">
      <c r="A613" s="11"/>
      <c r="B613" s="11"/>
      <c r="C613" s="11"/>
      <c r="D613" s="11"/>
      <c r="E613" s="55"/>
      <c r="F613" s="50"/>
      <c r="G613" s="11"/>
      <c r="H613" s="11"/>
      <c r="I613" s="11"/>
      <c r="J613" s="55"/>
    </row>
    <row r="614">
      <c r="A614" s="11"/>
      <c r="B614" s="11"/>
      <c r="C614" s="11"/>
      <c r="D614" s="11"/>
      <c r="E614" s="55"/>
      <c r="F614" s="50"/>
      <c r="G614" s="11"/>
      <c r="H614" s="11"/>
      <c r="I614" s="11"/>
      <c r="J614" s="55"/>
    </row>
    <row r="615">
      <c r="A615" s="11"/>
      <c r="B615" s="11"/>
      <c r="C615" s="11"/>
      <c r="D615" s="11"/>
      <c r="E615" s="55"/>
      <c r="F615" s="50"/>
      <c r="G615" s="11"/>
      <c r="H615" s="11"/>
      <c r="I615" s="11"/>
      <c r="J615" s="55"/>
    </row>
    <row r="616">
      <c r="A616" s="11"/>
      <c r="B616" s="11"/>
      <c r="C616" s="11"/>
      <c r="D616" s="11"/>
      <c r="E616" s="55"/>
      <c r="F616" s="50"/>
      <c r="G616" s="11"/>
      <c r="H616" s="11"/>
      <c r="I616" s="11"/>
      <c r="J616" s="55"/>
    </row>
    <row r="617">
      <c r="A617" s="11"/>
      <c r="B617" s="11"/>
      <c r="C617" s="11"/>
      <c r="D617" s="11"/>
      <c r="E617" s="55"/>
      <c r="F617" s="50"/>
      <c r="G617" s="11"/>
      <c r="H617" s="11"/>
      <c r="I617" s="11"/>
      <c r="J617" s="55"/>
    </row>
    <row r="618">
      <c r="A618" s="11"/>
      <c r="B618" s="11"/>
      <c r="C618" s="11"/>
      <c r="D618" s="11"/>
      <c r="E618" s="55"/>
      <c r="F618" s="50"/>
      <c r="G618" s="11"/>
      <c r="H618" s="11"/>
      <c r="I618" s="11"/>
      <c r="J618" s="55"/>
    </row>
    <row r="619">
      <c r="A619" s="11"/>
      <c r="B619" s="11"/>
      <c r="C619" s="11"/>
      <c r="D619" s="11"/>
      <c r="E619" s="55"/>
      <c r="F619" s="50"/>
      <c r="G619" s="11"/>
      <c r="H619" s="11"/>
      <c r="I619" s="11"/>
      <c r="J619" s="55"/>
    </row>
    <row r="620">
      <c r="A620" s="11"/>
      <c r="B620" s="11"/>
      <c r="C620" s="11"/>
      <c r="D620" s="11"/>
      <c r="E620" s="55"/>
      <c r="F620" s="50"/>
      <c r="G620" s="11"/>
      <c r="H620" s="11"/>
      <c r="I620" s="11"/>
      <c r="J620" s="55"/>
    </row>
    <row r="621">
      <c r="A621" s="11"/>
      <c r="B621" s="11"/>
      <c r="C621" s="11"/>
      <c r="D621" s="11"/>
      <c r="E621" s="55"/>
      <c r="F621" s="50"/>
      <c r="G621" s="11"/>
      <c r="H621" s="11"/>
      <c r="I621" s="11"/>
      <c r="J621" s="55"/>
    </row>
    <row r="622">
      <c r="A622" s="11"/>
      <c r="B622" s="11"/>
      <c r="C622" s="11"/>
      <c r="D622" s="11"/>
      <c r="E622" s="55"/>
      <c r="F622" s="50"/>
      <c r="G622" s="11"/>
      <c r="H622" s="11"/>
      <c r="I622" s="11"/>
      <c r="J622" s="55"/>
    </row>
    <row r="623">
      <c r="A623" s="11"/>
      <c r="B623" s="11"/>
      <c r="C623" s="11"/>
      <c r="D623" s="11"/>
      <c r="E623" s="55"/>
      <c r="F623" s="50"/>
      <c r="G623" s="11"/>
      <c r="H623" s="11"/>
      <c r="I623" s="11"/>
      <c r="J623" s="55"/>
    </row>
    <row r="624">
      <c r="A624" s="11"/>
      <c r="B624" s="11"/>
      <c r="C624" s="11"/>
      <c r="D624" s="11"/>
      <c r="E624" s="55"/>
      <c r="F624" s="50"/>
      <c r="G624" s="11"/>
      <c r="H624" s="11"/>
      <c r="I624" s="11"/>
      <c r="J624" s="55"/>
    </row>
    <row r="625">
      <c r="A625" s="11"/>
      <c r="B625" s="11"/>
      <c r="C625" s="11"/>
      <c r="D625" s="11"/>
      <c r="E625" s="55"/>
      <c r="F625" s="50"/>
      <c r="G625" s="11"/>
      <c r="H625" s="11"/>
      <c r="I625" s="11"/>
      <c r="J625" s="55"/>
    </row>
    <row r="626">
      <c r="A626" s="11"/>
      <c r="B626" s="11"/>
      <c r="C626" s="11"/>
      <c r="D626" s="11"/>
      <c r="E626" s="55"/>
      <c r="F626" s="50"/>
      <c r="G626" s="11"/>
      <c r="H626" s="11"/>
      <c r="I626" s="11"/>
      <c r="J626" s="55"/>
    </row>
    <row r="627">
      <c r="A627" s="11"/>
      <c r="B627" s="11"/>
      <c r="C627" s="11"/>
      <c r="D627" s="11"/>
      <c r="E627" s="55"/>
      <c r="F627" s="50"/>
      <c r="G627" s="11"/>
      <c r="H627" s="11"/>
      <c r="I627" s="11"/>
      <c r="J627" s="55"/>
    </row>
    <row r="628">
      <c r="A628" s="11"/>
      <c r="B628" s="11"/>
      <c r="C628" s="11"/>
      <c r="D628" s="11"/>
      <c r="E628" s="55"/>
      <c r="F628" s="50"/>
      <c r="G628" s="11"/>
      <c r="H628" s="11"/>
      <c r="I628" s="11"/>
      <c r="J628" s="55"/>
    </row>
    <row r="629">
      <c r="A629" s="11"/>
      <c r="B629" s="11"/>
      <c r="C629" s="11"/>
      <c r="D629" s="11"/>
      <c r="E629" s="55"/>
      <c r="F629" s="50"/>
      <c r="G629" s="11"/>
      <c r="H629" s="11"/>
      <c r="I629" s="11"/>
      <c r="J629" s="55"/>
    </row>
    <row r="630">
      <c r="A630" s="11"/>
      <c r="B630" s="11"/>
      <c r="C630" s="11"/>
      <c r="D630" s="11"/>
      <c r="E630" s="55"/>
      <c r="F630" s="50"/>
      <c r="G630" s="11"/>
      <c r="H630" s="11"/>
      <c r="I630" s="11"/>
      <c r="J630" s="55"/>
    </row>
    <row r="631">
      <c r="A631" s="11"/>
      <c r="B631" s="11"/>
      <c r="C631" s="11"/>
      <c r="D631" s="11"/>
      <c r="E631" s="55"/>
      <c r="F631" s="50"/>
      <c r="G631" s="11"/>
      <c r="H631" s="11"/>
      <c r="I631" s="11"/>
      <c r="J631" s="55"/>
    </row>
    <row r="632">
      <c r="A632" s="11"/>
      <c r="B632" s="11"/>
      <c r="C632" s="11"/>
      <c r="D632" s="11"/>
      <c r="E632" s="55"/>
      <c r="F632" s="50"/>
      <c r="G632" s="11"/>
      <c r="H632" s="11"/>
      <c r="I632" s="11"/>
      <c r="J632" s="55"/>
    </row>
    <row r="633">
      <c r="A633" s="11"/>
      <c r="B633" s="11"/>
      <c r="C633" s="11"/>
      <c r="D633" s="11"/>
      <c r="E633" s="55"/>
      <c r="F633" s="50"/>
      <c r="G633" s="11"/>
      <c r="H633" s="11"/>
      <c r="I633" s="11"/>
      <c r="J633" s="55"/>
    </row>
    <row r="634">
      <c r="A634" s="11"/>
      <c r="B634" s="11"/>
      <c r="C634" s="11"/>
      <c r="D634" s="11"/>
      <c r="E634" s="55"/>
      <c r="F634" s="50"/>
      <c r="G634" s="11"/>
      <c r="H634" s="11"/>
      <c r="I634" s="11"/>
      <c r="J634" s="55"/>
    </row>
    <row r="635">
      <c r="A635" s="11"/>
      <c r="B635" s="11"/>
      <c r="C635" s="11"/>
      <c r="D635" s="11"/>
      <c r="E635" s="55"/>
      <c r="F635" s="50"/>
      <c r="G635" s="11"/>
      <c r="H635" s="11"/>
      <c r="I635" s="11"/>
      <c r="J635" s="55"/>
    </row>
    <row r="636">
      <c r="A636" s="11"/>
      <c r="B636" s="11"/>
      <c r="C636" s="11"/>
      <c r="D636" s="11"/>
      <c r="E636" s="55"/>
      <c r="F636" s="50"/>
      <c r="G636" s="11"/>
      <c r="H636" s="11"/>
      <c r="I636" s="11"/>
      <c r="J636" s="55"/>
    </row>
    <row r="637">
      <c r="A637" s="11"/>
      <c r="B637" s="11"/>
      <c r="C637" s="11"/>
      <c r="D637" s="11"/>
      <c r="E637" s="55"/>
      <c r="F637" s="50"/>
      <c r="G637" s="11"/>
      <c r="H637" s="11"/>
      <c r="I637" s="11"/>
      <c r="J637" s="55"/>
    </row>
    <row r="638">
      <c r="A638" s="11"/>
      <c r="B638" s="11"/>
      <c r="C638" s="11"/>
      <c r="D638" s="11"/>
      <c r="E638" s="55"/>
      <c r="F638" s="50"/>
      <c r="G638" s="11"/>
      <c r="H638" s="11"/>
      <c r="I638" s="11"/>
      <c r="J638" s="55"/>
    </row>
    <row r="639">
      <c r="A639" s="11"/>
      <c r="B639" s="11"/>
      <c r="C639" s="11"/>
      <c r="D639" s="11"/>
      <c r="E639" s="55"/>
      <c r="F639" s="50"/>
      <c r="G639" s="11"/>
      <c r="H639" s="11"/>
      <c r="I639" s="11"/>
      <c r="J639" s="55"/>
    </row>
    <row r="640">
      <c r="A640" s="11"/>
      <c r="B640" s="11"/>
      <c r="C640" s="11"/>
      <c r="D640" s="11"/>
      <c r="E640" s="55"/>
      <c r="F640" s="50"/>
      <c r="G640" s="11"/>
      <c r="H640" s="11"/>
      <c r="I640" s="11"/>
      <c r="J640" s="55"/>
    </row>
    <row r="641">
      <c r="A641" s="11"/>
      <c r="B641" s="11"/>
      <c r="C641" s="11"/>
      <c r="D641" s="11"/>
      <c r="E641" s="55"/>
      <c r="F641" s="50"/>
      <c r="G641" s="11"/>
      <c r="H641" s="11"/>
      <c r="I641" s="11"/>
      <c r="J641" s="55"/>
    </row>
    <row r="642">
      <c r="A642" s="11"/>
      <c r="B642" s="11"/>
      <c r="C642" s="11"/>
      <c r="D642" s="11"/>
      <c r="E642" s="55"/>
      <c r="F642" s="50"/>
      <c r="G642" s="11"/>
      <c r="H642" s="11"/>
      <c r="I642" s="11"/>
      <c r="J642" s="55"/>
    </row>
    <row r="643">
      <c r="A643" s="11"/>
      <c r="B643" s="11"/>
      <c r="C643" s="11"/>
      <c r="D643" s="11"/>
      <c r="E643" s="55"/>
      <c r="F643" s="50"/>
      <c r="G643" s="11"/>
      <c r="H643" s="11"/>
      <c r="I643" s="11"/>
      <c r="J643" s="55"/>
    </row>
    <row r="644">
      <c r="A644" s="11"/>
      <c r="B644" s="11"/>
      <c r="C644" s="11"/>
      <c r="D644" s="11"/>
      <c r="E644" s="55"/>
      <c r="F644" s="50"/>
      <c r="G644" s="11"/>
      <c r="H644" s="11"/>
      <c r="I644" s="11"/>
      <c r="J644" s="55"/>
    </row>
    <row r="645">
      <c r="A645" s="11"/>
      <c r="B645" s="11"/>
      <c r="C645" s="11"/>
      <c r="D645" s="11"/>
      <c r="E645" s="55"/>
      <c r="F645" s="50"/>
      <c r="G645" s="11"/>
      <c r="H645" s="11"/>
      <c r="I645" s="11"/>
      <c r="J645" s="55"/>
    </row>
    <row r="646">
      <c r="A646" s="11"/>
      <c r="B646" s="11"/>
      <c r="C646" s="11"/>
      <c r="D646" s="11"/>
      <c r="E646" s="55"/>
      <c r="F646" s="50"/>
      <c r="G646" s="11"/>
      <c r="H646" s="11"/>
      <c r="I646" s="11"/>
      <c r="J646" s="55"/>
    </row>
    <row r="647">
      <c r="A647" s="11"/>
      <c r="B647" s="11"/>
      <c r="C647" s="11"/>
      <c r="D647" s="11"/>
      <c r="E647" s="55"/>
      <c r="F647" s="50"/>
      <c r="G647" s="11"/>
      <c r="H647" s="11"/>
      <c r="I647" s="11"/>
      <c r="J647" s="55"/>
    </row>
    <row r="648">
      <c r="A648" s="11"/>
      <c r="B648" s="11"/>
      <c r="C648" s="11"/>
      <c r="D648" s="11"/>
      <c r="E648" s="55"/>
      <c r="F648" s="50"/>
      <c r="G648" s="11"/>
      <c r="H648" s="11"/>
      <c r="I648" s="11"/>
      <c r="J648" s="55"/>
    </row>
    <row r="649">
      <c r="A649" s="11"/>
      <c r="B649" s="11"/>
      <c r="C649" s="11"/>
      <c r="D649" s="11"/>
      <c r="E649" s="55"/>
      <c r="F649" s="50"/>
      <c r="G649" s="11"/>
      <c r="H649" s="11"/>
      <c r="I649" s="11"/>
      <c r="J649" s="55"/>
    </row>
    <row r="650">
      <c r="A650" s="11"/>
      <c r="B650" s="11"/>
      <c r="C650" s="11"/>
      <c r="D650" s="11"/>
      <c r="E650" s="55"/>
      <c r="F650" s="50"/>
      <c r="G650" s="11"/>
      <c r="H650" s="11"/>
      <c r="I650" s="11"/>
      <c r="J650" s="55"/>
    </row>
    <row r="651">
      <c r="A651" s="11"/>
      <c r="B651" s="11"/>
      <c r="C651" s="11"/>
      <c r="D651" s="11"/>
      <c r="E651" s="55"/>
      <c r="F651" s="50"/>
      <c r="G651" s="11"/>
      <c r="H651" s="11"/>
      <c r="I651" s="11"/>
      <c r="J651" s="55"/>
    </row>
    <row r="652">
      <c r="A652" s="11"/>
      <c r="B652" s="11"/>
      <c r="C652" s="11"/>
      <c r="D652" s="11"/>
      <c r="E652" s="55"/>
      <c r="F652" s="50"/>
      <c r="G652" s="11"/>
      <c r="H652" s="11"/>
      <c r="I652" s="11"/>
      <c r="J652" s="55"/>
    </row>
    <row r="653">
      <c r="A653" s="11"/>
      <c r="B653" s="11"/>
      <c r="C653" s="11"/>
      <c r="D653" s="11"/>
      <c r="E653" s="55"/>
      <c r="F653" s="50"/>
      <c r="G653" s="11"/>
      <c r="H653" s="11"/>
      <c r="I653" s="11"/>
      <c r="J653" s="55"/>
    </row>
    <row r="654">
      <c r="A654" s="11"/>
      <c r="B654" s="11"/>
      <c r="C654" s="11"/>
      <c r="D654" s="11"/>
      <c r="E654" s="55"/>
      <c r="F654" s="50"/>
      <c r="G654" s="11"/>
      <c r="H654" s="11"/>
      <c r="I654" s="11"/>
      <c r="J654" s="55"/>
    </row>
    <row r="655">
      <c r="A655" s="11"/>
      <c r="B655" s="11"/>
      <c r="C655" s="11"/>
      <c r="D655" s="11"/>
      <c r="E655" s="55"/>
      <c r="F655" s="50"/>
      <c r="G655" s="11"/>
      <c r="H655" s="11"/>
      <c r="I655" s="11"/>
      <c r="J655" s="55"/>
    </row>
    <row r="656">
      <c r="A656" s="11"/>
      <c r="B656" s="11"/>
      <c r="C656" s="11"/>
      <c r="D656" s="11"/>
      <c r="E656" s="55"/>
      <c r="F656" s="50"/>
      <c r="G656" s="11"/>
      <c r="H656" s="11"/>
      <c r="I656" s="11"/>
      <c r="J656" s="55"/>
    </row>
    <row r="657">
      <c r="A657" s="11"/>
      <c r="B657" s="11"/>
      <c r="C657" s="11"/>
      <c r="D657" s="11"/>
      <c r="E657" s="55"/>
      <c r="F657" s="50"/>
      <c r="G657" s="11"/>
      <c r="H657" s="11"/>
      <c r="I657" s="11"/>
      <c r="J657" s="55"/>
    </row>
    <row r="658">
      <c r="A658" s="11"/>
      <c r="B658" s="11"/>
      <c r="C658" s="11"/>
      <c r="D658" s="11"/>
      <c r="E658" s="55"/>
      <c r="F658" s="50"/>
      <c r="G658" s="11"/>
      <c r="H658" s="11"/>
      <c r="I658" s="11"/>
      <c r="J658" s="55"/>
    </row>
    <row r="659">
      <c r="A659" s="11"/>
      <c r="B659" s="11"/>
      <c r="C659" s="11"/>
      <c r="D659" s="11"/>
      <c r="E659" s="55"/>
      <c r="F659" s="50"/>
      <c r="G659" s="11"/>
      <c r="H659" s="11"/>
      <c r="I659" s="11"/>
      <c r="J659" s="55"/>
    </row>
    <row r="660">
      <c r="A660" s="11"/>
      <c r="B660" s="11"/>
      <c r="C660" s="11"/>
      <c r="D660" s="11"/>
      <c r="E660" s="55"/>
      <c r="F660" s="50"/>
      <c r="G660" s="11"/>
      <c r="H660" s="11"/>
      <c r="I660" s="11"/>
      <c r="J660" s="55"/>
    </row>
    <row r="661">
      <c r="A661" s="11"/>
      <c r="B661" s="11"/>
      <c r="C661" s="11"/>
      <c r="D661" s="11"/>
      <c r="E661" s="55"/>
      <c r="F661" s="50"/>
      <c r="G661" s="11"/>
      <c r="H661" s="11"/>
      <c r="I661" s="11"/>
      <c r="J661" s="55"/>
    </row>
    <row r="662">
      <c r="A662" s="11"/>
      <c r="B662" s="11"/>
      <c r="C662" s="11"/>
      <c r="D662" s="11"/>
      <c r="E662" s="55"/>
      <c r="F662" s="50"/>
      <c r="G662" s="11"/>
      <c r="H662" s="11"/>
      <c r="I662" s="11"/>
      <c r="J662" s="55"/>
    </row>
    <row r="663">
      <c r="A663" s="11"/>
      <c r="B663" s="11"/>
      <c r="C663" s="11"/>
      <c r="D663" s="11"/>
      <c r="E663" s="55"/>
      <c r="F663" s="50"/>
      <c r="G663" s="11"/>
      <c r="H663" s="11"/>
      <c r="I663" s="11"/>
      <c r="J663" s="55"/>
    </row>
    <row r="664">
      <c r="A664" s="11"/>
      <c r="B664" s="11"/>
      <c r="C664" s="11"/>
      <c r="D664" s="11"/>
      <c r="E664" s="55"/>
      <c r="F664" s="50"/>
      <c r="G664" s="11"/>
      <c r="H664" s="11"/>
      <c r="I664" s="11"/>
      <c r="J664" s="55"/>
    </row>
    <row r="665">
      <c r="A665" s="11"/>
      <c r="B665" s="11"/>
      <c r="C665" s="11"/>
      <c r="D665" s="11"/>
      <c r="E665" s="55"/>
      <c r="F665" s="50"/>
      <c r="G665" s="11"/>
      <c r="H665" s="11"/>
      <c r="I665" s="11"/>
      <c r="J665" s="55"/>
    </row>
    <row r="666">
      <c r="A666" s="11"/>
      <c r="B666" s="11"/>
      <c r="C666" s="11"/>
      <c r="D666" s="11"/>
      <c r="E666" s="55"/>
      <c r="F666" s="50"/>
      <c r="G666" s="11"/>
      <c r="H666" s="11"/>
      <c r="I666" s="11"/>
      <c r="J666" s="55"/>
    </row>
    <row r="667">
      <c r="A667" s="11"/>
      <c r="B667" s="11"/>
      <c r="C667" s="11"/>
      <c r="D667" s="11"/>
      <c r="E667" s="55"/>
      <c r="F667" s="50"/>
      <c r="G667" s="11"/>
      <c r="H667" s="11"/>
      <c r="I667" s="11"/>
      <c r="J667" s="55"/>
    </row>
    <row r="668">
      <c r="A668" s="11"/>
      <c r="B668" s="11"/>
      <c r="C668" s="11"/>
      <c r="D668" s="11"/>
      <c r="E668" s="55"/>
      <c r="F668" s="50"/>
      <c r="G668" s="11"/>
      <c r="H668" s="11"/>
      <c r="I668" s="11"/>
      <c r="J668" s="55"/>
    </row>
    <row r="669">
      <c r="A669" s="11"/>
      <c r="B669" s="11"/>
      <c r="C669" s="11"/>
      <c r="D669" s="11"/>
      <c r="E669" s="55"/>
      <c r="F669" s="50"/>
      <c r="G669" s="11"/>
      <c r="H669" s="11"/>
      <c r="I669" s="11"/>
      <c r="J669" s="55"/>
    </row>
    <row r="670">
      <c r="A670" s="11"/>
      <c r="B670" s="11"/>
      <c r="C670" s="11"/>
      <c r="D670" s="11"/>
      <c r="E670" s="55"/>
      <c r="F670" s="50"/>
      <c r="G670" s="11"/>
      <c r="H670" s="11"/>
      <c r="I670" s="11"/>
      <c r="J670" s="55"/>
    </row>
    <row r="671">
      <c r="A671" s="11"/>
      <c r="B671" s="11"/>
      <c r="C671" s="11"/>
      <c r="D671" s="11"/>
      <c r="E671" s="55"/>
      <c r="F671" s="50"/>
      <c r="G671" s="11"/>
      <c r="H671" s="11"/>
      <c r="I671" s="11"/>
      <c r="J671" s="55"/>
    </row>
    <row r="672">
      <c r="A672" s="11"/>
      <c r="B672" s="11"/>
      <c r="C672" s="11"/>
      <c r="D672" s="11"/>
      <c r="E672" s="55"/>
      <c r="F672" s="50"/>
      <c r="G672" s="11"/>
      <c r="H672" s="11"/>
      <c r="I672" s="11"/>
      <c r="J672" s="55"/>
    </row>
    <row r="673">
      <c r="A673" s="11"/>
      <c r="B673" s="11"/>
      <c r="C673" s="11"/>
      <c r="D673" s="11"/>
      <c r="E673" s="55"/>
      <c r="F673" s="50"/>
      <c r="G673" s="11"/>
      <c r="H673" s="11"/>
      <c r="I673" s="11"/>
      <c r="J673" s="55"/>
    </row>
    <row r="674">
      <c r="A674" s="11"/>
      <c r="B674" s="11"/>
      <c r="C674" s="11"/>
      <c r="D674" s="11"/>
      <c r="E674" s="55"/>
      <c r="F674" s="50"/>
      <c r="G674" s="11"/>
      <c r="H674" s="11"/>
      <c r="I674" s="11"/>
      <c r="J674" s="55"/>
    </row>
    <row r="675">
      <c r="A675" s="11"/>
      <c r="B675" s="11"/>
      <c r="C675" s="11"/>
      <c r="D675" s="11"/>
      <c r="E675" s="55"/>
      <c r="F675" s="50"/>
      <c r="G675" s="11"/>
      <c r="H675" s="11"/>
      <c r="I675" s="11"/>
      <c r="J675" s="55"/>
    </row>
    <row r="676">
      <c r="A676" s="11"/>
      <c r="B676" s="11"/>
      <c r="C676" s="11"/>
      <c r="D676" s="11"/>
      <c r="E676" s="55"/>
      <c r="F676" s="50"/>
      <c r="G676" s="11"/>
      <c r="H676" s="11"/>
      <c r="I676" s="11"/>
      <c r="J676" s="55"/>
    </row>
    <row r="677">
      <c r="A677" s="11"/>
      <c r="B677" s="11"/>
      <c r="C677" s="11"/>
      <c r="D677" s="11"/>
      <c r="E677" s="55"/>
      <c r="F677" s="50"/>
      <c r="G677" s="11"/>
      <c r="H677" s="11"/>
      <c r="I677" s="11"/>
      <c r="J677" s="55"/>
    </row>
    <row r="678">
      <c r="A678" s="11"/>
      <c r="B678" s="11"/>
      <c r="C678" s="11"/>
      <c r="D678" s="11"/>
      <c r="E678" s="55"/>
      <c r="F678" s="50"/>
      <c r="G678" s="11"/>
      <c r="H678" s="11"/>
      <c r="I678" s="11"/>
      <c r="J678" s="55"/>
    </row>
    <row r="679">
      <c r="A679" s="11"/>
      <c r="B679" s="11"/>
      <c r="C679" s="11"/>
      <c r="D679" s="11"/>
      <c r="E679" s="55"/>
      <c r="F679" s="50"/>
      <c r="G679" s="11"/>
      <c r="H679" s="11"/>
      <c r="I679" s="11"/>
      <c r="J679" s="55"/>
    </row>
    <row r="680">
      <c r="A680" s="11"/>
      <c r="B680" s="11"/>
      <c r="C680" s="11"/>
      <c r="D680" s="11"/>
      <c r="E680" s="55"/>
      <c r="F680" s="50"/>
      <c r="G680" s="11"/>
      <c r="H680" s="11"/>
      <c r="I680" s="11"/>
      <c r="J680" s="55"/>
    </row>
    <row r="681">
      <c r="A681" s="11"/>
      <c r="B681" s="11"/>
      <c r="C681" s="11"/>
      <c r="D681" s="11"/>
      <c r="E681" s="55"/>
      <c r="F681" s="50"/>
      <c r="G681" s="11"/>
      <c r="H681" s="11"/>
      <c r="I681" s="11"/>
      <c r="J681" s="55"/>
    </row>
    <row r="682">
      <c r="A682" s="11"/>
      <c r="B682" s="11"/>
      <c r="C682" s="11"/>
      <c r="D682" s="11"/>
      <c r="E682" s="55"/>
      <c r="F682" s="50"/>
      <c r="G682" s="11"/>
      <c r="H682" s="11"/>
      <c r="I682" s="11"/>
      <c r="J682" s="55"/>
    </row>
    <row r="683">
      <c r="A683" s="11"/>
      <c r="B683" s="11"/>
      <c r="C683" s="11"/>
      <c r="D683" s="11"/>
      <c r="E683" s="55"/>
      <c r="F683" s="50"/>
      <c r="G683" s="11"/>
      <c r="H683" s="11"/>
      <c r="I683" s="11"/>
      <c r="J683" s="55"/>
    </row>
    <row r="684">
      <c r="A684" s="11"/>
      <c r="B684" s="11"/>
      <c r="C684" s="11"/>
      <c r="D684" s="11"/>
      <c r="E684" s="55"/>
      <c r="F684" s="50"/>
      <c r="G684" s="11"/>
      <c r="H684" s="11"/>
      <c r="I684" s="11"/>
      <c r="J684" s="55"/>
    </row>
    <row r="685">
      <c r="A685" s="11"/>
      <c r="B685" s="11"/>
      <c r="C685" s="11"/>
      <c r="D685" s="11"/>
      <c r="E685" s="55"/>
      <c r="F685" s="50"/>
      <c r="G685" s="11"/>
      <c r="H685" s="11"/>
      <c r="I685" s="11"/>
      <c r="J685" s="55"/>
    </row>
    <row r="686">
      <c r="A686" s="11"/>
      <c r="B686" s="11"/>
      <c r="C686" s="11"/>
      <c r="D686" s="11"/>
      <c r="E686" s="55"/>
      <c r="F686" s="50"/>
      <c r="G686" s="11"/>
      <c r="H686" s="11"/>
      <c r="I686" s="11"/>
      <c r="J686" s="55"/>
    </row>
    <row r="687">
      <c r="A687" s="11"/>
      <c r="B687" s="11"/>
      <c r="C687" s="11"/>
      <c r="D687" s="11"/>
      <c r="E687" s="55"/>
      <c r="F687" s="50"/>
      <c r="G687" s="11"/>
      <c r="H687" s="11"/>
      <c r="I687" s="11"/>
      <c r="J687" s="55"/>
    </row>
    <row r="688">
      <c r="A688" s="11"/>
      <c r="B688" s="11"/>
      <c r="C688" s="11"/>
      <c r="D688" s="11"/>
      <c r="E688" s="55"/>
      <c r="F688" s="50"/>
      <c r="G688" s="11"/>
      <c r="H688" s="11"/>
      <c r="I688" s="11"/>
      <c r="J688" s="55"/>
    </row>
    <row r="689">
      <c r="A689" s="11"/>
      <c r="B689" s="11"/>
      <c r="C689" s="11"/>
      <c r="D689" s="11"/>
      <c r="E689" s="55"/>
      <c r="F689" s="50"/>
      <c r="G689" s="11"/>
      <c r="H689" s="11"/>
      <c r="I689" s="11"/>
      <c r="J689" s="55"/>
    </row>
    <row r="690">
      <c r="A690" s="11"/>
      <c r="B690" s="11"/>
      <c r="C690" s="11"/>
      <c r="D690" s="11"/>
      <c r="E690" s="55"/>
      <c r="F690" s="50"/>
      <c r="G690" s="11"/>
      <c r="H690" s="11"/>
      <c r="I690" s="11"/>
      <c r="J690" s="55"/>
    </row>
    <row r="691">
      <c r="A691" s="11"/>
      <c r="B691" s="11"/>
      <c r="C691" s="11"/>
      <c r="D691" s="11"/>
      <c r="E691" s="55"/>
      <c r="F691" s="50"/>
      <c r="G691" s="11"/>
      <c r="H691" s="11"/>
      <c r="I691" s="11"/>
      <c r="J691" s="55"/>
    </row>
    <row r="692">
      <c r="A692" s="11"/>
      <c r="B692" s="11"/>
      <c r="C692" s="11"/>
      <c r="D692" s="11"/>
      <c r="E692" s="55"/>
      <c r="F692" s="50"/>
      <c r="G692" s="11"/>
      <c r="H692" s="11"/>
      <c r="I692" s="11"/>
      <c r="J692" s="55"/>
    </row>
    <row r="693">
      <c r="A693" s="11"/>
      <c r="B693" s="11"/>
      <c r="C693" s="11"/>
      <c r="D693" s="11"/>
      <c r="E693" s="55"/>
      <c r="F693" s="50"/>
      <c r="G693" s="11"/>
      <c r="H693" s="11"/>
      <c r="I693" s="11"/>
      <c r="J693" s="55"/>
    </row>
    <row r="694">
      <c r="A694" s="11"/>
      <c r="B694" s="11"/>
      <c r="C694" s="11"/>
      <c r="D694" s="11"/>
      <c r="E694" s="55"/>
      <c r="F694" s="50"/>
      <c r="G694" s="11"/>
      <c r="H694" s="11"/>
      <c r="I694" s="11"/>
      <c r="J694" s="55"/>
    </row>
    <row r="695">
      <c r="A695" s="11"/>
      <c r="B695" s="11"/>
      <c r="C695" s="11"/>
      <c r="D695" s="11"/>
      <c r="E695" s="55"/>
      <c r="F695" s="50"/>
      <c r="G695" s="11"/>
      <c r="H695" s="11"/>
      <c r="I695" s="11"/>
      <c r="J695" s="55"/>
    </row>
    <row r="696">
      <c r="A696" s="11"/>
      <c r="B696" s="11"/>
      <c r="C696" s="11"/>
      <c r="D696" s="11"/>
      <c r="E696" s="55"/>
      <c r="F696" s="50"/>
      <c r="G696" s="11"/>
      <c r="H696" s="11"/>
      <c r="I696" s="11"/>
      <c r="J696" s="55"/>
    </row>
    <row r="697">
      <c r="A697" s="11"/>
      <c r="B697" s="11"/>
      <c r="C697" s="11"/>
      <c r="D697" s="11"/>
      <c r="E697" s="55"/>
      <c r="F697" s="50"/>
      <c r="G697" s="11"/>
      <c r="H697" s="11"/>
      <c r="I697" s="11"/>
      <c r="J697" s="55"/>
    </row>
    <row r="698">
      <c r="A698" s="11"/>
      <c r="B698" s="11"/>
      <c r="C698" s="11"/>
      <c r="D698" s="11"/>
      <c r="E698" s="55"/>
      <c r="F698" s="50"/>
      <c r="G698" s="11"/>
      <c r="H698" s="11"/>
      <c r="I698" s="11"/>
      <c r="J698" s="55"/>
    </row>
    <row r="699">
      <c r="A699" s="11"/>
      <c r="B699" s="11"/>
      <c r="C699" s="11"/>
      <c r="D699" s="11"/>
      <c r="E699" s="55"/>
      <c r="F699" s="50"/>
      <c r="G699" s="11"/>
      <c r="H699" s="11"/>
      <c r="I699" s="11"/>
      <c r="J699" s="55"/>
    </row>
    <row r="700">
      <c r="A700" s="11"/>
      <c r="B700" s="11"/>
      <c r="C700" s="11"/>
      <c r="D700" s="11"/>
      <c r="E700" s="55"/>
      <c r="F700" s="50"/>
      <c r="G700" s="11"/>
      <c r="H700" s="11"/>
      <c r="I700" s="11"/>
      <c r="J700" s="55"/>
    </row>
    <row r="701">
      <c r="A701" s="11"/>
      <c r="B701" s="11"/>
      <c r="C701" s="11"/>
      <c r="D701" s="11"/>
      <c r="E701" s="55"/>
      <c r="F701" s="50"/>
      <c r="G701" s="11"/>
      <c r="H701" s="11"/>
      <c r="I701" s="11"/>
      <c r="J701" s="55"/>
    </row>
    <row r="702">
      <c r="A702" s="11"/>
      <c r="B702" s="11"/>
      <c r="C702" s="11"/>
      <c r="D702" s="11"/>
      <c r="E702" s="55"/>
      <c r="F702" s="50"/>
      <c r="G702" s="11"/>
      <c r="H702" s="11"/>
      <c r="I702" s="11"/>
      <c r="J702" s="55"/>
    </row>
    <row r="703">
      <c r="A703" s="11"/>
      <c r="B703" s="11"/>
      <c r="C703" s="11"/>
      <c r="D703" s="11"/>
      <c r="E703" s="55"/>
      <c r="F703" s="50"/>
      <c r="G703" s="11"/>
      <c r="H703" s="11"/>
      <c r="I703" s="11"/>
      <c r="J703" s="55"/>
    </row>
    <row r="704">
      <c r="A704" s="11"/>
      <c r="B704" s="11"/>
      <c r="C704" s="11"/>
      <c r="D704" s="11"/>
      <c r="E704" s="55"/>
      <c r="F704" s="50"/>
      <c r="G704" s="11"/>
      <c r="H704" s="11"/>
      <c r="I704" s="11"/>
      <c r="J704" s="55"/>
    </row>
    <row r="705">
      <c r="A705" s="11"/>
      <c r="B705" s="11"/>
      <c r="C705" s="11"/>
      <c r="D705" s="11"/>
      <c r="E705" s="55"/>
      <c r="F705" s="50"/>
      <c r="G705" s="11"/>
      <c r="H705" s="11"/>
      <c r="I705" s="11"/>
      <c r="J705" s="55"/>
    </row>
    <row r="706">
      <c r="A706" s="11"/>
      <c r="B706" s="11"/>
      <c r="C706" s="11"/>
      <c r="D706" s="11"/>
      <c r="E706" s="55"/>
      <c r="F706" s="50"/>
      <c r="G706" s="11"/>
      <c r="H706" s="11"/>
      <c r="I706" s="11"/>
      <c r="J706" s="55"/>
    </row>
    <row r="707">
      <c r="A707" s="11"/>
      <c r="B707" s="11"/>
      <c r="C707" s="11"/>
      <c r="D707" s="11"/>
      <c r="E707" s="55"/>
      <c r="F707" s="50"/>
      <c r="G707" s="11"/>
      <c r="H707" s="11"/>
      <c r="I707" s="11"/>
      <c r="J707" s="55"/>
    </row>
    <row r="708">
      <c r="A708" s="11"/>
      <c r="B708" s="11"/>
      <c r="C708" s="11"/>
      <c r="D708" s="11"/>
      <c r="E708" s="55"/>
      <c r="F708" s="50"/>
      <c r="G708" s="11"/>
      <c r="H708" s="11"/>
      <c r="I708" s="11"/>
      <c r="J708" s="55"/>
    </row>
    <row r="709">
      <c r="A709" s="11"/>
      <c r="B709" s="11"/>
      <c r="C709" s="11"/>
      <c r="D709" s="11"/>
      <c r="E709" s="55"/>
      <c r="F709" s="50"/>
      <c r="G709" s="11"/>
      <c r="H709" s="11"/>
      <c r="I709" s="11"/>
      <c r="J709" s="55"/>
    </row>
    <row r="710">
      <c r="A710" s="11"/>
      <c r="B710" s="11"/>
      <c r="C710" s="11"/>
      <c r="D710" s="11"/>
      <c r="E710" s="55"/>
      <c r="F710" s="50"/>
      <c r="G710" s="11"/>
      <c r="H710" s="11"/>
      <c r="I710" s="11"/>
      <c r="J710" s="55"/>
    </row>
    <row r="711">
      <c r="A711" s="11"/>
      <c r="B711" s="11"/>
      <c r="C711" s="11"/>
      <c r="D711" s="11"/>
      <c r="E711" s="55"/>
      <c r="F711" s="50"/>
      <c r="G711" s="11"/>
      <c r="H711" s="11"/>
      <c r="I711" s="11"/>
      <c r="J711" s="55"/>
    </row>
    <row r="712">
      <c r="A712" s="11"/>
      <c r="B712" s="11"/>
      <c r="C712" s="11"/>
      <c r="D712" s="11"/>
      <c r="E712" s="55"/>
      <c r="F712" s="50"/>
      <c r="G712" s="11"/>
      <c r="H712" s="11"/>
      <c r="I712" s="11"/>
      <c r="J712" s="55"/>
    </row>
    <row r="713">
      <c r="A713" s="11"/>
      <c r="B713" s="11"/>
      <c r="C713" s="11"/>
      <c r="D713" s="11"/>
      <c r="E713" s="55"/>
      <c r="F713" s="50"/>
      <c r="G713" s="11"/>
      <c r="H713" s="11"/>
      <c r="I713" s="11"/>
      <c r="J713" s="55"/>
    </row>
    <row r="714">
      <c r="A714" s="11"/>
      <c r="B714" s="11"/>
      <c r="C714" s="11"/>
      <c r="D714" s="11"/>
      <c r="E714" s="55"/>
      <c r="F714" s="50"/>
      <c r="G714" s="11"/>
      <c r="H714" s="11"/>
      <c r="I714" s="11"/>
      <c r="J714" s="55"/>
    </row>
    <row r="715">
      <c r="A715" s="11"/>
      <c r="B715" s="11"/>
      <c r="C715" s="11"/>
      <c r="D715" s="11"/>
      <c r="E715" s="55"/>
      <c r="F715" s="50"/>
      <c r="G715" s="11"/>
      <c r="H715" s="11"/>
      <c r="I715" s="11"/>
      <c r="J715" s="55"/>
    </row>
    <row r="716">
      <c r="A716" s="11"/>
      <c r="B716" s="11"/>
      <c r="C716" s="11"/>
      <c r="D716" s="11"/>
      <c r="E716" s="55"/>
      <c r="F716" s="50"/>
      <c r="G716" s="11"/>
      <c r="H716" s="11"/>
      <c r="I716" s="11"/>
      <c r="J716" s="55"/>
    </row>
    <row r="717">
      <c r="A717" s="11"/>
      <c r="B717" s="11"/>
      <c r="C717" s="11"/>
      <c r="D717" s="11"/>
      <c r="E717" s="55"/>
      <c r="F717" s="50"/>
      <c r="G717" s="11"/>
      <c r="H717" s="11"/>
      <c r="I717" s="11"/>
      <c r="J717" s="55"/>
    </row>
    <row r="718">
      <c r="A718" s="11"/>
      <c r="B718" s="11"/>
      <c r="C718" s="11"/>
      <c r="D718" s="11"/>
      <c r="E718" s="55"/>
      <c r="F718" s="50"/>
      <c r="G718" s="11"/>
      <c r="H718" s="11"/>
      <c r="I718" s="11"/>
      <c r="J718" s="55"/>
    </row>
    <row r="719">
      <c r="A719" s="11"/>
      <c r="B719" s="11"/>
      <c r="C719" s="11"/>
      <c r="D719" s="11"/>
      <c r="E719" s="55"/>
      <c r="F719" s="50"/>
      <c r="G719" s="11"/>
      <c r="H719" s="11"/>
      <c r="I719" s="11"/>
      <c r="J719" s="55"/>
    </row>
    <row r="720">
      <c r="A720" s="11"/>
      <c r="B720" s="11"/>
      <c r="C720" s="11"/>
      <c r="D720" s="11"/>
      <c r="E720" s="55"/>
      <c r="F720" s="50"/>
      <c r="G720" s="11"/>
      <c r="H720" s="11"/>
      <c r="I720" s="11"/>
      <c r="J720" s="55"/>
    </row>
    <row r="721">
      <c r="A721" s="11"/>
      <c r="B721" s="11"/>
      <c r="C721" s="11"/>
      <c r="D721" s="11"/>
      <c r="E721" s="55"/>
      <c r="F721" s="50"/>
      <c r="G721" s="11"/>
      <c r="H721" s="11"/>
      <c r="I721" s="11"/>
      <c r="J721" s="55"/>
    </row>
    <row r="722">
      <c r="A722" s="11"/>
      <c r="B722" s="11"/>
      <c r="C722" s="11"/>
      <c r="D722" s="11"/>
      <c r="E722" s="55"/>
      <c r="F722" s="50"/>
      <c r="G722" s="11"/>
      <c r="H722" s="11"/>
      <c r="I722" s="11"/>
      <c r="J722" s="55"/>
    </row>
    <row r="723">
      <c r="A723" s="11"/>
      <c r="B723" s="11"/>
      <c r="C723" s="11"/>
      <c r="D723" s="11"/>
      <c r="E723" s="55"/>
      <c r="F723" s="50"/>
      <c r="G723" s="11"/>
      <c r="H723" s="11"/>
      <c r="I723" s="11"/>
      <c r="J723" s="55"/>
    </row>
    <row r="724">
      <c r="A724" s="11"/>
      <c r="B724" s="11"/>
      <c r="C724" s="11"/>
      <c r="D724" s="11"/>
      <c r="E724" s="55"/>
      <c r="F724" s="50"/>
      <c r="G724" s="11"/>
      <c r="H724" s="11"/>
      <c r="I724" s="11"/>
      <c r="J724" s="55"/>
    </row>
    <row r="725">
      <c r="A725" s="11"/>
      <c r="B725" s="11"/>
      <c r="C725" s="11"/>
      <c r="D725" s="11"/>
      <c r="E725" s="55"/>
      <c r="F725" s="50"/>
      <c r="G725" s="11"/>
      <c r="H725" s="11"/>
      <c r="I725" s="11"/>
      <c r="J725" s="55"/>
    </row>
    <row r="726">
      <c r="A726" s="11"/>
      <c r="B726" s="11"/>
      <c r="C726" s="11"/>
      <c r="D726" s="11"/>
      <c r="E726" s="55"/>
      <c r="F726" s="50"/>
      <c r="G726" s="11"/>
      <c r="H726" s="11"/>
      <c r="I726" s="11"/>
      <c r="J726" s="55"/>
    </row>
    <row r="727">
      <c r="A727" s="11"/>
      <c r="B727" s="11"/>
      <c r="C727" s="11"/>
      <c r="D727" s="11"/>
      <c r="E727" s="55"/>
      <c r="F727" s="50"/>
      <c r="G727" s="11"/>
      <c r="H727" s="11"/>
      <c r="I727" s="11"/>
      <c r="J727" s="55"/>
    </row>
    <row r="728">
      <c r="A728" s="11"/>
      <c r="B728" s="11"/>
      <c r="C728" s="11"/>
      <c r="D728" s="11"/>
      <c r="E728" s="55"/>
      <c r="F728" s="50"/>
      <c r="G728" s="11"/>
      <c r="H728" s="11"/>
      <c r="I728" s="11"/>
      <c r="J728" s="55"/>
    </row>
    <row r="729">
      <c r="A729" s="11"/>
      <c r="B729" s="11"/>
      <c r="C729" s="11"/>
      <c r="D729" s="11"/>
      <c r="E729" s="55"/>
      <c r="F729" s="50"/>
      <c r="G729" s="11"/>
      <c r="H729" s="11"/>
      <c r="I729" s="11"/>
      <c r="J729" s="55"/>
    </row>
    <row r="730">
      <c r="A730" s="11"/>
      <c r="B730" s="11"/>
      <c r="C730" s="11"/>
      <c r="D730" s="11"/>
      <c r="E730" s="55"/>
      <c r="F730" s="50"/>
      <c r="G730" s="11"/>
      <c r="H730" s="11"/>
      <c r="I730" s="11"/>
      <c r="J730" s="55"/>
    </row>
    <row r="731">
      <c r="A731" s="11"/>
      <c r="B731" s="11"/>
      <c r="C731" s="11"/>
      <c r="D731" s="11"/>
      <c r="E731" s="55"/>
      <c r="F731" s="50"/>
      <c r="G731" s="11"/>
      <c r="H731" s="11"/>
      <c r="I731" s="11"/>
      <c r="J731" s="55"/>
    </row>
    <row r="732">
      <c r="A732" s="11"/>
      <c r="B732" s="11"/>
      <c r="C732" s="11"/>
      <c r="D732" s="11"/>
      <c r="E732" s="55"/>
      <c r="F732" s="50"/>
      <c r="G732" s="11"/>
      <c r="H732" s="11"/>
      <c r="I732" s="11"/>
      <c r="J732" s="55"/>
    </row>
    <row r="733">
      <c r="A733" s="11"/>
      <c r="B733" s="11"/>
      <c r="C733" s="11"/>
      <c r="D733" s="11"/>
      <c r="E733" s="55"/>
      <c r="F733" s="50"/>
      <c r="G733" s="11"/>
      <c r="H733" s="11"/>
      <c r="I733" s="11"/>
      <c r="J733" s="55"/>
    </row>
    <row r="734">
      <c r="A734" s="11"/>
      <c r="B734" s="11"/>
      <c r="C734" s="11"/>
      <c r="D734" s="11"/>
      <c r="E734" s="55"/>
      <c r="F734" s="50"/>
      <c r="G734" s="11"/>
      <c r="H734" s="11"/>
      <c r="I734" s="11"/>
      <c r="J734" s="55"/>
    </row>
    <row r="735">
      <c r="A735" s="11"/>
      <c r="B735" s="11"/>
      <c r="C735" s="11"/>
      <c r="D735" s="11"/>
      <c r="E735" s="55"/>
      <c r="F735" s="50"/>
      <c r="G735" s="11"/>
      <c r="H735" s="11"/>
      <c r="I735" s="11"/>
      <c r="J735" s="55"/>
    </row>
    <row r="736">
      <c r="A736" s="11"/>
      <c r="B736" s="11"/>
      <c r="C736" s="11"/>
      <c r="D736" s="11"/>
      <c r="E736" s="55"/>
      <c r="F736" s="50"/>
      <c r="G736" s="11"/>
      <c r="H736" s="11"/>
      <c r="I736" s="11"/>
      <c r="J736" s="55"/>
    </row>
    <row r="737">
      <c r="A737" s="11"/>
      <c r="B737" s="11"/>
      <c r="C737" s="11"/>
      <c r="D737" s="11"/>
      <c r="E737" s="55"/>
      <c r="F737" s="50"/>
      <c r="G737" s="11"/>
      <c r="H737" s="11"/>
      <c r="I737" s="11"/>
      <c r="J737" s="55"/>
    </row>
    <row r="738">
      <c r="A738" s="11"/>
      <c r="B738" s="11"/>
      <c r="C738" s="11"/>
      <c r="D738" s="11"/>
      <c r="E738" s="55"/>
      <c r="F738" s="50"/>
      <c r="G738" s="11"/>
      <c r="H738" s="11"/>
      <c r="I738" s="11"/>
      <c r="J738" s="55"/>
    </row>
    <row r="739">
      <c r="A739" s="11"/>
      <c r="B739" s="11"/>
      <c r="C739" s="11"/>
      <c r="D739" s="11"/>
      <c r="E739" s="55"/>
      <c r="F739" s="50"/>
      <c r="G739" s="11"/>
      <c r="H739" s="11"/>
      <c r="I739" s="11"/>
      <c r="J739" s="55"/>
    </row>
    <row r="740">
      <c r="A740" s="11"/>
      <c r="B740" s="11"/>
      <c r="C740" s="11"/>
      <c r="D740" s="11"/>
      <c r="E740" s="55"/>
      <c r="F740" s="50"/>
      <c r="G740" s="11"/>
      <c r="H740" s="11"/>
      <c r="I740" s="11"/>
      <c r="J740" s="55"/>
    </row>
    <row r="741">
      <c r="A741" s="11"/>
      <c r="B741" s="11"/>
      <c r="C741" s="11"/>
      <c r="D741" s="11"/>
      <c r="E741" s="55"/>
      <c r="F741" s="50"/>
      <c r="G741" s="11"/>
      <c r="H741" s="11"/>
      <c r="I741" s="11"/>
      <c r="J741" s="55"/>
    </row>
    <row r="742">
      <c r="A742" s="11"/>
      <c r="B742" s="11"/>
      <c r="C742" s="11"/>
      <c r="D742" s="11"/>
      <c r="E742" s="55"/>
      <c r="F742" s="50"/>
      <c r="G742" s="11"/>
      <c r="H742" s="11"/>
      <c r="I742" s="11"/>
      <c r="J742" s="55"/>
    </row>
    <row r="743">
      <c r="A743" s="11"/>
      <c r="B743" s="11"/>
      <c r="C743" s="11"/>
      <c r="D743" s="11"/>
      <c r="E743" s="55"/>
      <c r="F743" s="50"/>
      <c r="G743" s="11"/>
      <c r="H743" s="11"/>
      <c r="I743" s="11"/>
      <c r="J743" s="55"/>
    </row>
    <row r="744">
      <c r="A744" s="11"/>
      <c r="B744" s="11"/>
      <c r="C744" s="11"/>
      <c r="D744" s="11"/>
      <c r="E744" s="55"/>
      <c r="F744" s="50"/>
      <c r="G744" s="11"/>
      <c r="H744" s="11"/>
      <c r="I744" s="11"/>
      <c r="J744" s="55"/>
    </row>
    <row r="745">
      <c r="A745" s="11"/>
      <c r="B745" s="11"/>
      <c r="C745" s="11"/>
      <c r="D745" s="11"/>
      <c r="E745" s="55"/>
      <c r="F745" s="50"/>
      <c r="G745" s="11"/>
      <c r="H745" s="11"/>
      <c r="I745" s="11"/>
      <c r="J745" s="55"/>
    </row>
    <row r="746">
      <c r="A746" s="11"/>
      <c r="B746" s="11"/>
      <c r="C746" s="11"/>
      <c r="D746" s="11"/>
      <c r="E746" s="55"/>
      <c r="F746" s="50"/>
      <c r="G746" s="11"/>
      <c r="H746" s="11"/>
      <c r="I746" s="11"/>
      <c r="J746" s="55"/>
    </row>
    <row r="747">
      <c r="A747" s="11"/>
      <c r="B747" s="11"/>
      <c r="C747" s="11"/>
      <c r="D747" s="11"/>
      <c r="E747" s="55"/>
      <c r="F747" s="50"/>
      <c r="G747" s="11"/>
      <c r="H747" s="11"/>
      <c r="I747" s="11"/>
      <c r="J747" s="55"/>
    </row>
    <row r="748">
      <c r="A748" s="11"/>
      <c r="B748" s="11"/>
      <c r="C748" s="11"/>
      <c r="D748" s="11"/>
      <c r="E748" s="55"/>
      <c r="F748" s="50"/>
      <c r="G748" s="11"/>
      <c r="H748" s="11"/>
      <c r="I748" s="11"/>
      <c r="J748" s="55"/>
    </row>
    <row r="749">
      <c r="A749" s="11"/>
      <c r="B749" s="11"/>
      <c r="C749" s="11"/>
      <c r="D749" s="11"/>
      <c r="E749" s="55"/>
      <c r="F749" s="50"/>
      <c r="G749" s="11"/>
      <c r="H749" s="11"/>
      <c r="I749" s="11"/>
      <c r="J749" s="55"/>
    </row>
    <row r="750">
      <c r="A750" s="11"/>
      <c r="B750" s="11"/>
      <c r="C750" s="11"/>
      <c r="D750" s="11"/>
      <c r="E750" s="55"/>
      <c r="F750" s="50"/>
      <c r="G750" s="11"/>
      <c r="H750" s="11"/>
      <c r="I750" s="11"/>
      <c r="J750" s="55"/>
    </row>
    <row r="751">
      <c r="A751" s="11"/>
      <c r="B751" s="11"/>
      <c r="C751" s="11"/>
      <c r="D751" s="11"/>
      <c r="E751" s="55"/>
      <c r="F751" s="50"/>
      <c r="G751" s="11"/>
      <c r="H751" s="11"/>
      <c r="I751" s="11"/>
      <c r="J751" s="55"/>
    </row>
    <row r="752">
      <c r="A752" s="11"/>
      <c r="B752" s="11"/>
      <c r="C752" s="11"/>
      <c r="D752" s="11"/>
      <c r="E752" s="55"/>
      <c r="F752" s="50"/>
      <c r="G752" s="11"/>
      <c r="H752" s="11"/>
      <c r="I752" s="11"/>
      <c r="J752" s="55"/>
    </row>
    <row r="753">
      <c r="A753" s="11"/>
      <c r="B753" s="11"/>
      <c r="C753" s="11"/>
      <c r="D753" s="11"/>
      <c r="E753" s="55"/>
      <c r="F753" s="50"/>
      <c r="G753" s="11"/>
      <c r="H753" s="11"/>
      <c r="I753" s="11"/>
      <c r="J753" s="55"/>
    </row>
    <row r="754">
      <c r="A754" s="11"/>
      <c r="B754" s="11"/>
      <c r="C754" s="11"/>
      <c r="D754" s="11"/>
      <c r="E754" s="55"/>
      <c r="F754" s="50"/>
      <c r="G754" s="11"/>
      <c r="H754" s="11"/>
      <c r="I754" s="11"/>
      <c r="J754" s="55"/>
    </row>
    <row r="755">
      <c r="A755" s="11"/>
      <c r="B755" s="11"/>
      <c r="C755" s="11"/>
      <c r="D755" s="11"/>
      <c r="E755" s="55"/>
      <c r="F755" s="50"/>
      <c r="G755" s="11"/>
      <c r="H755" s="11"/>
      <c r="I755" s="11"/>
      <c r="J755" s="55"/>
    </row>
    <row r="756">
      <c r="A756" s="11"/>
      <c r="B756" s="11"/>
      <c r="C756" s="11"/>
      <c r="D756" s="11"/>
      <c r="E756" s="55"/>
      <c r="F756" s="50"/>
      <c r="G756" s="11"/>
      <c r="H756" s="11"/>
      <c r="I756" s="11"/>
      <c r="J756" s="55"/>
    </row>
    <row r="757">
      <c r="A757" s="11"/>
      <c r="B757" s="11"/>
      <c r="C757" s="11"/>
      <c r="D757" s="11"/>
      <c r="E757" s="55"/>
      <c r="F757" s="50"/>
      <c r="G757" s="11"/>
      <c r="H757" s="11"/>
      <c r="I757" s="11"/>
      <c r="J757" s="55"/>
    </row>
    <row r="758">
      <c r="A758" s="11"/>
      <c r="B758" s="11"/>
      <c r="C758" s="11"/>
      <c r="D758" s="11"/>
      <c r="E758" s="55"/>
      <c r="F758" s="50"/>
      <c r="G758" s="11"/>
      <c r="H758" s="11"/>
      <c r="I758" s="11"/>
      <c r="J758" s="55"/>
    </row>
    <row r="759">
      <c r="A759" s="11"/>
      <c r="B759" s="11"/>
      <c r="C759" s="11"/>
      <c r="D759" s="11"/>
      <c r="E759" s="55"/>
      <c r="F759" s="50"/>
      <c r="G759" s="11"/>
      <c r="H759" s="11"/>
      <c r="I759" s="11"/>
      <c r="J759" s="55"/>
    </row>
    <row r="760">
      <c r="A760" s="11"/>
      <c r="B760" s="11"/>
      <c r="C760" s="11"/>
      <c r="D760" s="11"/>
      <c r="E760" s="55"/>
      <c r="F760" s="50"/>
      <c r="G760" s="11"/>
      <c r="H760" s="11"/>
      <c r="I760" s="11"/>
      <c r="J760" s="55"/>
    </row>
    <row r="761">
      <c r="A761" s="11"/>
      <c r="B761" s="11"/>
      <c r="C761" s="11"/>
      <c r="D761" s="11"/>
      <c r="E761" s="55"/>
      <c r="F761" s="50"/>
      <c r="G761" s="11"/>
      <c r="H761" s="11"/>
      <c r="I761" s="11"/>
      <c r="J761" s="55"/>
    </row>
    <row r="762">
      <c r="A762" s="11"/>
      <c r="B762" s="11"/>
      <c r="C762" s="11"/>
      <c r="D762" s="11"/>
      <c r="E762" s="55"/>
      <c r="F762" s="50"/>
      <c r="G762" s="11"/>
      <c r="H762" s="11"/>
      <c r="I762" s="11"/>
      <c r="J762" s="55"/>
    </row>
    <row r="763">
      <c r="A763" s="11"/>
      <c r="B763" s="11"/>
      <c r="C763" s="11"/>
      <c r="D763" s="11"/>
      <c r="E763" s="55"/>
      <c r="F763" s="50"/>
      <c r="G763" s="11"/>
      <c r="H763" s="11"/>
      <c r="I763" s="11"/>
      <c r="J763" s="55"/>
    </row>
    <row r="764">
      <c r="A764" s="11"/>
      <c r="B764" s="11"/>
      <c r="C764" s="11"/>
      <c r="D764" s="11"/>
      <c r="E764" s="55"/>
      <c r="F764" s="50"/>
      <c r="G764" s="11"/>
      <c r="H764" s="11"/>
      <c r="I764" s="11"/>
      <c r="J764" s="55"/>
    </row>
    <row r="765">
      <c r="A765" s="11"/>
      <c r="B765" s="11"/>
      <c r="C765" s="11"/>
      <c r="D765" s="11"/>
      <c r="E765" s="55"/>
      <c r="F765" s="50"/>
      <c r="G765" s="11"/>
      <c r="H765" s="11"/>
      <c r="I765" s="11"/>
      <c r="J765" s="55"/>
    </row>
    <row r="766">
      <c r="A766" s="11"/>
      <c r="B766" s="11"/>
      <c r="C766" s="11"/>
      <c r="D766" s="11"/>
      <c r="E766" s="55"/>
      <c r="F766" s="50"/>
      <c r="G766" s="11"/>
      <c r="H766" s="11"/>
      <c r="I766" s="11"/>
      <c r="J766" s="55"/>
    </row>
    <row r="767">
      <c r="A767" s="11"/>
      <c r="B767" s="11"/>
      <c r="C767" s="11"/>
      <c r="D767" s="11"/>
      <c r="E767" s="55"/>
      <c r="F767" s="50"/>
      <c r="G767" s="11"/>
      <c r="H767" s="11"/>
      <c r="I767" s="11"/>
      <c r="J767" s="55"/>
    </row>
    <row r="768">
      <c r="A768" s="11"/>
      <c r="B768" s="11"/>
      <c r="C768" s="11"/>
      <c r="D768" s="11"/>
      <c r="E768" s="55"/>
      <c r="F768" s="50"/>
      <c r="G768" s="11"/>
      <c r="H768" s="11"/>
      <c r="I768" s="11"/>
      <c r="J768" s="55"/>
    </row>
    <row r="769">
      <c r="A769" s="11"/>
      <c r="B769" s="11"/>
      <c r="C769" s="11"/>
      <c r="D769" s="11"/>
      <c r="E769" s="55"/>
      <c r="F769" s="50"/>
      <c r="G769" s="11"/>
      <c r="H769" s="11"/>
      <c r="I769" s="11"/>
      <c r="J769" s="55"/>
    </row>
    <row r="770">
      <c r="A770" s="11"/>
      <c r="B770" s="11"/>
      <c r="C770" s="11"/>
      <c r="D770" s="11"/>
      <c r="E770" s="55"/>
      <c r="F770" s="50"/>
      <c r="G770" s="11"/>
      <c r="H770" s="11"/>
      <c r="I770" s="11"/>
      <c r="J770" s="55"/>
    </row>
    <row r="771">
      <c r="A771" s="11"/>
      <c r="B771" s="11"/>
      <c r="C771" s="11"/>
      <c r="D771" s="11"/>
      <c r="E771" s="55"/>
      <c r="F771" s="50"/>
      <c r="G771" s="11"/>
      <c r="H771" s="11"/>
      <c r="I771" s="11"/>
      <c r="J771" s="55"/>
    </row>
    <row r="772">
      <c r="A772" s="11"/>
      <c r="B772" s="11"/>
      <c r="C772" s="11"/>
      <c r="D772" s="11"/>
      <c r="E772" s="55"/>
      <c r="F772" s="50"/>
      <c r="G772" s="11"/>
      <c r="H772" s="11"/>
      <c r="I772" s="11"/>
      <c r="J772" s="55"/>
    </row>
    <row r="773">
      <c r="A773" s="11"/>
      <c r="B773" s="11"/>
      <c r="C773" s="11"/>
      <c r="D773" s="11"/>
      <c r="E773" s="55"/>
      <c r="F773" s="50"/>
      <c r="G773" s="11"/>
      <c r="H773" s="11"/>
      <c r="I773" s="11"/>
      <c r="J773" s="55"/>
    </row>
    <row r="774">
      <c r="A774" s="11"/>
      <c r="B774" s="11"/>
      <c r="C774" s="11"/>
      <c r="D774" s="11"/>
      <c r="E774" s="55"/>
      <c r="F774" s="50"/>
      <c r="G774" s="11"/>
      <c r="H774" s="11"/>
      <c r="I774" s="11"/>
      <c r="J774" s="55"/>
    </row>
    <row r="775">
      <c r="A775" s="11"/>
      <c r="B775" s="11"/>
      <c r="C775" s="11"/>
      <c r="D775" s="11"/>
      <c r="E775" s="55"/>
      <c r="F775" s="50"/>
      <c r="G775" s="11"/>
      <c r="H775" s="11"/>
      <c r="I775" s="11"/>
      <c r="J775" s="55"/>
    </row>
    <row r="776">
      <c r="A776" s="11"/>
      <c r="B776" s="11"/>
      <c r="C776" s="11"/>
      <c r="D776" s="11"/>
      <c r="E776" s="55"/>
      <c r="F776" s="50"/>
      <c r="G776" s="11"/>
      <c r="H776" s="11"/>
      <c r="I776" s="11"/>
      <c r="J776" s="55"/>
    </row>
    <row r="777">
      <c r="A777" s="11"/>
      <c r="B777" s="11"/>
      <c r="C777" s="11"/>
      <c r="D777" s="11"/>
      <c r="E777" s="55"/>
      <c r="F777" s="50"/>
      <c r="G777" s="11"/>
      <c r="H777" s="11"/>
      <c r="I777" s="11"/>
      <c r="J777" s="55"/>
    </row>
    <row r="778">
      <c r="A778" s="11"/>
      <c r="B778" s="11"/>
      <c r="C778" s="11"/>
      <c r="D778" s="11"/>
      <c r="E778" s="55"/>
      <c r="F778" s="50"/>
      <c r="G778" s="11"/>
      <c r="H778" s="11"/>
      <c r="I778" s="11"/>
      <c r="J778" s="55"/>
    </row>
    <row r="779">
      <c r="A779" s="11"/>
      <c r="B779" s="11"/>
      <c r="C779" s="11"/>
      <c r="D779" s="11"/>
      <c r="E779" s="55"/>
      <c r="F779" s="50"/>
      <c r="G779" s="11"/>
      <c r="H779" s="11"/>
      <c r="I779" s="11"/>
      <c r="J779" s="55"/>
    </row>
    <row r="780">
      <c r="A780" s="11"/>
      <c r="B780" s="11"/>
      <c r="C780" s="11"/>
      <c r="D780" s="11"/>
      <c r="E780" s="55"/>
      <c r="F780" s="50"/>
      <c r="G780" s="11"/>
      <c r="H780" s="11"/>
      <c r="I780" s="11"/>
      <c r="J780" s="55"/>
    </row>
    <row r="781">
      <c r="A781" s="11"/>
      <c r="B781" s="11"/>
      <c r="C781" s="11"/>
      <c r="D781" s="11"/>
      <c r="E781" s="55"/>
      <c r="F781" s="50"/>
      <c r="G781" s="11"/>
      <c r="H781" s="11"/>
      <c r="I781" s="11"/>
      <c r="J781" s="55"/>
    </row>
    <row r="782">
      <c r="A782" s="11"/>
      <c r="B782" s="11"/>
      <c r="C782" s="11"/>
      <c r="D782" s="11"/>
      <c r="E782" s="55"/>
      <c r="F782" s="50"/>
      <c r="G782" s="11"/>
      <c r="H782" s="11"/>
      <c r="I782" s="11"/>
      <c r="J782" s="55"/>
    </row>
    <row r="783">
      <c r="A783" s="11"/>
      <c r="B783" s="11"/>
      <c r="C783" s="11"/>
      <c r="D783" s="11"/>
      <c r="E783" s="55"/>
      <c r="F783" s="50"/>
      <c r="G783" s="11"/>
      <c r="H783" s="11"/>
      <c r="I783" s="11"/>
      <c r="J783" s="55"/>
    </row>
    <row r="784">
      <c r="A784" s="11"/>
      <c r="B784" s="11"/>
      <c r="C784" s="11"/>
      <c r="D784" s="11"/>
      <c r="E784" s="55"/>
      <c r="F784" s="50"/>
      <c r="G784" s="11"/>
      <c r="H784" s="11"/>
      <c r="I784" s="11"/>
      <c r="J784" s="55"/>
    </row>
    <row r="785">
      <c r="A785" s="11"/>
      <c r="B785" s="11"/>
      <c r="C785" s="11"/>
      <c r="D785" s="11"/>
      <c r="E785" s="55"/>
      <c r="F785" s="50"/>
      <c r="G785" s="11"/>
      <c r="H785" s="11"/>
      <c r="I785" s="11"/>
      <c r="J785" s="55"/>
    </row>
    <row r="786">
      <c r="A786" s="11"/>
      <c r="B786" s="11"/>
      <c r="C786" s="11"/>
      <c r="D786" s="11"/>
      <c r="E786" s="55"/>
      <c r="F786" s="50"/>
      <c r="G786" s="11"/>
      <c r="H786" s="11"/>
      <c r="I786" s="11"/>
      <c r="J786" s="55"/>
    </row>
    <row r="787">
      <c r="A787" s="11"/>
      <c r="B787" s="11"/>
      <c r="C787" s="11"/>
      <c r="D787" s="11"/>
      <c r="E787" s="55"/>
      <c r="F787" s="50"/>
      <c r="G787" s="11"/>
      <c r="H787" s="11"/>
      <c r="I787" s="11"/>
      <c r="J787" s="55"/>
    </row>
    <row r="788">
      <c r="A788" s="11"/>
      <c r="B788" s="11"/>
      <c r="C788" s="11"/>
      <c r="D788" s="11"/>
      <c r="E788" s="55"/>
      <c r="F788" s="50"/>
      <c r="G788" s="11"/>
      <c r="H788" s="11"/>
      <c r="I788" s="11"/>
      <c r="J788" s="55"/>
    </row>
    <row r="789">
      <c r="A789" s="11"/>
      <c r="B789" s="11"/>
      <c r="C789" s="11"/>
      <c r="D789" s="11"/>
      <c r="E789" s="55"/>
      <c r="F789" s="50"/>
      <c r="G789" s="11"/>
      <c r="H789" s="11"/>
      <c r="I789" s="11"/>
      <c r="J789" s="55"/>
    </row>
    <row r="790">
      <c r="A790" s="11"/>
      <c r="B790" s="11"/>
      <c r="C790" s="11"/>
      <c r="D790" s="11"/>
      <c r="E790" s="55"/>
      <c r="F790" s="50"/>
      <c r="G790" s="11"/>
      <c r="H790" s="11"/>
      <c r="I790" s="11"/>
      <c r="J790" s="55"/>
    </row>
    <row r="791">
      <c r="A791" s="11"/>
      <c r="B791" s="11"/>
      <c r="C791" s="11"/>
      <c r="D791" s="11"/>
      <c r="E791" s="55"/>
      <c r="F791" s="50"/>
      <c r="G791" s="11"/>
      <c r="H791" s="11"/>
      <c r="I791" s="11"/>
      <c r="J791" s="55"/>
    </row>
    <row r="792">
      <c r="A792" s="11"/>
      <c r="B792" s="11"/>
      <c r="C792" s="11"/>
      <c r="D792" s="11"/>
      <c r="E792" s="55"/>
      <c r="F792" s="50"/>
      <c r="G792" s="11"/>
      <c r="H792" s="11"/>
      <c r="I792" s="11"/>
      <c r="J792" s="55"/>
    </row>
    <row r="793">
      <c r="A793" s="11"/>
      <c r="B793" s="11"/>
      <c r="C793" s="11"/>
      <c r="D793" s="11"/>
      <c r="E793" s="55"/>
      <c r="F793" s="50"/>
      <c r="G793" s="11"/>
      <c r="H793" s="11"/>
      <c r="I793" s="11"/>
      <c r="J793" s="55"/>
    </row>
    <row r="794">
      <c r="A794" s="11"/>
      <c r="B794" s="11"/>
      <c r="C794" s="11"/>
      <c r="D794" s="11"/>
      <c r="E794" s="55"/>
      <c r="F794" s="50"/>
      <c r="G794" s="11"/>
      <c r="H794" s="11"/>
      <c r="I794" s="11"/>
      <c r="J794" s="55"/>
    </row>
    <row r="795">
      <c r="A795" s="11"/>
      <c r="B795" s="11"/>
      <c r="C795" s="11"/>
      <c r="D795" s="11"/>
      <c r="E795" s="55"/>
      <c r="F795" s="50"/>
      <c r="G795" s="11"/>
      <c r="H795" s="11"/>
      <c r="I795" s="11"/>
      <c r="J795" s="55"/>
    </row>
    <row r="796">
      <c r="A796" s="11"/>
      <c r="B796" s="11"/>
      <c r="C796" s="11"/>
      <c r="D796" s="11"/>
      <c r="E796" s="55"/>
      <c r="F796" s="50"/>
      <c r="G796" s="11"/>
      <c r="H796" s="11"/>
      <c r="I796" s="11"/>
      <c r="J796" s="55"/>
    </row>
    <row r="797">
      <c r="A797" s="11"/>
      <c r="B797" s="11"/>
      <c r="C797" s="11"/>
      <c r="D797" s="11"/>
      <c r="E797" s="55"/>
      <c r="F797" s="50"/>
      <c r="G797" s="11"/>
      <c r="H797" s="11"/>
      <c r="I797" s="11"/>
      <c r="J797" s="55"/>
    </row>
    <row r="798">
      <c r="A798" s="11"/>
      <c r="B798" s="11"/>
      <c r="C798" s="11"/>
      <c r="D798" s="11"/>
      <c r="E798" s="55"/>
      <c r="F798" s="50"/>
      <c r="G798" s="11"/>
      <c r="H798" s="11"/>
      <c r="I798" s="11"/>
      <c r="J798" s="55"/>
    </row>
    <row r="799">
      <c r="A799" s="11"/>
      <c r="B799" s="11"/>
      <c r="C799" s="11"/>
      <c r="D799" s="11"/>
      <c r="E799" s="55"/>
      <c r="F799" s="50"/>
      <c r="G799" s="11"/>
      <c r="H799" s="11"/>
      <c r="I799" s="11"/>
      <c r="J799" s="55"/>
    </row>
    <row r="800">
      <c r="A800" s="11"/>
      <c r="B800" s="11"/>
      <c r="C800" s="11"/>
      <c r="D800" s="11"/>
      <c r="E800" s="55"/>
      <c r="F800" s="50"/>
      <c r="G800" s="11"/>
      <c r="H800" s="11"/>
      <c r="I800" s="11"/>
      <c r="J800" s="55"/>
    </row>
    <row r="801">
      <c r="A801" s="11"/>
      <c r="B801" s="11"/>
      <c r="C801" s="11"/>
      <c r="D801" s="11"/>
      <c r="E801" s="55"/>
      <c r="F801" s="50"/>
      <c r="G801" s="11"/>
      <c r="H801" s="11"/>
      <c r="I801" s="11"/>
      <c r="J801" s="55"/>
    </row>
    <row r="802">
      <c r="A802" s="11"/>
      <c r="B802" s="11"/>
      <c r="C802" s="11"/>
      <c r="D802" s="11"/>
      <c r="E802" s="55"/>
      <c r="F802" s="50"/>
      <c r="G802" s="11"/>
      <c r="H802" s="11"/>
      <c r="I802" s="11"/>
      <c r="J802" s="55"/>
    </row>
    <row r="803">
      <c r="A803" s="11"/>
      <c r="B803" s="11"/>
      <c r="C803" s="11"/>
      <c r="D803" s="11"/>
      <c r="E803" s="55"/>
      <c r="F803" s="50"/>
      <c r="G803" s="11"/>
      <c r="H803" s="11"/>
      <c r="I803" s="11"/>
      <c r="J803" s="55"/>
    </row>
    <row r="804">
      <c r="A804" s="11"/>
      <c r="B804" s="11"/>
      <c r="C804" s="11"/>
      <c r="D804" s="11"/>
      <c r="E804" s="55"/>
      <c r="F804" s="50"/>
      <c r="G804" s="11"/>
      <c r="H804" s="11"/>
      <c r="I804" s="11"/>
      <c r="J804" s="55"/>
    </row>
    <row r="805">
      <c r="A805" s="11"/>
      <c r="B805" s="11"/>
      <c r="C805" s="11"/>
      <c r="D805" s="11"/>
      <c r="E805" s="55"/>
      <c r="F805" s="50"/>
      <c r="G805" s="11"/>
      <c r="H805" s="11"/>
      <c r="I805" s="11"/>
      <c r="J805" s="55"/>
    </row>
    <row r="806">
      <c r="A806" s="11"/>
      <c r="B806" s="11"/>
      <c r="C806" s="11"/>
      <c r="D806" s="11"/>
      <c r="E806" s="55"/>
      <c r="F806" s="50"/>
      <c r="G806" s="11"/>
      <c r="H806" s="11"/>
      <c r="I806" s="11"/>
      <c r="J806" s="55"/>
    </row>
    <row r="807">
      <c r="A807" s="11"/>
      <c r="B807" s="11"/>
      <c r="C807" s="11"/>
      <c r="D807" s="11"/>
      <c r="E807" s="55"/>
      <c r="F807" s="50"/>
      <c r="G807" s="11"/>
      <c r="H807" s="11"/>
      <c r="I807" s="11"/>
      <c r="J807" s="55"/>
    </row>
    <row r="808">
      <c r="A808" s="11"/>
      <c r="B808" s="11"/>
      <c r="C808" s="11"/>
      <c r="D808" s="11"/>
      <c r="E808" s="55"/>
      <c r="F808" s="50"/>
      <c r="G808" s="11"/>
      <c r="H808" s="11"/>
      <c r="I808" s="11"/>
      <c r="J808" s="55"/>
    </row>
    <row r="809">
      <c r="A809" s="11"/>
      <c r="B809" s="11"/>
      <c r="C809" s="11"/>
      <c r="D809" s="11"/>
      <c r="E809" s="55"/>
      <c r="F809" s="50"/>
      <c r="G809" s="11"/>
      <c r="H809" s="11"/>
      <c r="I809" s="11"/>
      <c r="J809" s="55"/>
    </row>
    <row r="810">
      <c r="A810" s="11"/>
      <c r="B810" s="11"/>
      <c r="C810" s="11"/>
      <c r="D810" s="11"/>
      <c r="E810" s="55"/>
      <c r="F810" s="50"/>
      <c r="G810" s="11"/>
      <c r="H810" s="11"/>
      <c r="I810" s="11"/>
      <c r="J810" s="55"/>
    </row>
    <row r="811">
      <c r="A811" s="11"/>
      <c r="B811" s="11"/>
      <c r="C811" s="11"/>
      <c r="D811" s="11"/>
      <c r="E811" s="55"/>
      <c r="F811" s="50"/>
      <c r="G811" s="11"/>
      <c r="H811" s="11"/>
      <c r="I811" s="11"/>
      <c r="J811" s="55"/>
    </row>
    <row r="812">
      <c r="A812" s="11"/>
      <c r="B812" s="11"/>
      <c r="C812" s="11"/>
      <c r="D812" s="11"/>
      <c r="E812" s="55"/>
      <c r="F812" s="50"/>
      <c r="G812" s="11"/>
      <c r="H812" s="11"/>
      <c r="I812" s="11"/>
      <c r="J812" s="55"/>
    </row>
    <row r="813">
      <c r="A813" s="11"/>
      <c r="B813" s="11"/>
      <c r="C813" s="11"/>
      <c r="D813" s="11"/>
      <c r="E813" s="55"/>
      <c r="F813" s="50"/>
      <c r="G813" s="11"/>
      <c r="H813" s="11"/>
      <c r="I813" s="11"/>
      <c r="J813" s="55"/>
    </row>
    <row r="814">
      <c r="A814" s="11"/>
      <c r="B814" s="11"/>
      <c r="C814" s="11"/>
      <c r="D814" s="11"/>
      <c r="E814" s="55"/>
      <c r="F814" s="50"/>
      <c r="G814" s="11"/>
      <c r="H814" s="11"/>
      <c r="I814" s="11"/>
      <c r="J814" s="55"/>
    </row>
    <row r="815">
      <c r="A815" s="11"/>
      <c r="B815" s="11"/>
      <c r="C815" s="11"/>
      <c r="D815" s="11"/>
      <c r="E815" s="55"/>
      <c r="F815" s="50"/>
      <c r="G815" s="11"/>
      <c r="H815" s="11"/>
      <c r="I815" s="11"/>
      <c r="J815" s="55"/>
    </row>
    <row r="816">
      <c r="A816" s="11"/>
      <c r="B816" s="11"/>
      <c r="C816" s="11"/>
      <c r="D816" s="11"/>
      <c r="E816" s="55"/>
      <c r="F816" s="50"/>
      <c r="G816" s="11"/>
      <c r="H816" s="11"/>
      <c r="I816" s="11"/>
      <c r="J816" s="55"/>
    </row>
    <row r="817">
      <c r="A817" s="11"/>
      <c r="B817" s="11"/>
      <c r="C817" s="11"/>
      <c r="D817" s="11"/>
      <c r="E817" s="55"/>
      <c r="F817" s="50"/>
      <c r="G817" s="11"/>
      <c r="H817" s="11"/>
      <c r="I817" s="11"/>
      <c r="J817" s="55"/>
    </row>
    <row r="818">
      <c r="A818" s="11"/>
      <c r="B818" s="11"/>
      <c r="C818" s="11"/>
      <c r="D818" s="11"/>
      <c r="E818" s="55"/>
      <c r="F818" s="50"/>
      <c r="G818" s="11"/>
      <c r="H818" s="11"/>
      <c r="I818" s="11"/>
      <c r="J818" s="55"/>
    </row>
    <row r="819">
      <c r="A819" s="11"/>
      <c r="B819" s="11"/>
      <c r="C819" s="11"/>
      <c r="D819" s="11"/>
      <c r="E819" s="55"/>
      <c r="F819" s="50"/>
      <c r="G819" s="11"/>
      <c r="H819" s="11"/>
      <c r="I819" s="11"/>
      <c r="J819" s="55"/>
    </row>
    <row r="820">
      <c r="A820" s="11"/>
      <c r="B820" s="11"/>
      <c r="C820" s="11"/>
      <c r="D820" s="11"/>
      <c r="E820" s="55"/>
      <c r="F820" s="50"/>
      <c r="G820" s="11"/>
      <c r="H820" s="11"/>
      <c r="I820" s="11"/>
      <c r="J820" s="55"/>
    </row>
    <row r="821">
      <c r="A821" s="11"/>
      <c r="B821" s="11"/>
      <c r="C821" s="11"/>
      <c r="D821" s="11"/>
      <c r="E821" s="55"/>
      <c r="F821" s="50"/>
      <c r="G821" s="11"/>
      <c r="H821" s="11"/>
      <c r="I821" s="11"/>
      <c r="J821" s="55"/>
    </row>
    <row r="822">
      <c r="A822" s="11"/>
      <c r="B822" s="11"/>
      <c r="C822" s="11"/>
      <c r="D822" s="11"/>
      <c r="E822" s="55"/>
      <c r="F822" s="50"/>
      <c r="G822" s="11"/>
      <c r="H822" s="11"/>
      <c r="I822" s="11"/>
      <c r="J822" s="55"/>
    </row>
    <row r="823">
      <c r="A823" s="11"/>
      <c r="B823" s="11"/>
      <c r="C823" s="11"/>
      <c r="D823" s="11"/>
      <c r="E823" s="55"/>
      <c r="F823" s="50"/>
      <c r="G823" s="11"/>
      <c r="H823" s="11"/>
      <c r="I823" s="11"/>
      <c r="J823" s="55"/>
    </row>
    <row r="824">
      <c r="A824" s="11"/>
      <c r="B824" s="11"/>
      <c r="C824" s="11"/>
      <c r="D824" s="11"/>
      <c r="E824" s="55"/>
      <c r="F824" s="50"/>
      <c r="G824" s="11"/>
      <c r="H824" s="11"/>
      <c r="I824" s="11"/>
      <c r="J824" s="55"/>
    </row>
    <row r="825">
      <c r="A825" s="11"/>
      <c r="B825" s="11"/>
      <c r="C825" s="11"/>
      <c r="D825" s="11"/>
      <c r="E825" s="55"/>
      <c r="F825" s="50"/>
      <c r="G825" s="11"/>
      <c r="H825" s="11"/>
      <c r="I825" s="11"/>
      <c r="J825" s="55"/>
    </row>
    <row r="826">
      <c r="A826" s="11"/>
      <c r="B826" s="11"/>
      <c r="C826" s="11"/>
      <c r="D826" s="11"/>
      <c r="E826" s="55"/>
      <c r="F826" s="50"/>
      <c r="G826" s="11"/>
      <c r="H826" s="11"/>
      <c r="I826" s="11"/>
      <c r="J826" s="55"/>
    </row>
    <row r="827">
      <c r="A827" s="11"/>
      <c r="B827" s="11"/>
      <c r="C827" s="11"/>
      <c r="D827" s="11"/>
      <c r="E827" s="55"/>
      <c r="F827" s="50"/>
      <c r="G827" s="11"/>
      <c r="H827" s="11"/>
      <c r="I827" s="11"/>
      <c r="J827" s="55"/>
    </row>
    <row r="828">
      <c r="A828" s="11"/>
      <c r="B828" s="11"/>
      <c r="C828" s="11"/>
      <c r="D828" s="11"/>
      <c r="E828" s="55"/>
      <c r="F828" s="50"/>
      <c r="G828" s="11"/>
      <c r="H828" s="11"/>
      <c r="I828" s="11"/>
      <c r="J828" s="55"/>
    </row>
    <row r="829">
      <c r="A829" s="11"/>
      <c r="B829" s="11"/>
      <c r="C829" s="11"/>
      <c r="D829" s="11"/>
      <c r="E829" s="55"/>
      <c r="F829" s="50"/>
      <c r="G829" s="11"/>
      <c r="H829" s="11"/>
      <c r="I829" s="11"/>
      <c r="J829" s="55"/>
    </row>
    <row r="830">
      <c r="A830" s="11"/>
      <c r="B830" s="11"/>
      <c r="C830" s="11"/>
      <c r="D830" s="11"/>
      <c r="E830" s="55"/>
      <c r="F830" s="50"/>
      <c r="G830" s="11"/>
      <c r="H830" s="11"/>
      <c r="I830" s="11"/>
      <c r="J830" s="55"/>
    </row>
    <row r="831">
      <c r="A831" s="11"/>
      <c r="B831" s="11"/>
      <c r="C831" s="11"/>
      <c r="D831" s="11"/>
      <c r="E831" s="55"/>
      <c r="F831" s="50"/>
      <c r="G831" s="11"/>
      <c r="H831" s="11"/>
      <c r="I831" s="11"/>
      <c r="J831" s="55"/>
    </row>
    <row r="832">
      <c r="A832" s="11"/>
      <c r="B832" s="11"/>
      <c r="C832" s="11"/>
      <c r="D832" s="11"/>
      <c r="E832" s="55"/>
      <c r="F832" s="50"/>
      <c r="G832" s="11"/>
      <c r="H832" s="11"/>
      <c r="I832" s="11"/>
      <c r="J832" s="55"/>
    </row>
    <row r="833">
      <c r="A833" s="11"/>
      <c r="B833" s="11"/>
      <c r="C833" s="11"/>
      <c r="D833" s="11"/>
      <c r="E833" s="55"/>
      <c r="F833" s="50"/>
      <c r="G833" s="11"/>
      <c r="H833" s="11"/>
      <c r="I833" s="11"/>
      <c r="J833" s="55"/>
    </row>
    <row r="834">
      <c r="A834" s="11"/>
      <c r="B834" s="11"/>
      <c r="C834" s="11"/>
      <c r="D834" s="11"/>
      <c r="E834" s="55"/>
      <c r="F834" s="50"/>
      <c r="G834" s="11"/>
      <c r="H834" s="11"/>
      <c r="I834" s="11"/>
      <c r="J834" s="55"/>
    </row>
    <row r="835">
      <c r="A835" s="11"/>
      <c r="B835" s="11"/>
      <c r="C835" s="11"/>
      <c r="D835" s="11"/>
      <c r="E835" s="55"/>
      <c r="F835" s="50"/>
      <c r="G835" s="11"/>
      <c r="H835" s="11"/>
      <c r="I835" s="11"/>
      <c r="J835" s="55"/>
    </row>
    <row r="836">
      <c r="A836" s="11"/>
      <c r="B836" s="11"/>
      <c r="C836" s="11"/>
      <c r="D836" s="11"/>
      <c r="E836" s="55"/>
      <c r="F836" s="50"/>
      <c r="G836" s="11"/>
      <c r="H836" s="11"/>
      <c r="I836" s="11"/>
      <c r="J836" s="55"/>
    </row>
    <row r="837">
      <c r="A837" s="11"/>
      <c r="B837" s="11"/>
      <c r="C837" s="11"/>
      <c r="D837" s="11"/>
      <c r="E837" s="55"/>
      <c r="F837" s="50"/>
      <c r="G837" s="11"/>
      <c r="H837" s="11"/>
      <c r="I837" s="11"/>
      <c r="J837" s="55"/>
    </row>
    <row r="838">
      <c r="A838" s="11"/>
      <c r="B838" s="11"/>
      <c r="C838" s="11"/>
      <c r="D838" s="11"/>
      <c r="E838" s="55"/>
      <c r="F838" s="50"/>
      <c r="G838" s="11"/>
      <c r="H838" s="11"/>
      <c r="I838" s="11"/>
      <c r="J838" s="55"/>
    </row>
    <row r="839">
      <c r="A839" s="11"/>
      <c r="B839" s="11"/>
      <c r="C839" s="11"/>
      <c r="D839" s="11"/>
      <c r="E839" s="55"/>
      <c r="F839" s="50"/>
      <c r="G839" s="11"/>
      <c r="H839" s="11"/>
      <c r="I839" s="11"/>
      <c r="J839" s="55"/>
    </row>
    <row r="840">
      <c r="A840" s="11"/>
      <c r="B840" s="11"/>
      <c r="C840" s="11"/>
      <c r="D840" s="11"/>
      <c r="E840" s="55"/>
      <c r="F840" s="50"/>
      <c r="G840" s="11"/>
      <c r="H840" s="11"/>
      <c r="I840" s="11"/>
      <c r="J840" s="55"/>
    </row>
    <row r="841">
      <c r="A841" s="11"/>
      <c r="B841" s="11"/>
      <c r="C841" s="11"/>
      <c r="D841" s="11"/>
      <c r="E841" s="55"/>
      <c r="F841" s="50"/>
      <c r="G841" s="11"/>
      <c r="H841" s="11"/>
      <c r="I841" s="11"/>
      <c r="J841" s="55"/>
    </row>
    <row r="842">
      <c r="A842" s="11"/>
      <c r="B842" s="11"/>
      <c r="C842" s="11"/>
      <c r="D842" s="11"/>
      <c r="E842" s="55"/>
      <c r="F842" s="50"/>
      <c r="G842" s="11"/>
      <c r="H842" s="11"/>
      <c r="I842" s="11"/>
      <c r="J842" s="55"/>
    </row>
    <row r="843">
      <c r="A843" s="11"/>
      <c r="B843" s="11"/>
      <c r="C843" s="11"/>
      <c r="D843" s="11"/>
      <c r="E843" s="55"/>
      <c r="F843" s="50"/>
      <c r="G843" s="11"/>
      <c r="H843" s="11"/>
      <c r="I843" s="11"/>
      <c r="J843" s="55"/>
    </row>
    <row r="844">
      <c r="A844" s="11"/>
      <c r="B844" s="11"/>
      <c r="C844" s="11"/>
      <c r="D844" s="11"/>
      <c r="E844" s="55"/>
      <c r="F844" s="50"/>
      <c r="G844" s="11"/>
      <c r="H844" s="11"/>
      <c r="I844" s="11"/>
      <c r="J844" s="55"/>
    </row>
    <row r="845">
      <c r="A845" s="11"/>
      <c r="B845" s="11"/>
      <c r="C845" s="11"/>
      <c r="D845" s="11"/>
      <c r="E845" s="55"/>
      <c r="F845" s="50"/>
      <c r="G845" s="11"/>
      <c r="H845" s="11"/>
      <c r="I845" s="11"/>
      <c r="J845" s="55"/>
    </row>
    <row r="846">
      <c r="A846" s="11"/>
      <c r="B846" s="11"/>
      <c r="C846" s="11"/>
      <c r="D846" s="11"/>
      <c r="E846" s="55"/>
      <c r="F846" s="50"/>
      <c r="G846" s="11"/>
      <c r="H846" s="11"/>
      <c r="I846" s="11"/>
      <c r="J846" s="55"/>
    </row>
    <row r="847">
      <c r="A847" s="11"/>
      <c r="B847" s="11"/>
      <c r="C847" s="11"/>
      <c r="D847" s="11"/>
      <c r="E847" s="55"/>
      <c r="F847" s="50"/>
      <c r="G847" s="11"/>
      <c r="H847" s="11"/>
      <c r="I847" s="11"/>
      <c r="J847" s="55"/>
    </row>
    <row r="848">
      <c r="A848" s="11"/>
      <c r="B848" s="11"/>
      <c r="C848" s="11"/>
      <c r="D848" s="11"/>
      <c r="E848" s="55"/>
      <c r="F848" s="50"/>
      <c r="G848" s="11"/>
      <c r="H848" s="11"/>
      <c r="I848" s="11"/>
      <c r="J848" s="55"/>
    </row>
    <row r="849">
      <c r="A849" s="11"/>
      <c r="B849" s="11"/>
      <c r="C849" s="11"/>
      <c r="D849" s="11"/>
      <c r="E849" s="55"/>
      <c r="F849" s="50"/>
      <c r="G849" s="11"/>
      <c r="H849" s="11"/>
      <c r="I849" s="11"/>
      <c r="J849" s="55"/>
    </row>
    <row r="850">
      <c r="A850" s="11"/>
      <c r="B850" s="11"/>
      <c r="C850" s="11"/>
      <c r="D850" s="11"/>
      <c r="E850" s="55"/>
      <c r="F850" s="50"/>
      <c r="G850" s="11"/>
      <c r="H850" s="11"/>
      <c r="I850" s="11"/>
      <c r="J850" s="55"/>
    </row>
    <row r="851">
      <c r="A851" s="11"/>
      <c r="B851" s="11"/>
      <c r="C851" s="11"/>
      <c r="D851" s="11"/>
      <c r="E851" s="55"/>
      <c r="F851" s="50"/>
      <c r="G851" s="11"/>
      <c r="H851" s="11"/>
      <c r="I851" s="11"/>
      <c r="J851" s="55"/>
    </row>
    <row r="852">
      <c r="A852" s="11"/>
      <c r="B852" s="11"/>
      <c r="C852" s="11"/>
      <c r="D852" s="11"/>
      <c r="E852" s="55"/>
      <c r="F852" s="50"/>
      <c r="G852" s="11"/>
      <c r="H852" s="11"/>
      <c r="I852" s="11"/>
      <c r="J852" s="55"/>
    </row>
    <row r="853">
      <c r="A853" s="11"/>
      <c r="B853" s="11"/>
      <c r="C853" s="11"/>
      <c r="D853" s="11"/>
      <c r="E853" s="55"/>
      <c r="F853" s="50"/>
      <c r="G853" s="11"/>
      <c r="H853" s="11"/>
      <c r="I853" s="11"/>
      <c r="J853" s="55"/>
    </row>
    <row r="854">
      <c r="A854" s="11"/>
      <c r="B854" s="11"/>
      <c r="C854" s="11"/>
      <c r="D854" s="11"/>
      <c r="E854" s="55"/>
      <c r="F854" s="50"/>
      <c r="G854" s="11"/>
      <c r="H854" s="11"/>
      <c r="I854" s="11"/>
      <c r="J854" s="55"/>
    </row>
    <row r="855">
      <c r="A855" s="11"/>
      <c r="B855" s="11"/>
      <c r="C855" s="11"/>
      <c r="D855" s="11"/>
      <c r="E855" s="55"/>
      <c r="F855" s="50"/>
      <c r="G855" s="11"/>
      <c r="H855" s="11"/>
      <c r="I855" s="11"/>
      <c r="J855" s="55"/>
    </row>
    <row r="856">
      <c r="A856" s="11"/>
      <c r="B856" s="11"/>
      <c r="C856" s="11"/>
      <c r="D856" s="11"/>
      <c r="E856" s="55"/>
      <c r="F856" s="50"/>
      <c r="G856" s="11"/>
      <c r="H856" s="11"/>
      <c r="I856" s="11"/>
      <c r="J856" s="55"/>
    </row>
    <row r="857">
      <c r="A857" s="11"/>
      <c r="B857" s="11"/>
      <c r="C857" s="11"/>
      <c r="D857" s="11"/>
      <c r="E857" s="55"/>
      <c r="F857" s="50"/>
      <c r="G857" s="11"/>
      <c r="H857" s="11"/>
      <c r="I857" s="11"/>
      <c r="J857" s="55"/>
    </row>
    <row r="858">
      <c r="A858" s="11"/>
      <c r="B858" s="11"/>
      <c r="C858" s="11"/>
      <c r="D858" s="11"/>
      <c r="E858" s="55"/>
      <c r="F858" s="50"/>
      <c r="G858" s="11"/>
      <c r="H858" s="11"/>
      <c r="I858" s="11"/>
      <c r="J858" s="55"/>
    </row>
    <row r="859">
      <c r="A859" s="11"/>
      <c r="B859" s="11"/>
      <c r="C859" s="11"/>
      <c r="D859" s="11"/>
      <c r="E859" s="55"/>
      <c r="F859" s="50"/>
      <c r="G859" s="11"/>
      <c r="H859" s="11"/>
      <c r="I859" s="11"/>
      <c r="J859" s="55"/>
    </row>
    <row r="860">
      <c r="A860" s="11"/>
      <c r="B860" s="11"/>
      <c r="C860" s="11"/>
      <c r="D860" s="11"/>
      <c r="E860" s="55"/>
      <c r="F860" s="50"/>
      <c r="G860" s="11"/>
      <c r="H860" s="11"/>
      <c r="I860" s="11"/>
      <c r="J860" s="55"/>
    </row>
    <row r="861">
      <c r="A861" s="11"/>
      <c r="B861" s="11"/>
      <c r="C861" s="11"/>
      <c r="D861" s="11"/>
      <c r="E861" s="55"/>
      <c r="F861" s="50"/>
      <c r="G861" s="11"/>
      <c r="H861" s="11"/>
      <c r="I861" s="11"/>
      <c r="J861" s="55"/>
    </row>
    <row r="862">
      <c r="A862" s="11"/>
      <c r="B862" s="11"/>
      <c r="C862" s="11"/>
      <c r="D862" s="11"/>
      <c r="E862" s="55"/>
      <c r="F862" s="50"/>
      <c r="G862" s="11"/>
      <c r="H862" s="11"/>
      <c r="I862" s="11"/>
      <c r="J862" s="55"/>
    </row>
    <row r="863">
      <c r="A863" s="11"/>
      <c r="B863" s="11"/>
      <c r="C863" s="11"/>
      <c r="D863" s="11"/>
      <c r="E863" s="55"/>
      <c r="F863" s="50"/>
      <c r="G863" s="11"/>
      <c r="H863" s="11"/>
      <c r="I863" s="11"/>
      <c r="J863" s="55"/>
    </row>
    <row r="864">
      <c r="A864" s="11"/>
      <c r="B864" s="11"/>
      <c r="C864" s="11"/>
      <c r="D864" s="11"/>
      <c r="E864" s="55"/>
      <c r="F864" s="50"/>
      <c r="G864" s="11"/>
      <c r="H864" s="11"/>
      <c r="I864" s="11"/>
      <c r="J864" s="55"/>
    </row>
    <row r="865">
      <c r="A865" s="11"/>
      <c r="B865" s="11"/>
      <c r="C865" s="11"/>
      <c r="D865" s="11"/>
      <c r="E865" s="55"/>
      <c r="F865" s="50"/>
      <c r="G865" s="11"/>
      <c r="H865" s="11"/>
      <c r="I865" s="11"/>
      <c r="J865" s="55"/>
    </row>
    <row r="866">
      <c r="A866" s="11"/>
      <c r="B866" s="11"/>
      <c r="C866" s="11"/>
      <c r="D866" s="11"/>
      <c r="E866" s="55"/>
      <c r="F866" s="50"/>
      <c r="G866" s="11"/>
      <c r="H866" s="11"/>
      <c r="I866" s="11"/>
      <c r="J866" s="55"/>
    </row>
    <row r="867">
      <c r="A867" s="11"/>
      <c r="B867" s="11"/>
      <c r="C867" s="11"/>
      <c r="D867" s="11"/>
      <c r="E867" s="55"/>
      <c r="F867" s="50"/>
      <c r="G867" s="11"/>
      <c r="H867" s="11"/>
      <c r="I867" s="11"/>
      <c r="J867" s="55"/>
    </row>
    <row r="868">
      <c r="A868" s="11"/>
      <c r="B868" s="11"/>
      <c r="C868" s="11"/>
      <c r="D868" s="11"/>
      <c r="E868" s="55"/>
      <c r="F868" s="50"/>
      <c r="G868" s="11"/>
      <c r="H868" s="11"/>
      <c r="I868" s="11"/>
      <c r="J868" s="55"/>
    </row>
    <row r="869">
      <c r="A869" s="11"/>
      <c r="B869" s="11"/>
      <c r="C869" s="11"/>
      <c r="D869" s="11"/>
      <c r="E869" s="55"/>
      <c r="F869" s="50"/>
      <c r="G869" s="11"/>
      <c r="H869" s="11"/>
      <c r="I869" s="11"/>
      <c r="J869" s="55"/>
    </row>
    <row r="870">
      <c r="A870" s="11"/>
      <c r="B870" s="11"/>
      <c r="C870" s="11"/>
      <c r="D870" s="11"/>
      <c r="E870" s="55"/>
      <c r="F870" s="50"/>
      <c r="G870" s="11"/>
      <c r="H870" s="11"/>
      <c r="I870" s="11"/>
      <c r="J870" s="55"/>
    </row>
    <row r="871">
      <c r="A871" s="11"/>
      <c r="B871" s="11"/>
      <c r="C871" s="11"/>
      <c r="D871" s="11"/>
      <c r="E871" s="55"/>
      <c r="F871" s="50"/>
      <c r="G871" s="11"/>
      <c r="H871" s="11"/>
      <c r="I871" s="11"/>
      <c r="J871" s="55"/>
    </row>
    <row r="872">
      <c r="A872" s="11"/>
      <c r="B872" s="11"/>
      <c r="C872" s="11"/>
      <c r="D872" s="11"/>
      <c r="E872" s="55"/>
      <c r="F872" s="50"/>
      <c r="G872" s="11"/>
      <c r="H872" s="11"/>
      <c r="I872" s="11"/>
      <c r="J872" s="55"/>
    </row>
    <row r="873">
      <c r="A873" s="11"/>
      <c r="B873" s="11"/>
      <c r="C873" s="11"/>
      <c r="D873" s="11"/>
      <c r="E873" s="55"/>
      <c r="F873" s="50"/>
      <c r="G873" s="11"/>
      <c r="H873" s="11"/>
      <c r="I873" s="11"/>
      <c r="J873" s="55"/>
    </row>
    <row r="874">
      <c r="A874" s="11"/>
      <c r="B874" s="11"/>
      <c r="C874" s="11"/>
      <c r="D874" s="11"/>
      <c r="E874" s="55"/>
      <c r="F874" s="50"/>
      <c r="G874" s="11"/>
      <c r="H874" s="11"/>
      <c r="I874" s="11"/>
      <c r="J874" s="55"/>
    </row>
    <row r="875">
      <c r="A875" s="11"/>
      <c r="B875" s="11"/>
      <c r="C875" s="11"/>
      <c r="D875" s="11"/>
      <c r="E875" s="55"/>
      <c r="F875" s="50"/>
      <c r="G875" s="11"/>
      <c r="H875" s="11"/>
      <c r="I875" s="11"/>
      <c r="J875" s="55"/>
    </row>
    <row r="876">
      <c r="A876" s="11"/>
      <c r="B876" s="11"/>
      <c r="C876" s="11"/>
      <c r="D876" s="11"/>
      <c r="E876" s="55"/>
      <c r="F876" s="50"/>
      <c r="G876" s="11"/>
      <c r="H876" s="11"/>
      <c r="I876" s="11"/>
      <c r="J876" s="55"/>
    </row>
    <row r="877">
      <c r="A877" s="11"/>
      <c r="B877" s="11"/>
      <c r="C877" s="11"/>
      <c r="D877" s="11"/>
      <c r="E877" s="55"/>
      <c r="F877" s="50"/>
      <c r="G877" s="11"/>
      <c r="H877" s="11"/>
      <c r="I877" s="11"/>
      <c r="J877" s="55"/>
    </row>
    <row r="878">
      <c r="A878" s="11"/>
      <c r="B878" s="11"/>
      <c r="C878" s="11"/>
      <c r="D878" s="11"/>
      <c r="E878" s="55"/>
      <c r="F878" s="50"/>
      <c r="G878" s="11"/>
      <c r="H878" s="11"/>
      <c r="I878" s="11"/>
      <c r="J878" s="55"/>
    </row>
    <row r="879">
      <c r="A879" s="11"/>
      <c r="B879" s="11"/>
      <c r="C879" s="11"/>
      <c r="D879" s="11"/>
      <c r="E879" s="55"/>
      <c r="F879" s="50"/>
      <c r="G879" s="11"/>
      <c r="H879" s="11"/>
      <c r="I879" s="11"/>
      <c r="J879" s="55"/>
    </row>
    <row r="880">
      <c r="A880" s="11"/>
      <c r="B880" s="11"/>
      <c r="C880" s="11"/>
      <c r="D880" s="11"/>
      <c r="E880" s="55"/>
      <c r="F880" s="50"/>
      <c r="G880" s="11"/>
      <c r="H880" s="11"/>
      <c r="I880" s="11"/>
      <c r="J880" s="55"/>
    </row>
    <row r="881">
      <c r="A881" s="11"/>
      <c r="B881" s="11"/>
      <c r="C881" s="11"/>
      <c r="D881" s="11"/>
      <c r="E881" s="55"/>
      <c r="F881" s="50"/>
      <c r="G881" s="11"/>
      <c r="H881" s="11"/>
      <c r="I881" s="11"/>
      <c r="J881" s="55"/>
    </row>
    <row r="882">
      <c r="A882" s="11"/>
      <c r="B882" s="11"/>
      <c r="C882" s="11"/>
      <c r="D882" s="11"/>
      <c r="E882" s="55"/>
      <c r="F882" s="50"/>
      <c r="G882" s="11"/>
      <c r="H882" s="11"/>
      <c r="I882" s="11"/>
      <c r="J882" s="55"/>
    </row>
    <row r="883">
      <c r="A883" s="11"/>
      <c r="B883" s="11"/>
      <c r="C883" s="11"/>
      <c r="D883" s="11"/>
      <c r="E883" s="55"/>
      <c r="F883" s="50"/>
      <c r="G883" s="11"/>
      <c r="H883" s="11"/>
      <c r="I883" s="11"/>
      <c r="J883" s="55"/>
    </row>
    <row r="884">
      <c r="A884" s="11"/>
      <c r="B884" s="11"/>
      <c r="C884" s="11"/>
      <c r="D884" s="11"/>
      <c r="E884" s="55"/>
      <c r="F884" s="50"/>
      <c r="G884" s="11"/>
      <c r="H884" s="11"/>
      <c r="I884" s="11"/>
      <c r="J884" s="55"/>
    </row>
    <row r="885">
      <c r="A885" s="11"/>
      <c r="B885" s="11"/>
      <c r="C885" s="11"/>
      <c r="D885" s="11"/>
      <c r="E885" s="55"/>
      <c r="F885" s="50"/>
      <c r="G885" s="11"/>
      <c r="H885" s="11"/>
      <c r="I885" s="11"/>
      <c r="J885" s="55"/>
    </row>
    <row r="886">
      <c r="A886" s="11"/>
      <c r="B886" s="11"/>
      <c r="C886" s="11"/>
      <c r="D886" s="11"/>
      <c r="E886" s="55"/>
      <c r="F886" s="50"/>
      <c r="G886" s="11"/>
      <c r="H886" s="11"/>
      <c r="I886" s="11"/>
      <c r="J886" s="55"/>
    </row>
    <row r="887">
      <c r="A887" s="11"/>
      <c r="B887" s="11"/>
      <c r="C887" s="11"/>
      <c r="D887" s="11"/>
      <c r="E887" s="55"/>
      <c r="F887" s="50"/>
      <c r="G887" s="11"/>
      <c r="H887" s="11"/>
      <c r="I887" s="11"/>
      <c r="J887" s="55"/>
    </row>
    <row r="888">
      <c r="A888" s="11"/>
      <c r="B888" s="11"/>
      <c r="C888" s="11"/>
      <c r="D888" s="11"/>
      <c r="E888" s="55"/>
      <c r="F888" s="50"/>
      <c r="G888" s="11"/>
      <c r="H888" s="11"/>
      <c r="I888" s="11"/>
      <c r="J888" s="55"/>
    </row>
    <row r="889">
      <c r="A889" s="11"/>
      <c r="B889" s="11"/>
      <c r="C889" s="11"/>
      <c r="D889" s="11"/>
      <c r="E889" s="55"/>
      <c r="F889" s="50"/>
      <c r="G889" s="11"/>
      <c r="H889" s="11"/>
      <c r="I889" s="11"/>
      <c r="J889" s="55"/>
    </row>
    <row r="890">
      <c r="A890" s="11"/>
      <c r="B890" s="11"/>
      <c r="C890" s="11"/>
      <c r="D890" s="11"/>
      <c r="E890" s="55"/>
      <c r="F890" s="50"/>
      <c r="G890" s="11"/>
      <c r="H890" s="11"/>
      <c r="I890" s="11"/>
      <c r="J890" s="55"/>
    </row>
    <row r="891">
      <c r="A891" s="11"/>
      <c r="B891" s="11"/>
      <c r="C891" s="11"/>
      <c r="D891" s="11"/>
      <c r="E891" s="55"/>
      <c r="F891" s="50"/>
      <c r="G891" s="11"/>
      <c r="H891" s="11"/>
      <c r="I891" s="11"/>
      <c r="J891" s="55"/>
    </row>
    <row r="892">
      <c r="A892" s="11"/>
      <c r="B892" s="11"/>
      <c r="C892" s="11"/>
      <c r="D892" s="11"/>
      <c r="E892" s="55"/>
      <c r="F892" s="50"/>
      <c r="G892" s="11"/>
      <c r="H892" s="11"/>
      <c r="I892" s="11"/>
      <c r="J892" s="55"/>
    </row>
    <row r="893">
      <c r="A893" s="11"/>
      <c r="B893" s="11"/>
      <c r="C893" s="11"/>
      <c r="D893" s="11"/>
      <c r="E893" s="55"/>
      <c r="F893" s="50"/>
      <c r="G893" s="11"/>
      <c r="H893" s="11"/>
      <c r="I893" s="11"/>
      <c r="J893" s="55"/>
    </row>
    <row r="894">
      <c r="A894" s="11"/>
      <c r="B894" s="11"/>
      <c r="C894" s="11"/>
      <c r="D894" s="11"/>
      <c r="E894" s="55"/>
      <c r="F894" s="50"/>
      <c r="G894" s="11"/>
      <c r="H894" s="11"/>
      <c r="I894" s="11"/>
      <c r="J894" s="55"/>
    </row>
    <row r="895">
      <c r="A895" s="11"/>
      <c r="B895" s="11"/>
      <c r="C895" s="11"/>
      <c r="D895" s="11"/>
      <c r="E895" s="55"/>
      <c r="F895" s="50"/>
      <c r="G895" s="11"/>
      <c r="H895" s="11"/>
      <c r="I895" s="11"/>
      <c r="J895" s="55"/>
    </row>
    <row r="896">
      <c r="A896" s="11"/>
      <c r="B896" s="11"/>
      <c r="C896" s="11"/>
      <c r="D896" s="11"/>
      <c r="E896" s="55"/>
      <c r="F896" s="50"/>
      <c r="G896" s="11"/>
      <c r="H896" s="11"/>
      <c r="I896" s="11"/>
      <c r="J896" s="55"/>
    </row>
    <row r="897">
      <c r="A897" s="11"/>
      <c r="B897" s="11"/>
      <c r="C897" s="11"/>
      <c r="D897" s="11"/>
      <c r="E897" s="55"/>
      <c r="F897" s="50"/>
      <c r="G897" s="11"/>
      <c r="H897" s="11"/>
      <c r="I897" s="11"/>
      <c r="J897" s="55"/>
    </row>
    <row r="898">
      <c r="A898" s="11"/>
      <c r="B898" s="11"/>
      <c r="C898" s="11"/>
      <c r="D898" s="11"/>
      <c r="E898" s="55"/>
      <c r="F898" s="50"/>
      <c r="G898" s="11"/>
      <c r="H898" s="11"/>
      <c r="I898" s="11"/>
      <c r="J898" s="55"/>
    </row>
    <row r="899">
      <c r="A899" s="11"/>
      <c r="B899" s="11"/>
      <c r="C899" s="11"/>
      <c r="D899" s="11"/>
      <c r="E899" s="55"/>
      <c r="F899" s="50"/>
      <c r="G899" s="11"/>
      <c r="H899" s="11"/>
      <c r="I899" s="11"/>
      <c r="J899" s="55"/>
    </row>
    <row r="900">
      <c r="A900" s="11"/>
      <c r="B900" s="11"/>
      <c r="C900" s="11"/>
      <c r="D900" s="11"/>
      <c r="E900" s="55"/>
      <c r="F900" s="50"/>
      <c r="G900" s="11"/>
      <c r="H900" s="11"/>
      <c r="I900" s="11"/>
      <c r="J900" s="55"/>
    </row>
    <row r="901">
      <c r="A901" s="11"/>
      <c r="B901" s="11"/>
      <c r="C901" s="11"/>
      <c r="D901" s="11"/>
      <c r="E901" s="55"/>
      <c r="F901" s="50"/>
      <c r="G901" s="11"/>
      <c r="H901" s="11"/>
      <c r="I901" s="11"/>
      <c r="J901" s="55"/>
    </row>
    <row r="902">
      <c r="A902" s="11"/>
      <c r="B902" s="11"/>
      <c r="C902" s="11"/>
      <c r="D902" s="11"/>
      <c r="E902" s="55"/>
      <c r="F902" s="50"/>
      <c r="G902" s="11"/>
      <c r="H902" s="11"/>
      <c r="I902" s="11"/>
      <c r="J902" s="55"/>
    </row>
    <row r="903">
      <c r="A903" s="11"/>
      <c r="B903" s="11"/>
      <c r="C903" s="11"/>
      <c r="D903" s="11"/>
      <c r="E903" s="55"/>
      <c r="F903" s="50"/>
      <c r="G903" s="11"/>
      <c r="H903" s="11"/>
      <c r="I903" s="11"/>
      <c r="J903" s="55"/>
    </row>
    <row r="904">
      <c r="A904" s="11"/>
      <c r="B904" s="11"/>
      <c r="C904" s="11"/>
      <c r="D904" s="11"/>
      <c r="E904" s="55"/>
      <c r="F904" s="50"/>
      <c r="G904" s="11"/>
      <c r="H904" s="11"/>
      <c r="I904" s="11"/>
      <c r="J904" s="55"/>
    </row>
    <row r="905">
      <c r="A905" s="11"/>
      <c r="B905" s="11"/>
      <c r="C905" s="11"/>
      <c r="D905" s="11"/>
      <c r="E905" s="55"/>
      <c r="F905" s="50"/>
      <c r="G905" s="11"/>
      <c r="H905" s="11"/>
      <c r="I905" s="11"/>
      <c r="J905" s="55"/>
    </row>
    <row r="906">
      <c r="A906" s="11"/>
      <c r="B906" s="11"/>
      <c r="C906" s="11"/>
      <c r="D906" s="11"/>
      <c r="E906" s="55"/>
      <c r="F906" s="50"/>
      <c r="G906" s="11"/>
      <c r="H906" s="11"/>
      <c r="I906" s="11"/>
      <c r="J906" s="55"/>
    </row>
    <row r="907">
      <c r="A907" s="11"/>
      <c r="B907" s="11"/>
      <c r="C907" s="11"/>
      <c r="D907" s="11"/>
      <c r="E907" s="55"/>
      <c r="F907" s="50"/>
      <c r="G907" s="11"/>
      <c r="H907" s="11"/>
      <c r="I907" s="11"/>
      <c r="J907" s="55"/>
    </row>
    <row r="908">
      <c r="A908" s="11"/>
      <c r="B908" s="11"/>
      <c r="C908" s="11"/>
      <c r="D908" s="11"/>
      <c r="E908" s="55"/>
      <c r="F908" s="50"/>
      <c r="G908" s="11"/>
      <c r="H908" s="11"/>
      <c r="I908" s="11"/>
      <c r="J908" s="55"/>
    </row>
    <row r="909">
      <c r="A909" s="11"/>
      <c r="B909" s="11"/>
      <c r="C909" s="11"/>
      <c r="D909" s="11"/>
      <c r="E909" s="55"/>
      <c r="F909" s="50"/>
      <c r="G909" s="11"/>
      <c r="H909" s="11"/>
      <c r="I909" s="11"/>
      <c r="J909" s="55"/>
    </row>
    <row r="910">
      <c r="A910" s="11"/>
      <c r="B910" s="11"/>
      <c r="C910" s="11"/>
      <c r="D910" s="11"/>
      <c r="E910" s="55"/>
      <c r="F910" s="50"/>
      <c r="G910" s="11"/>
      <c r="H910" s="11"/>
      <c r="I910" s="11"/>
      <c r="J910" s="55"/>
    </row>
    <row r="911">
      <c r="A911" s="11"/>
      <c r="B911" s="11"/>
      <c r="C911" s="11"/>
      <c r="D911" s="11"/>
      <c r="E911" s="55"/>
      <c r="F911" s="50"/>
      <c r="G911" s="11"/>
      <c r="H911" s="11"/>
      <c r="I911" s="11"/>
      <c r="J911" s="55"/>
    </row>
    <row r="912">
      <c r="A912" s="11"/>
      <c r="B912" s="11"/>
      <c r="C912" s="11"/>
      <c r="D912" s="11"/>
      <c r="E912" s="55"/>
      <c r="F912" s="50"/>
      <c r="G912" s="11"/>
      <c r="H912" s="11"/>
      <c r="I912" s="11"/>
      <c r="J912" s="55"/>
    </row>
    <row r="913">
      <c r="A913" s="11"/>
      <c r="B913" s="11"/>
      <c r="C913" s="11"/>
      <c r="D913" s="11"/>
      <c r="E913" s="55"/>
      <c r="F913" s="50"/>
      <c r="G913" s="11"/>
      <c r="H913" s="11"/>
      <c r="I913" s="11"/>
      <c r="J913" s="55"/>
    </row>
    <row r="914">
      <c r="A914" s="11"/>
      <c r="B914" s="11"/>
      <c r="C914" s="11"/>
      <c r="D914" s="11"/>
      <c r="E914" s="55"/>
      <c r="F914" s="50"/>
      <c r="G914" s="11"/>
      <c r="H914" s="11"/>
      <c r="I914" s="11"/>
      <c r="J914" s="55"/>
    </row>
    <row r="915">
      <c r="A915" s="11"/>
      <c r="B915" s="11"/>
      <c r="C915" s="11"/>
      <c r="D915" s="11"/>
      <c r="E915" s="55"/>
      <c r="F915" s="50"/>
      <c r="G915" s="11"/>
      <c r="H915" s="11"/>
      <c r="I915" s="11"/>
      <c r="J915" s="55"/>
    </row>
    <row r="916">
      <c r="A916" s="11"/>
      <c r="B916" s="11"/>
      <c r="C916" s="11"/>
      <c r="D916" s="11"/>
      <c r="E916" s="55"/>
      <c r="F916" s="50"/>
      <c r="G916" s="11"/>
      <c r="H916" s="11"/>
      <c r="I916" s="11"/>
      <c r="J916" s="55"/>
    </row>
    <row r="917">
      <c r="A917" s="11"/>
      <c r="B917" s="11"/>
      <c r="C917" s="11"/>
      <c r="D917" s="11"/>
      <c r="E917" s="55"/>
      <c r="F917" s="50"/>
      <c r="G917" s="11"/>
      <c r="H917" s="11"/>
      <c r="I917" s="11"/>
      <c r="J917" s="55"/>
    </row>
    <row r="918">
      <c r="A918" s="11"/>
      <c r="B918" s="11"/>
      <c r="C918" s="11"/>
      <c r="D918" s="11"/>
      <c r="E918" s="55"/>
      <c r="F918" s="50"/>
      <c r="G918" s="11"/>
      <c r="H918" s="11"/>
      <c r="I918" s="11"/>
      <c r="J918" s="55"/>
    </row>
    <row r="919">
      <c r="A919" s="11"/>
      <c r="B919" s="11"/>
      <c r="C919" s="11"/>
      <c r="D919" s="11"/>
      <c r="E919" s="55"/>
      <c r="F919" s="50"/>
      <c r="G919" s="11"/>
      <c r="H919" s="11"/>
      <c r="I919" s="11"/>
      <c r="J919" s="55"/>
    </row>
    <row r="920">
      <c r="A920" s="11"/>
      <c r="B920" s="11"/>
      <c r="C920" s="11"/>
      <c r="D920" s="11"/>
      <c r="E920" s="55"/>
      <c r="F920" s="50"/>
      <c r="G920" s="11"/>
      <c r="H920" s="11"/>
      <c r="I920" s="11"/>
      <c r="J920" s="55"/>
    </row>
    <row r="921">
      <c r="A921" s="11"/>
      <c r="B921" s="11"/>
      <c r="C921" s="11"/>
      <c r="D921" s="11"/>
      <c r="E921" s="55"/>
      <c r="F921" s="50"/>
      <c r="G921" s="11"/>
      <c r="H921" s="11"/>
      <c r="I921" s="11"/>
      <c r="J921" s="55"/>
    </row>
    <row r="922">
      <c r="A922" s="11"/>
      <c r="B922" s="11"/>
      <c r="C922" s="11"/>
      <c r="D922" s="11"/>
      <c r="E922" s="55"/>
      <c r="F922" s="50"/>
      <c r="G922" s="11"/>
      <c r="H922" s="11"/>
      <c r="I922" s="11"/>
      <c r="J922" s="55"/>
    </row>
    <row r="923">
      <c r="A923" s="11"/>
      <c r="B923" s="11"/>
      <c r="C923" s="11"/>
      <c r="D923" s="11"/>
      <c r="E923" s="55"/>
      <c r="F923" s="50"/>
      <c r="G923" s="11"/>
      <c r="H923" s="11"/>
      <c r="I923" s="11"/>
      <c r="J923" s="55"/>
    </row>
    <row r="924">
      <c r="A924" s="11"/>
      <c r="B924" s="11"/>
      <c r="C924" s="11"/>
      <c r="D924" s="11"/>
      <c r="E924" s="55"/>
      <c r="F924" s="50"/>
      <c r="G924" s="11"/>
      <c r="H924" s="11"/>
      <c r="I924" s="11"/>
      <c r="J924" s="55"/>
    </row>
    <row r="925">
      <c r="A925" s="11"/>
      <c r="B925" s="11"/>
      <c r="C925" s="11"/>
      <c r="D925" s="11"/>
      <c r="E925" s="55"/>
      <c r="F925" s="50"/>
      <c r="G925" s="11"/>
      <c r="H925" s="11"/>
      <c r="I925" s="11"/>
      <c r="J925" s="55"/>
    </row>
    <row r="926">
      <c r="A926" s="11"/>
      <c r="B926" s="11"/>
      <c r="C926" s="11"/>
      <c r="D926" s="11"/>
      <c r="E926" s="55"/>
      <c r="F926" s="50"/>
      <c r="G926" s="11"/>
      <c r="H926" s="11"/>
      <c r="I926" s="11"/>
      <c r="J926" s="55"/>
    </row>
    <row r="927">
      <c r="A927" s="11"/>
      <c r="B927" s="11"/>
      <c r="C927" s="11"/>
      <c r="D927" s="11"/>
      <c r="E927" s="55"/>
      <c r="F927" s="50"/>
      <c r="G927" s="11"/>
      <c r="H927" s="11"/>
      <c r="I927" s="11"/>
      <c r="J927" s="55"/>
    </row>
    <row r="928">
      <c r="A928" s="11"/>
      <c r="B928" s="11"/>
      <c r="C928" s="11"/>
      <c r="D928" s="11"/>
      <c r="E928" s="55"/>
      <c r="F928" s="50"/>
      <c r="G928" s="11"/>
      <c r="H928" s="11"/>
      <c r="I928" s="11"/>
      <c r="J928" s="55"/>
    </row>
    <row r="929">
      <c r="A929" s="11"/>
      <c r="B929" s="11"/>
      <c r="C929" s="11"/>
      <c r="D929" s="11"/>
      <c r="E929" s="55"/>
      <c r="F929" s="50"/>
      <c r="G929" s="11"/>
      <c r="H929" s="11"/>
      <c r="I929" s="11"/>
      <c r="J929" s="55"/>
    </row>
    <row r="930">
      <c r="A930" s="11"/>
      <c r="B930" s="11"/>
      <c r="C930" s="11"/>
      <c r="D930" s="11"/>
      <c r="E930" s="55"/>
      <c r="F930" s="50"/>
      <c r="G930" s="11"/>
      <c r="H930" s="11"/>
      <c r="I930" s="11"/>
      <c r="J930" s="55"/>
    </row>
    <row r="931">
      <c r="A931" s="11"/>
      <c r="B931" s="11"/>
      <c r="C931" s="11"/>
      <c r="D931" s="11"/>
      <c r="E931" s="55"/>
      <c r="F931" s="50"/>
      <c r="G931" s="11"/>
      <c r="H931" s="11"/>
      <c r="I931" s="11"/>
      <c r="J931" s="55"/>
    </row>
    <row r="932">
      <c r="A932" s="11"/>
      <c r="B932" s="11"/>
      <c r="C932" s="11"/>
      <c r="D932" s="11"/>
      <c r="E932" s="55"/>
      <c r="F932" s="50"/>
      <c r="G932" s="11"/>
      <c r="H932" s="11"/>
      <c r="I932" s="11"/>
      <c r="J932" s="55"/>
    </row>
    <row r="933">
      <c r="A933" s="11"/>
      <c r="B933" s="11"/>
      <c r="C933" s="11"/>
      <c r="D933" s="11"/>
      <c r="E933" s="55"/>
      <c r="F933" s="50"/>
      <c r="G933" s="11"/>
      <c r="H933" s="11"/>
      <c r="I933" s="11"/>
      <c r="J933" s="55"/>
    </row>
    <row r="934">
      <c r="A934" s="11"/>
      <c r="B934" s="11"/>
      <c r="C934" s="11"/>
      <c r="D934" s="11"/>
      <c r="E934" s="55"/>
      <c r="F934" s="50"/>
      <c r="G934" s="11"/>
      <c r="H934" s="11"/>
      <c r="I934" s="11"/>
      <c r="J934" s="55"/>
    </row>
    <row r="935">
      <c r="A935" s="11"/>
      <c r="B935" s="11"/>
      <c r="C935" s="11"/>
      <c r="D935" s="11"/>
      <c r="E935" s="55"/>
      <c r="F935" s="50"/>
      <c r="G935" s="11"/>
      <c r="H935" s="11"/>
      <c r="I935" s="11"/>
      <c r="J935" s="55"/>
    </row>
    <row r="936">
      <c r="A936" s="11"/>
      <c r="B936" s="11"/>
      <c r="C936" s="11"/>
      <c r="D936" s="11"/>
      <c r="E936" s="55"/>
      <c r="F936" s="50"/>
      <c r="G936" s="11"/>
      <c r="H936" s="11"/>
      <c r="I936" s="11"/>
      <c r="J936" s="55"/>
    </row>
    <row r="937">
      <c r="A937" s="11"/>
      <c r="B937" s="11"/>
      <c r="C937" s="11"/>
      <c r="D937" s="11"/>
      <c r="E937" s="55"/>
      <c r="F937" s="50"/>
      <c r="G937" s="11"/>
      <c r="H937" s="11"/>
      <c r="I937" s="11"/>
      <c r="J937" s="55"/>
    </row>
    <row r="938">
      <c r="A938" s="11"/>
      <c r="B938" s="11"/>
      <c r="C938" s="11"/>
      <c r="D938" s="11"/>
      <c r="E938" s="55"/>
      <c r="F938" s="50"/>
      <c r="G938" s="11"/>
      <c r="H938" s="11"/>
      <c r="I938" s="11"/>
      <c r="J938" s="55"/>
    </row>
    <row r="939">
      <c r="A939" s="11"/>
      <c r="B939" s="11"/>
      <c r="C939" s="11"/>
      <c r="D939" s="11"/>
      <c r="E939" s="55"/>
      <c r="F939" s="50"/>
      <c r="G939" s="11"/>
      <c r="H939" s="11"/>
      <c r="I939" s="11"/>
      <c r="J939" s="55"/>
    </row>
    <row r="940">
      <c r="A940" s="11"/>
      <c r="B940" s="11"/>
      <c r="C940" s="11"/>
      <c r="D940" s="11"/>
      <c r="E940" s="55"/>
      <c r="F940" s="50"/>
      <c r="G940" s="11"/>
      <c r="H940" s="11"/>
      <c r="I940" s="11"/>
      <c r="J940" s="55"/>
    </row>
    <row r="941">
      <c r="A941" s="11"/>
      <c r="B941" s="11"/>
      <c r="C941" s="11"/>
      <c r="D941" s="11"/>
      <c r="E941" s="55"/>
      <c r="F941" s="50"/>
      <c r="G941" s="11"/>
      <c r="H941" s="11"/>
      <c r="I941" s="11"/>
      <c r="J941" s="55"/>
    </row>
    <row r="942">
      <c r="A942" s="11"/>
      <c r="B942" s="11"/>
      <c r="C942" s="11"/>
      <c r="D942" s="11"/>
      <c r="E942" s="55"/>
      <c r="F942" s="50"/>
      <c r="G942" s="11"/>
      <c r="H942" s="11"/>
      <c r="I942" s="11"/>
      <c r="J942" s="55"/>
    </row>
    <row r="943">
      <c r="A943" s="11"/>
      <c r="B943" s="11"/>
      <c r="C943" s="11"/>
      <c r="D943" s="11"/>
      <c r="E943" s="55"/>
      <c r="F943" s="50"/>
      <c r="G943" s="11"/>
      <c r="H943" s="11"/>
      <c r="I943" s="11"/>
      <c r="J943" s="55"/>
    </row>
    <row r="944">
      <c r="A944" s="11"/>
      <c r="B944" s="11"/>
      <c r="C944" s="11"/>
      <c r="D944" s="11"/>
      <c r="E944" s="55"/>
      <c r="F944" s="50"/>
      <c r="G944" s="11"/>
      <c r="H944" s="11"/>
      <c r="I944" s="11"/>
      <c r="J944" s="55"/>
    </row>
    <row r="945">
      <c r="A945" s="11"/>
      <c r="B945" s="11"/>
      <c r="C945" s="11"/>
      <c r="D945" s="11"/>
      <c r="E945" s="55"/>
      <c r="F945" s="50"/>
      <c r="G945" s="11"/>
      <c r="H945" s="11"/>
      <c r="I945" s="11"/>
      <c r="J945" s="55"/>
    </row>
    <row r="946">
      <c r="A946" s="11"/>
      <c r="B946" s="11"/>
      <c r="C946" s="11"/>
      <c r="D946" s="11"/>
      <c r="E946" s="55"/>
      <c r="F946" s="50"/>
      <c r="G946" s="11"/>
      <c r="H946" s="11"/>
      <c r="I946" s="11"/>
      <c r="J946" s="55"/>
    </row>
    <row r="947">
      <c r="A947" s="11"/>
      <c r="B947" s="11"/>
      <c r="C947" s="11"/>
      <c r="D947" s="11"/>
      <c r="E947" s="55"/>
      <c r="F947" s="50"/>
      <c r="G947" s="11"/>
      <c r="H947" s="11"/>
      <c r="I947" s="11"/>
      <c r="J947" s="55"/>
    </row>
    <row r="948">
      <c r="A948" s="11"/>
      <c r="B948" s="11"/>
      <c r="C948" s="11"/>
      <c r="D948" s="11"/>
      <c r="E948" s="55"/>
      <c r="F948" s="50"/>
      <c r="G948" s="11"/>
      <c r="H948" s="11"/>
      <c r="I948" s="11"/>
      <c r="J948" s="55"/>
    </row>
    <row r="949">
      <c r="A949" s="11"/>
      <c r="B949" s="11"/>
      <c r="C949" s="11"/>
      <c r="D949" s="11"/>
      <c r="E949" s="55"/>
      <c r="F949" s="50"/>
      <c r="G949" s="11"/>
      <c r="H949" s="11"/>
      <c r="I949" s="11"/>
      <c r="J949" s="55"/>
    </row>
    <row r="950">
      <c r="A950" s="11"/>
      <c r="B950" s="11"/>
      <c r="C950" s="11"/>
      <c r="D950" s="11"/>
      <c r="E950" s="55"/>
      <c r="F950" s="50"/>
      <c r="G950" s="11"/>
      <c r="H950" s="11"/>
      <c r="I950" s="11"/>
      <c r="J950" s="55"/>
    </row>
    <row r="951">
      <c r="A951" s="11"/>
      <c r="B951" s="11"/>
      <c r="C951" s="11"/>
      <c r="D951" s="11"/>
      <c r="E951" s="55"/>
      <c r="F951" s="50"/>
      <c r="G951" s="11"/>
      <c r="H951" s="11"/>
      <c r="I951" s="11"/>
      <c r="J951" s="55"/>
    </row>
    <row r="952">
      <c r="A952" s="11"/>
      <c r="B952" s="11"/>
      <c r="C952" s="11"/>
      <c r="D952" s="11"/>
      <c r="E952" s="55"/>
      <c r="F952" s="50"/>
      <c r="G952" s="11"/>
      <c r="H952" s="11"/>
      <c r="I952" s="11"/>
      <c r="J952" s="55"/>
    </row>
    <row r="953">
      <c r="A953" s="11"/>
      <c r="B953" s="11"/>
      <c r="C953" s="11"/>
      <c r="D953" s="11"/>
      <c r="E953" s="55"/>
      <c r="F953" s="50"/>
      <c r="G953" s="11"/>
      <c r="H953" s="11"/>
      <c r="I953" s="11"/>
      <c r="J953" s="55"/>
    </row>
    <row r="954">
      <c r="A954" s="11"/>
      <c r="B954" s="11"/>
      <c r="C954" s="11"/>
      <c r="D954" s="11"/>
      <c r="E954" s="55"/>
      <c r="F954" s="50"/>
      <c r="G954" s="11"/>
      <c r="H954" s="11"/>
      <c r="I954" s="11"/>
      <c r="J954" s="55"/>
    </row>
    <row r="955">
      <c r="A955" s="11"/>
      <c r="B955" s="11"/>
      <c r="C955" s="11"/>
      <c r="D955" s="11"/>
      <c r="E955" s="55"/>
      <c r="F955" s="50"/>
      <c r="G955" s="11"/>
      <c r="H955" s="11"/>
      <c r="I955" s="11"/>
      <c r="J955" s="55"/>
    </row>
    <row r="956">
      <c r="A956" s="11"/>
      <c r="B956" s="11"/>
      <c r="C956" s="11"/>
      <c r="D956" s="11"/>
      <c r="E956" s="55"/>
      <c r="F956" s="50"/>
      <c r="G956" s="11"/>
      <c r="H956" s="11"/>
      <c r="I956" s="11"/>
      <c r="J956" s="55"/>
    </row>
    <row r="957">
      <c r="A957" s="11"/>
      <c r="B957" s="11"/>
      <c r="C957" s="11"/>
      <c r="D957" s="11"/>
      <c r="E957" s="55"/>
      <c r="F957" s="50"/>
      <c r="G957" s="11"/>
      <c r="H957" s="11"/>
      <c r="I957" s="11"/>
      <c r="J957" s="55"/>
    </row>
    <row r="958">
      <c r="A958" s="11"/>
      <c r="B958" s="11"/>
      <c r="C958" s="11"/>
      <c r="D958" s="11"/>
      <c r="E958" s="55"/>
      <c r="F958" s="50"/>
      <c r="G958" s="11"/>
      <c r="H958" s="11"/>
      <c r="I958" s="11"/>
      <c r="J958" s="55"/>
    </row>
    <row r="959">
      <c r="A959" s="11"/>
      <c r="B959" s="11"/>
      <c r="C959" s="11"/>
      <c r="D959" s="11"/>
      <c r="E959" s="55"/>
      <c r="F959" s="50"/>
      <c r="G959" s="11"/>
      <c r="H959" s="11"/>
      <c r="I959" s="11"/>
      <c r="J959" s="55"/>
    </row>
    <row r="960">
      <c r="A960" s="11"/>
      <c r="B960" s="11"/>
      <c r="C960" s="11"/>
      <c r="D960" s="11"/>
      <c r="E960" s="55"/>
      <c r="F960" s="50"/>
      <c r="G960" s="11"/>
      <c r="H960" s="11"/>
      <c r="I960" s="11"/>
      <c r="J960" s="55"/>
    </row>
    <row r="961">
      <c r="A961" s="11"/>
      <c r="B961" s="11"/>
      <c r="C961" s="11"/>
      <c r="D961" s="11"/>
      <c r="E961" s="55"/>
      <c r="F961" s="50"/>
      <c r="G961" s="11"/>
      <c r="H961" s="11"/>
      <c r="I961" s="11"/>
      <c r="J961" s="55"/>
    </row>
    <row r="962">
      <c r="A962" s="11"/>
      <c r="B962" s="11"/>
      <c r="C962" s="11"/>
      <c r="D962" s="11"/>
      <c r="E962" s="55"/>
      <c r="F962" s="50"/>
      <c r="G962" s="11"/>
      <c r="H962" s="11"/>
      <c r="I962" s="11"/>
      <c r="J962" s="55"/>
    </row>
    <row r="963">
      <c r="A963" s="11"/>
      <c r="B963" s="11"/>
      <c r="C963" s="11"/>
      <c r="D963" s="11"/>
      <c r="E963" s="55"/>
      <c r="F963" s="50"/>
      <c r="G963" s="11"/>
      <c r="H963" s="11"/>
      <c r="I963" s="11"/>
      <c r="J963" s="55"/>
    </row>
    <row r="964">
      <c r="A964" s="11"/>
      <c r="B964" s="11"/>
      <c r="C964" s="11"/>
      <c r="D964" s="11"/>
      <c r="E964" s="55"/>
      <c r="F964" s="50"/>
      <c r="G964" s="11"/>
      <c r="H964" s="11"/>
      <c r="I964" s="11"/>
      <c r="J964" s="55"/>
    </row>
    <row r="965">
      <c r="A965" s="11"/>
      <c r="B965" s="11"/>
      <c r="C965" s="11"/>
      <c r="D965" s="11"/>
      <c r="E965" s="55"/>
      <c r="F965" s="50"/>
      <c r="G965" s="11"/>
      <c r="H965" s="11"/>
      <c r="I965" s="11"/>
      <c r="J965" s="55"/>
    </row>
    <row r="966">
      <c r="A966" s="11"/>
      <c r="B966" s="11"/>
      <c r="C966" s="11"/>
      <c r="D966" s="11"/>
      <c r="E966" s="55"/>
      <c r="F966" s="50"/>
      <c r="G966" s="11"/>
      <c r="H966" s="11"/>
      <c r="I966" s="11"/>
      <c r="J966" s="55"/>
    </row>
    <row r="967">
      <c r="A967" s="11"/>
      <c r="B967" s="11"/>
      <c r="C967" s="11"/>
      <c r="D967" s="11"/>
      <c r="E967" s="55"/>
      <c r="F967" s="50"/>
      <c r="G967" s="11"/>
      <c r="H967" s="11"/>
      <c r="I967" s="11"/>
      <c r="J967" s="55"/>
    </row>
    <row r="968">
      <c r="A968" s="11"/>
      <c r="B968" s="11"/>
      <c r="C968" s="11"/>
      <c r="D968" s="11"/>
      <c r="E968" s="55"/>
      <c r="F968" s="50"/>
      <c r="G968" s="11"/>
      <c r="H968" s="11"/>
      <c r="I968" s="11"/>
      <c r="J968" s="55"/>
    </row>
    <row r="969">
      <c r="A969" s="11"/>
      <c r="B969" s="11"/>
      <c r="C969" s="11"/>
      <c r="D969" s="11"/>
      <c r="E969" s="55"/>
      <c r="F969" s="50"/>
      <c r="G969" s="11"/>
      <c r="H969" s="11"/>
      <c r="I969" s="11"/>
      <c r="J969" s="55"/>
    </row>
    <row r="970">
      <c r="A970" s="11"/>
      <c r="B970" s="11"/>
      <c r="C970" s="11"/>
      <c r="D970" s="11"/>
      <c r="E970" s="55"/>
      <c r="F970" s="50"/>
      <c r="G970" s="11"/>
      <c r="H970" s="11"/>
      <c r="I970" s="11"/>
      <c r="J970" s="55"/>
    </row>
    <row r="971">
      <c r="A971" s="11"/>
      <c r="B971" s="11"/>
      <c r="C971" s="11"/>
      <c r="D971" s="11"/>
      <c r="E971" s="55"/>
      <c r="F971" s="50"/>
      <c r="G971" s="11"/>
      <c r="H971" s="11"/>
      <c r="I971" s="11"/>
      <c r="J971" s="55"/>
    </row>
    <row r="972">
      <c r="A972" s="11"/>
      <c r="B972" s="11"/>
      <c r="C972" s="11"/>
      <c r="D972" s="11"/>
      <c r="E972" s="55"/>
      <c r="F972" s="50"/>
      <c r="G972" s="11"/>
      <c r="H972" s="11"/>
      <c r="I972" s="11"/>
      <c r="J972" s="55"/>
    </row>
    <row r="973">
      <c r="A973" s="11"/>
      <c r="B973" s="11"/>
      <c r="C973" s="11"/>
      <c r="D973" s="11"/>
      <c r="E973" s="55"/>
      <c r="F973" s="50"/>
      <c r="G973" s="11"/>
      <c r="H973" s="11"/>
      <c r="I973" s="11"/>
      <c r="J973" s="55"/>
    </row>
    <row r="974">
      <c r="A974" s="11"/>
      <c r="B974" s="11"/>
      <c r="C974" s="11"/>
      <c r="D974" s="11"/>
      <c r="E974" s="55"/>
      <c r="F974" s="50"/>
      <c r="G974" s="11"/>
      <c r="H974" s="11"/>
      <c r="I974" s="11"/>
      <c r="J974" s="55"/>
    </row>
    <row r="975">
      <c r="A975" s="11"/>
      <c r="B975" s="11"/>
      <c r="C975" s="11"/>
      <c r="D975" s="11"/>
      <c r="E975" s="55"/>
      <c r="F975" s="50"/>
      <c r="G975" s="11"/>
      <c r="H975" s="11"/>
      <c r="I975" s="11"/>
      <c r="J975" s="55"/>
    </row>
    <row r="976">
      <c r="A976" s="11"/>
      <c r="B976" s="11"/>
      <c r="C976" s="11"/>
      <c r="D976" s="11"/>
      <c r="E976" s="55"/>
      <c r="F976" s="50"/>
      <c r="G976" s="11"/>
      <c r="H976" s="11"/>
      <c r="I976" s="11"/>
      <c r="J976" s="55"/>
    </row>
    <row r="977">
      <c r="A977" s="11"/>
      <c r="B977" s="11"/>
      <c r="C977" s="11"/>
      <c r="D977" s="11"/>
      <c r="E977" s="55"/>
      <c r="F977" s="50"/>
      <c r="G977" s="11"/>
      <c r="H977" s="11"/>
      <c r="I977" s="11"/>
      <c r="J977" s="55"/>
    </row>
    <row r="978">
      <c r="A978" s="11"/>
      <c r="B978" s="11"/>
      <c r="C978" s="11"/>
      <c r="D978" s="11"/>
      <c r="E978" s="55"/>
      <c r="F978" s="50"/>
      <c r="G978" s="11"/>
      <c r="H978" s="11"/>
      <c r="I978" s="11"/>
      <c r="J978" s="55"/>
    </row>
    <row r="979">
      <c r="A979" s="11"/>
      <c r="B979" s="11"/>
      <c r="C979" s="11"/>
      <c r="D979" s="11"/>
      <c r="E979" s="55"/>
      <c r="F979" s="50"/>
      <c r="G979" s="11"/>
      <c r="H979" s="11"/>
      <c r="I979" s="11"/>
      <c r="J979" s="55"/>
    </row>
    <row r="980">
      <c r="A980" s="11"/>
      <c r="B980" s="11"/>
      <c r="C980" s="11"/>
      <c r="D980" s="11"/>
      <c r="E980" s="55"/>
      <c r="F980" s="50"/>
      <c r="G980" s="11"/>
      <c r="H980" s="11"/>
      <c r="I980" s="11"/>
      <c r="J980" s="55"/>
    </row>
    <row r="981">
      <c r="A981" s="11"/>
      <c r="B981" s="11"/>
      <c r="C981" s="11"/>
      <c r="D981" s="11"/>
      <c r="E981" s="55"/>
      <c r="F981" s="50"/>
      <c r="G981" s="11"/>
      <c r="H981" s="11"/>
      <c r="I981" s="11"/>
      <c r="J981" s="55"/>
    </row>
    <row r="982">
      <c r="A982" s="11"/>
      <c r="B982" s="11"/>
      <c r="C982" s="11"/>
      <c r="D982" s="11"/>
      <c r="E982" s="55"/>
      <c r="F982" s="50"/>
      <c r="G982" s="11"/>
      <c r="H982" s="11"/>
      <c r="I982" s="11"/>
      <c r="J982" s="55"/>
    </row>
    <row r="983">
      <c r="A983" s="11"/>
      <c r="B983" s="11"/>
      <c r="C983" s="11"/>
      <c r="D983" s="11"/>
      <c r="E983" s="55"/>
      <c r="F983" s="50"/>
      <c r="G983" s="11"/>
      <c r="H983" s="11"/>
      <c r="I983" s="11"/>
      <c r="J983" s="55"/>
    </row>
    <row r="984">
      <c r="A984" s="11"/>
      <c r="B984" s="11"/>
      <c r="C984" s="11"/>
      <c r="D984" s="11"/>
      <c r="E984" s="55"/>
      <c r="F984" s="50"/>
      <c r="G984" s="11"/>
      <c r="H984" s="11"/>
      <c r="I984" s="11"/>
      <c r="J984" s="55"/>
    </row>
    <row r="985">
      <c r="A985" s="11"/>
      <c r="B985" s="11"/>
      <c r="C985" s="11"/>
      <c r="D985" s="11"/>
      <c r="E985" s="55"/>
      <c r="F985" s="50"/>
      <c r="G985" s="11"/>
      <c r="H985" s="11"/>
      <c r="I985" s="11"/>
      <c r="J985" s="55"/>
    </row>
    <row r="986">
      <c r="A986" s="11"/>
      <c r="B986" s="11"/>
      <c r="C986" s="11"/>
      <c r="D986" s="11"/>
      <c r="E986" s="55"/>
      <c r="F986" s="50"/>
      <c r="G986" s="11"/>
      <c r="H986" s="11"/>
      <c r="I986" s="11"/>
      <c r="J986" s="55"/>
    </row>
    <row r="987">
      <c r="A987" s="11"/>
      <c r="B987" s="11"/>
      <c r="C987" s="11"/>
      <c r="D987" s="11"/>
      <c r="E987" s="55"/>
      <c r="F987" s="50"/>
      <c r="G987" s="11"/>
      <c r="H987" s="11"/>
      <c r="I987" s="11"/>
      <c r="J987" s="55"/>
    </row>
    <row r="988">
      <c r="A988" s="11"/>
      <c r="B988" s="11"/>
      <c r="C988" s="11"/>
      <c r="D988" s="11"/>
      <c r="E988" s="55"/>
      <c r="F988" s="50"/>
      <c r="G988" s="11"/>
      <c r="H988" s="11"/>
      <c r="I988" s="11"/>
      <c r="J988" s="55"/>
    </row>
    <row r="989">
      <c r="A989" s="11"/>
      <c r="B989" s="11"/>
      <c r="C989" s="11"/>
      <c r="D989" s="11"/>
      <c r="E989" s="55"/>
      <c r="F989" s="50"/>
      <c r="G989" s="11"/>
      <c r="H989" s="11"/>
      <c r="I989" s="11"/>
      <c r="J989" s="55"/>
    </row>
    <row r="990">
      <c r="A990" s="11"/>
      <c r="B990" s="11"/>
      <c r="C990" s="11"/>
      <c r="D990" s="11"/>
      <c r="E990" s="55"/>
      <c r="F990" s="50"/>
      <c r="G990" s="11"/>
      <c r="H990" s="11"/>
      <c r="I990" s="11"/>
      <c r="J990" s="55"/>
    </row>
    <row r="991">
      <c r="A991" s="11"/>
      <c r="B991" s="11"/>
      <c r="C991" s="11"/>
      <c r="D991" s="11"/>
      <c r="E991" s="55"/>
      <c r="F991" s="50"/>
      <c r="G991" s="11"/>
      <c r="H991" s="11"/>
      <c r="I991" s="11"/>
      <c r="J991" s="55"/>
    </row>
    <row r="992">
      <c r="A992" s="11"/>
      <c r="B992" s="11"/>
      <c r="C992" s="11"/>
      <c r="D992" s="11"/>
      <c r="E992" s="55"/>
      <c r="F992" s="50"/>
      <c r="G992" s="11"/>
      <c r="H992" s="11"/>
      <c r="I992" s="11"/>
      <c r="J992" s="55"/>
    </row>
    <row r="993">
      <c r="A993" s="11"/>
      <c r="B993" s="11"/>
      <c r="C993" s="11"/>
      <c r="D993" s="11"/>
      <c r="E993" s="55"/>
      <c r="F993" s="50"/>
      <c r="G993" s="11"/>
      <c r="H993" s="11"/>
      <c r="I993" s="11"/>
      <c r="J993" s="55"/>
    </row>
    <row r="994">
      <c r="A994" s="11"/>
      <c r="B994" s="11"/>
      <c r="C994" s="11"/>
      <c r="D994" s="11"/>
      <c r="E994" s="55"/>
      <c r="F994" s="50"/>
      <c r="G994" s="11"/>
      <c r="H994" s="11"/>
      <c r="I994" s="11"/>
      <c r="J994" s="55"/>
    </row>
    <row r="995">
      <c r="A995" s="11"/>
      <c r="B995" s="11"/>
      <c r="C995" s="11"/>
      <c r="D995" s="11"/>
      <c r="E995" s="55"/>
      <c r="F995" s="50"/>
      <c r="G995" s="11"/>
      <c r="H995" s="11"/>
      <c r="I995" s="11"/>
      <c r="J995" s="55"/>
    </row>
    <row r="996">
      <c r="A996" s="11"/>
      <c r="B996" s="11"/>
      <c r="C996" s="11"/>
      <c r="D996" s="11"/>
      <c r="E996" s="55"/>
      <c r="F996" s="50"/>
      <c r="G996" s="11"/>
      <c r="H996" s="11"/>
      <c r="I996" s="11"/>
      <c r="J996" s="55"/>
    </row>
    <row r="997">
      <c r="A997" s="11"/>
      <c r="B997" s="11"/>
      <c r="C997" s="11"/>
      <c r="D997" s="11"/>
      <c r="E997" s="55"/>
      <c r="F997" s="50"/>
      <c r="G997" s="11"/>
      <c r="H997" s="11"/>
      <c r="I997" s="11"/>
      <c r="J997" s="55"/>
    </row>
    <row r="998">
      <c r="A998" s="11"/>
      <c r="B998" s="11"/>
      <c r="C998" s="11"/>
      <c r="D998" s="11"/>
      <c r="E998" s="55"/>
      <c r="F998" s="50"/>
      <c r="G998" s="11"/>
      <c r="H998" s="11"/>
      <c r="I998" s="11"/>
      <c r="J998" s="55"/>
    </row>
    <row r="999">
      <c r="A999" s="11"/>
      <c r="B999" s="11"/>
      <c r="C999" s="11"/>
      <c r="D999" s="11"/>
      <c r="E999" s="55"/>
      <c r="F999" s="50"/>
      <c r="G999" s="11"/>
      <c r="H999" s="11"/>
      <c r="I999" s="11"/>
      <c r="J999" s="55"/>
    </row>
    <row r="1000">
      <c r="A1000" s="11"/>
      <c r="B1000" s="11"/>
      <c r="C1000" s="11"/>
      <c r="D1000" s="11"/>
      <c r="E1000" s="55"/>
      <c r="F1000" s="50"/>
      <c r="G1000" s="11"/>
      <c r="H1000" s="11"/>
      <c r="I1000" s="11"/>
      <c r="J1000" s="55"/>
    </row>
    <row r="1001">
      <c r="A1001" s="11"/>
      <c r="B1001" s="11"/>
      <c r="C1001" s="11"/>
      <c r="D1001" s="11"/>
      <c r="E1001" s="55"/>
      <c r="F1001" s="50"/>
      <c r="G1001" s="11"/>
      <c r="H1001" s="11"/>
      <c r="I1001" s="11"/>
      <c r="J1001" s="55"/>
    </row>
    <row r="1002">
      <c r="A1002" s="11"/>
      <c r="B1002" s="11"/>
      <c r="C1002" s="11"/>
      <c r="D1002" s="11"/>
      <c r="E1002" s="55"/>
      <c r="F1002" s="50"/>
      <c r="G1002" s="11"/>
      <c r="H1002" s="11"/>
      <c r="I1002" s="11"/>
      <c r="J1002" s="55"/>
    </row>
    <row r="1003">
      <c r="A1003" s="11"/>
      <c r="B1003" s="11"/>
      <c r="C1003" s="11"/>
      <c r="D1003" s="11"/>
      <c r="E1003" s="55"/>
      <c r="F1003" s="50"/>
      <c r="G1003" s="11"/>
      <c r="H1003" s="11"/>
      <c r="I1003" s="11"/>
      <c r="J1003" s="55"/>
    </row>
    <row r="1004">
      <c r="A1004" s="11"/>
      <c r="B1004" s="11"/>
      <c r="C1004" s="11"/>
      <c r="D1004" s="11"/>
      <c r="E1004" s="55"/>
      <c r="F1004" s="50"/>
      <c r="G1004" s="11"/>
      <c r="H1004" s="11"/>
      <c r="I1004" s="11"/>
      <c r="J1004" s="55"/>
    </row>
    <row r="1005">
      <c r="A1005" s="11"/>
      <c r="B1005" s="11"/>
      <c r="C1005" s="11"/>
      <c r="D1005" s="11"/>
      <c r="E1005" s="55"/>
      <c r="F1005" s="50"/>
      <c r="G1005" s="11"/>
      <c r="H1005" s="11"/>
      <c r="I1005" s="11"/>
      <c r="J1005" s="55"/>
    </row>
    <row r="1006">
      <c r="A1006" s="11"/>
      <c r="B1006" s="11"/>
      <c r="C1006" s="11"/>
      <c r="D1006" s="11"/>
      <c r="E1006" s="55"/>
      <c r="F1006" s="50"/>
      <c r="G1006" s="11"/>
      <c r="H1006" s="11"/>
      <c r="I1006" s="11"/>
      <c r="J1006" s="55"/>
    </row>
    <row r="1007">
      <c r="A1007" s="11"/>
      <c r="B1007" s="11"/>
      <c r="C1007" s="11"/>
      <c r="D1007" s="11"/>
      <c r="E1007" s="55"/>
      <c r="F1007" s="50"/>
      <c r="G1007" s="11"/>
      <c r="H1007" s="11"/>
      <c r="I1007" s="11"/>
      <c r="J1007" s="55"/>
    </row>
    <row r="1008">
      <c r="A1008" s="11"/>
      <c r="B1008" s="11"/>
      <c r="C1008" s="11"/>
      <c r="D1008" s="11"/>
      <c r="E1008" s="55"/>
      <c r="F1008" s="50"/>
      <c r="G1008" s="11"/>
      <c r="H1008" s="11"/>
      <c r="I1008" s="11"/>
      <c r="J1008" s="55"/>
    </row>
    <row r="1009">
      <c r="A1009" s="11"/>
      <c r="B1009" s="11"/>
      <c r="C1009" s="11"/>
      <c r="D1009" s="11"/>
      <c r="E1009" s="55"/>
      <c r="F1009" s="50"/>
      <c r="G1009" s="11"/>
      <c r="H1009" s="11"/>
      <c r="I1009" s="11"/>
      <c r="J1009" s="55"/>
    </row>
    <row r="1010">
      <c r="A1010" s="11"/>
      <c r="B1010" s="11"/>
      <c r="C1010" s="11"/>
      <c r="D1010" s="11"/>
      <c r="E1010" s="55"/>
      <c r="F1010" s="50"/>
      <c r="G1010" s="11"/>
      <c r="H1010" s="11"/>
      <c r="I1010" s="11"/>
      <c r="J1010" s="55"/>
    </row>
    <row r="1011">
      <c r="A1011" s="11"/>
      <c r="B1011" s="11"/>
      <c r="C1011" s="11"/>
      <c r="D1011" s="11"/>
      <c r="E1011" s="55"/>
      <c r="F1011" s="50"/>
      <c r="G1011" s="11"/>
      <c r="H1011" s="11"/>
      <c r="I1011" s="11"/>
      <c r="J1011" s="55"/>
    </row>
    <row r="1012">
      <c r="A1012" s="11"/>
      <c r="B1012" s="11"/>
      <c r="C1012" s="11"/>
      <c r="D1012" s="11"/>
      <c r="E1012" s="55"/>
      <c r="F1012" s="50"/>
      <c r="G1012" s="11"/>
      <c r="H1012" s="11"/>
      <c r="I1012" s="11"/>
      <c r="J1012" s="55"/>
    </row>
    <row r="1013">
      <c r="A1013" s="11"/>
      <c r="B1013" s="11"/>
      <c r="C1013" s="11"/>
      <c r="D1013" s="11"/>
      <c r="E1013" s="55"/>
      <c r="F1013" s="50"/>
      <c r="G1013" s="11"/>
      <c r="H1013" s="11"/>
      <c r="I1013" s="11"/>
      <c r="J1013" s="55"/>
    </row>
    <row r="1014">
      <c r="A1014" s="11"/>
      <c r="B1014" s="11"/>
      <c r="C1014" s="11"/>
      <c r="D1014" s="11"/>
      <c r="E1014" s="55"/>
      <c r="F1014" s="50"/>
      <c r="G1014" s="11"/>
      <c r="H1014" s="11"/>
      <c r="I1014" s="11"/>
      <c r="J1014" s="55"/>
    </row>
    <row r="1015">
      <c r="A1015" s="11"/>
      <c r="B1015" s="11"/>
      <c r="C1015" s="11"/>
      <c r="D1015" s="11"/>
      <c r="E1015" s="55"/>
      <c r="F1015" s="50"/>
      <c r="G1015" s="11"/>
      <c r="H1015" s="11"/>
      <c r="I1015" s="11"/>
      <c r="J1015" s="55"/>
    </row>
    <row r="1016">
      <c r="A1016" s="11"/>
      <c r="B1016" s="11"/>
      <c r="C1016" s="11"/>
      <c r="D1016" s="11"/>
      <c r="E1016" s="55"/>
      <c r="F1016" s="50"/>
      <c r="G1016" s="11"/>
      <c r="H1016" s="11"/>
      <c r="I1016" s="11"/>
      <c r="J1016" s="55"/>
    </row>
    <row r="1017">
      <c r="A1017" s="11"/>
      <c r="B1017" s="11"/>
      <c r="C1017" s="11"/>
      <c r="D1017" s="11"/>
      <c r="E1017" s="55"/>
      <c r="F1017" s="50"/>
      <c r="G1017" s="11"/>
      <c r="H1017" s="11"/>
      <c r="I1017" s="11"/>
      <c r="J1017" s="55"/>
    </row>
  </sheetData>
  <mergeCells count="13">
    <mergeCell ref="D6:D9"/>
    <mergeCell ref="E6:E9"/>
    <mergeCell ref="B10:B13"/>
    <mergeCell ref="C10:C13"/>
    <mergeCell ref="D10:D13"/>
    <mergeCell ref="E10:E13"/>
    <mergeCell ref="B2:C2"/>
    <mergeCell ref="F2:J2"/>
    <mergeCell ref="B3:J3"/>
    <mergeCell ref="B4:E4"/>
    <mergeCell ref="G4:J4"/>
    <mergeCell ref="B6:B9"/>
    <mergeCell ref="C6:C9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4.63"/>
    <col customWidth="1" min="4" max="4" width="30.75"/>
    <col customWidth="1" min="5" max="5" width="5.38"/>
  </cols>
  <sheetData>
    <row r="1" ht="15.0" customHeight="1">
      <c r="A1" s="11"/>
      <c r="B1" s="53"/>
      <c r="C1" s="54"/>
      <c r="D1" s="54"/>
      <c r="E1" s="73"/>
    </row>
    <row r="2" ht="73.5" customHeight="1">
      <c r="A2" s="11"/>
      <c r="B2" s="56"/>
      <c r="C2" s="57"/>
      <c r="D2" s="57"/>
      <c r="E2" s="75"/>
    </row>
    <row r="3">
      <c r="A3" s="11"/>
      <c r="B3" s="59" t="s">
        <v>154</v>
      </c>
      <c r="E3" s="60"/>
    </row>
    <row r="4">
      <c r="A4" s="11"/>
      <c r="B4" s="61" t="s">
        <v>91</v>
      </c>
      <c r="E4" s="60"/>
    </row>
    <row r="5">
      <c r="A5" s="11"/>
      <c r="B5" s="87" t="s">
        <v>92</v>
      </c>
      <c r="C5" s="88" t="s">
        <v>93</v>
      </c>
      <c r="D5" s="88" t="s">
        <v>94</v>
      </c>
      <c r="E5" s="89" t="s">
        <v>95</v>
      </c>
    </row>
    <row r="6">
      <c r="A6" s="11"/>
      <c r="B6" s="90" t="s">
        <v>21</v>
      </c>
      <c r="C6" s="91" t="s">
        <v>155</v>
      </c>
      <c r="D6" s="92" t="s">
        <v>156</v>
      </c>
      <c r="E6" s="93" t="s">
        <v>123</v>
      </c>
    </row>
    <row r="7">
      <c r="A7" s="94"/>
      <c r="B7" s="95" t="s">
        <v>33</v>
      </c>
      <c r="C7" s="96" t="s">
        <v>157</v>
      </c>
      <c r="D7" s="97" t="s">
        <v>158</v>
      </c>
      <c r="E7" s="98" t="s">
        <v>123</v>
      </c>
    </row>
    <row r="8">
      <c r="A8" s="94"/>
      <c r="B8" s="95" t="s">
        <v>44</v>
      </c>
      <c r="C8" s="96" t="s">
        <v>159</v>
      </c>
      <c r="D8" s="97" t="s">
        <v>97</v>
      </c>
      <c r="E8" s="98" t="s">
        <v>97</v>
      </c>
    </row>
    <row r="9">
      <c r="A9" s="94"/>
      <c r="B9" s="95" t="s">
        <v>53</v>
      </c>
      <c r="C9" s="96" t="s">
        <v>160</v>
      </c>
      <c r="D9" s="99" t="s">
        <v>161</v>
      </c>
      <c r="E9" s="100">
        <v>20.0</v>
      </c>
    </row>
    <row r="10">
      <c r="A10" s="94"/>
      <c r="B10" s="95" t="s">
        <v>61</v>
      </c>
      <c r="C10" s="96" t="s">
        <v>162</v>
      </c>
      <c r="D10" s="97" t="s">
        <v>97</v>
      </c>
      <c r="E10" s="98" t="s">
        <v>97</v>
      </c>
    </row>
    <row r="11">
      <c r="A11" s="94"/>
      <c r="B11" s="95" t="s">
        <v>68</v>
      </c>
      <c r="C11" s="96" t="s">
        <v>163</v>
      </c>
      <c r="D11" s="97" t="s">
        <v>164</v>
      </c>
      <c r="E11" s="98">
        <v>30.0</v>
      </c>
    </row>
    <row r="12">
      <c r="A12" s="94"/>
      <c r="B12" s="101" t="s">
        <v>74</v>
      </c>
      <c r="C12" s="102" t="s">
        <v>165</v>
      </c>
      <c r="D12" s="103" t="s">
        <v>97</v>
      </c>
      <c r="E12" s="104" t="s">
        <v>97</v>
      </c>
    </row>
    <row r="13">
      <c r="A13" s="94"/>
      <c r="B13" s="94"/>
      <c r="C13" s="94"/>
      <c r="D13" s="94"/>
      <c r="E13" s="94"/>
    </row>
    <row r="14">
      <c r="A14" s="11"/>
      <c r="B14" s="11"/>
      <c r="C14" s="11"/>
      <c r="D14" s="55"/>
      <c r="E14" s="55"/>
    </row>
    <row r="15">
      <c r="A15" s="11"/>
      <c r="B15" s="11"/>
      <c r="C15" s="11"/>
      <c r="D15" s="55"/>
      <c r="E15" s="55"/>
    </row>
    <row r="16">
      <c r="A16" s="11"/>
      <c r="B16" s="11"/>
      <c r="C16" s="11"/>
      <c r="D16" s="55"/>
      <c r="E16" s="55"/>
    </row>
    <row r="17">
      <c r="A17" s="11"/>
      <c r="B17" s="11"/>
      <c r="C17" s="11"/>
      <c r="D17" s="55"/>
      <c r="E17" s="55"/>
    </row>
    <row r="18">
      <c r="A18" s="11"/>
      <c r="B18" s="11"/>
      <c r="C18" s="11"/>
      <c r="D18" s="55"/>
      <c r="E18" s="55"/>
    </row>
    <row r="19">
      <c r="A19" s="11"/>
      <c r="B19" s="11"/>
      <c r="C19" s="11"/>
      <c r="D19" s="55"/>
      <c r="E19" s="50"/>
    </row>
  </sheetData>
  <mergeCells count="3">
    <mergeCell ref="B2:E2"/>
    <mergeCell ref="B3:E3"/>
    <mergeCell ref="B4:E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4.63"/>
    <col customWidth="1" min="4" max="4" width="30.75"/>
    <col customWidth="1" min="5" max="6" width="5.38"/>
    <col customWidth="1" min="7" max="7" width="20.63"/>
    <col customWidth="1" min="8" max="9" width="22.75"/>
    <col customWidth="1" min="10" max="10" width="24.5"/>
    <col customWidth="1" min="11" max="11" width="5.38"/>
  </cols>
  <sheetData>
    <row r="1">
      <c r="A1" s="11"/>
      <c r="B1" s="53"/>
      <c r="C1" s="54"/>
      <c r="D1" s="54"/>
      <c r="E1" s="73"/>
      <c r="F1" s="73"/>
      <c r="G1" s="73"/>
      <c r="H1" s="73"/>
      <c r="I1" s="73"/>
      <c r="J1" s="73"/>
      <c r="K1" s="73"/>
    </row>
    <row r="2" ht="58.5" customHeight="1">
      <c r="A2" s="11"/>
      <c r="B2" s="56"/>
      <c r="C2" s="57"/>
      <c r="D2" s="57"/>
      <c r="E2" s="57"/>
      <c r="F2" s="57"/>
      <c r="G2" s="57"/>
      <c r="H2" s="57"/>
      <c r="I2" s="57"/>
      <c r="J2" s="57"/>
      <c r="K2" s="75"/>
    </row>
    <row r="3">
      <c r="A3" s="11"/>
      <c r="B3" s="59" t="s">
        <v>13</v>
      </c>
      <c r="K3" s="60"/>
    </row>
    <row r="4">
      <c r="A4" s="11"/>
      <c r="B4" s="61" t="s">
        <v>91</v>
      </c>
      <c r="E4" s="60"/>
      <c r="F4" s="10"/>
      <c r="G4" s="10" t="s">
        <v>128</v>
      </c>
    </row>
    <row r="5">
      <c r="A5" s="11"/>
      <c r="B5" s="87" t="s">
        <v>92</v>
      </c>
      <c r="C5" s="88" t="s">
        <v>93</v>
      </c>
      <c r="D5" s="88" t="s">
        <v>94</v>
      </c>
      <c r="E5" s="89" t="s">
        <v>95</v>
      </c>
      <c r="F5" s="88"/>
      <c r="G5" s="87" t="s">
        <v>92</v>
      </c>
      <c r="H5" s="105" t="s">
        <v>166</v>
      </c>
      <c r="I5" s="88" t="s">
        <v>93</v>
      </c>
      <c r="J5" s="88" t="s">
        <v>94</v>
      </c>
      <c r="K5" s="89" t="s">
        <v>95</v>
      </c>
    </row>
    <row r="6">
      <c r="A6" s="11"/>
      <c r="B6" s="16" t="s">
        <v>13</v>
      </c>
      <c r="C6" s="21" t="s">
        <v>167</v>
      </c>
      <c r="D6" s="106"/>
      <c r="E6" s="76"/>
      <c r="F6" s="55"/>
      <c r="G6" s="16" t="s">
        <v>22</v>
      </c>
      <c r="H6" s="21" t="s">
        <v>168</v>
      </c>
      <c r="I6" s="21" t="s">
        <v>169</v>
      </c>
      <c r="J6" s="106" t="s">
        <v>170</v>
      </c>
      <c r="K6" s="76">
        <v>50.0</v>
      </c>
    </row>
    <row r="7">
      <c r="A7" s="11"/>
      <c r="B7" s="79"/>
      <c r="D7" s="55"/>
      <c r="E7" s="70"/>
      <c r="F7" s="107"/>
      <c r="G7" s="68" t="s">
        <v>34</v>
      </c>
      <c r="H7" s="108"/>
      <c r="I7" s="108" t="s">
        <v>171</v>
      </c>
      <c r="J7" s="107" t="s">
        <v>172</v>
      </c>
      <c r="K7" s="109">
        <v>60.0</v>
      </c>
    </row>
    <row r="8">
      <c r="A8" s="11"/>
      <c r="B8" s="79"/>
      <c r="D8" s="55"/>
      <c r="E8" s="70"/>
      <c r="F8" s="107"/>
      <c r="G8" s="68" t="s">
        <v>45</v>
      </c>
      <c r="H8" s="108"/>
      <c r="I8" s="108" t="s">
        <v>173</v>
      </c>
      <c r="J8" s="107" t="s">
        <v>174</v>
      </c>
      <c r="K8" s="109">
        <v>50.0</v>
      </c>
    </row>
    <row r="9">
      <c r="A9" s="94"/>
      <c r="B9" s="81"/>
      <c r="C9" s="82"/>
      <c r="D9" s="71"/>
      <c r="E9" s="72"/>
      <c r="F9" s="107"/>
      <c r="G9" s="110" t="s">
        <v>54</v>
      </c>
      <c r="H9" s="111"/>
      <c r="I9" s="111" t="s">
        <v>175</v>
      </c>
      <c r="J9" s="112" t="s">
        <v>97</v>
      </c>
      <c r="K9" s="113" t="s">
        <v>97</v>
      </c>
    </row>
    <row r="10">
      <c r="A10" s="94"/>
      <c r="B10" s="94"/>
      <c r="C10" s="108"/>
      <c r="D10" s="108"/>
      <c r="E10" s="108"/>
      <c r="F10" s="108"/>
      <c r="G10" s="108"/>
      <c r="H10" s="108"/>
      <c r="I10" s="108"/>
      <c r="J10" s="108"/>
      <c r="K10" s="108"/>
    </row>
    <row r="11">
      <c r="A11" s="94"/>
      <c r="B11" s="108"/>
      <c r="C11" s="108"/>
      <c r="D11" s="108"/>
      <c r="E11" s="108"/>
      <c r="F11" s="108"/>
      <c r="G11" s="108"/>
      <c r="H11" s="108"/>
      <c r="I11" s="108"/>
      <c r="J11" s="108"/>
      <c r="K11" s="108"/>
    </row>
    <row r="12">
      <c r="A12" s="94"/>
      <c r="B12" s="108"/>
      <c r="C12" s="108"/>
      <c r="D12" s="108"/>
      <c r="E12" s="108"/>
      <c r="F12" s="108"/>
      <c r="G12" s="108"/>
      <c r="H12" s="108"/>
      <c r="I12" s="108"/>
      <c r="J12" s="108"/>
      <c r="K12" s="108"/>
    </row>
    <row r="13">
      <c r="A13" s="94"/>
      <c r="B13" s="108"/>
      <c r="C13" s="108"/>
      <c r="D13" s="108"/>
      <c r="E13" s="108"/>
      <c r="F13" s="108"/>
      <c r="G13" s="108"/>
      <c r="H13" s="108"/>
      <c r="I13" s="108"/>
      <c r="J13" s="108"/>
      <c r="K13" s="108"/>
    </row>
    <row r="14">
      <c r="A14" s="11"/>
      <c r="B14" s="108"/>
      <c r="C14" s="108"/>
      <c r="D14" s="108"/>
      <c r="E14" s="108"/>
      <c r="F14" s="108"/>
      <c r="G14" s="108"/>
      <c r="H14" s="108"/>
      <c r="I14" s="108"/>
      <c r="J14" s="108"/>
      <c r="K14" s="108"/>
    </row>
    <row r="15">
      <c r="A15" s="11"/>
      <c r="B15" s="108"/>
      <c r="C15" s="108"/>
      <c r="D15" s="108"/>
      <c r="E15" s="108"/>
      <c r="F15" s="108"/>
      <c r="G15" s="108"/>
      <c r="H15" s="108"/>
      <c r="I15" s="108"/>
      <c r="J15" s="108"/>
      <c r="K15" s="108"/>
    </row>
    <row r="16">
      <c r="A16" s="11"/>
      <c r="B16" s="108"/>
      <c r="C16" s="108"/>
      <c r="D16" s="108"/>
      <c r="E16" s="108"/>
      <c r="F16" s="108"/>
      <c r="G16" s="108"/>
      <c r="H16" s="108"/>
      <c r="I16" s="108"/>
      <c r="J16" s="108"/>
      <c r="K16" s="108"/>
    </row>
    <row r="17">
      <c r="A17" s="11"/>
      <c r="B17" s="108"/>
      <c r="C17" s="114" t="s">
        <v>176</v>
      </c>
      <c r="D17" s="115"/>
      <c r="E17" s="108"/>
      <c r="F17" s="108"/>
      <c r="G17" s="108"/>
      <c r="H17" s="108"/>
      <c r="I17" s="108"/>
      <c r="J17" s="108"/>
      <c r="K17" s="108"/>
    </row>
    <row r="18">
      <c r="A18" s="11"/>
      <c r="B18" s="108"/>
      <c r="C18" s="108"/>
      <c r="D18" s="108"/>
      <c r="E18" s="108"/>
      <c r="F18" s="108"/>
      <c r="G18" s="108"/>
      <c r="H18" s="108"/>
      <c r="I18" s="108"/>
      <c r="J18" s="108"/>
      <c r="K18" s="108"/>
    </row>
    <row r="19">
      <c r="A19" s="11"/>
      <c r="B19" s="108"/>
      <c r="C19" s="108"/>
      <c r="D19" s="108"/>
      <c r="E19" s="108"/>
      <c r="F19" s="108"/>
      <c r="G19" s="108"/>
      <c r="H19" s="108"/>
      <c r="I19" s="108"/>
      <c r="J19" s="108"/>
      <c r="K19" s="108"/>
    </row>
    <row r="20">
      <c r="A20" s="11"/>
      <c r="B20" s="108"/>
      <c r="C20" s="108"/>
      <c r="D20" s="108"/>
      <c r="E20" s="108"/>
      <c r="F20" s="108"/>
      <c r="G20" s="108"/>
      <c r="H20" s="108"/>
      <c r="I20" s="108"/>
      <c r="J20" s="108"/>
      <c r="K20" s="108"/>
    </row>
    <row r="21">
      <c r="A21" s="11"/>
      <c r="B21" s="108"/>
      <c r="C21" s="108"/>
      <c r="D21" s="108"/>
      <c r="E21" s="108"/>
      <c r="F21" s="108"/>
      <c r="G21" s="108"/>
      <c r="H21" s="108"/>
      <c r="I21" s="108"/>
      <c r="J21" s="108"/>
      <c r="K21" s="108"/>
    </row>
    <row r="22">
      <c r="A22" s="11"/>
      <c r="B22" s="108"/>
      <c r="C22" s="108"/>
      <c r="D22" s="108"/>
      <c r="E22" s="108"/>
      <c r="F22" s="108"/>
      <c r="G22" s="108"/>
      <c r="H22" s="108"/>
      <c r="I22" s="108"/>
      <c r="J22" s="108"/>
      <c r="K22" s="108"/>
    </row>
    <row r="23">
      <c r="A23" s="11"/>
      <c r="B23" s="108"/>
      <c r="C23" s="108"/>
      <c r="D23" s="108"/>
      <c r="E23" s="108"/>
      <c r="F23" s="108"/>
      <c r="G23" s="108"/>
      <c r="H23" s="108"/>
      <c r="I23" s="108"/>
      <c r="J23" s="108"/>
      <c r="K23" s="108"/>
    </row>
    <row r="24">
      <c r="A24" s="11"/>
      <c r="B24" s="108"/>
      <c r="C24" s="108"/>
      <c r="D24" s="108"/>
      <c r="E24" s="108"/>
      <c r="F24" s="108"/>
      <c r="G24" s="108"/>
      <c r="H24" s="108"/>
      <c r="I24" s="108"/>
      <c r="J24" s="108"/>
      <c r="K24" s="108"/>
    </row>
    <row r="25">
      <c r="A25" s="11"/>
      <c r="B25" s="108"/>
      <c r="C25" s="108"/>
      <c r="D25" s="108"/>
      <c r="E25" s="108"/>
      <c r="F25" s="108"/>
      <c r="G25" s="108"/>
      <c r="H25" s="108"/>
      <c r="I25" s="108"/>
      <c r="J25" s="108"/>
      <c r="K25" s="108"/>
    </row>
    <row r="26">
      <c r="A26" s="11"/>
      <c r="B26" s="108"/>
      <c r="C26" s="108"/>
      <c r="D26" s="108"/>
      <c r="E26" s="108"/>
      <c r="F26" s="108"/>
      <c r="G26" s="108"/>
      <c r="H26" s="108"/>
      <c r="I26" s="108"/>
      <c r="J26" s="108"/>
      <c r="K26" s="108"/>
    </row>
    <row r="27">
      <c r="A27" s="11"/>
      <c r="B27" s="108"/>
      <c r="C27" s="108"/>
      <c r="D27" s="108"/>
      <c r="E27" s="108"/>
      <c r="F27" s="108"/>
      <c r="G27" s="108"/>
      <c r="H27" s="108"/>
      <c r="I27" s="108"/>
      <c r="J27" s="108"/>
      <c r="K27" s="108"/>
    </row>
    <row r="28">
      <c r="A28" s="11"/>
      <c r="B28" s="108"/>
      <c r="C28" s="108"/>
      <c r="D28" s="108"/>
      <c r="E28" s="108"/>
      <c r="F28" s="108"/>
      <c r="G28" s="108"/>
      <c r="H28" s="108"/>
      <c r="I28" s="108"/>
      <c r="J28" s="108"/>
      <c r="K28" s="108"/>
    </row>
    <row r="29">
      <c r="A29" s="11"/>
      <c r="B29" s="108"/>
      <c r="C29" s="108"/>
      <c r="D29" s="108"/>
      <c r="E29" s="108"/>
      <c r="F29" s="108"/>
      <c r="G29" s="108"/>
      <c r="H29" s="108"/>
      <c r="I29" s="108"/>
      <c r="J29" s="108"/>
      <c r="K29" s="108"/>
    </row>
    <row r="30">
      <c r="A30" s="11"/>
      <c r="B30" s="108"/>
      <c r="C30" s="108"/>
      <c r="D30" s="108"/>
      <c r="E30" s="108"/>
      <c r="F30" s="108"/>
      <c r="G30" s="108"/>
      <c r="H30" s="108"/>
      <c r="I30" s="108"/>
      <c r="J30" s="108"/>
      <c r="K30" s="108"/>
    </row>
    <row r="31">
      <c r="A31" s="11"/>
      <c r="B31" s="108"/>
      <c r="C31" s="108"/>
      <c r="D31" s="108"/>
      <c r="E31" s="108"/>
      <c r="F31" s="108"/>
      <c r="G31" s="108"/>
      <c r="H31" s="108"/>
      <c r="I31" s="108"/>
      <c r="J31" s="108"/>
      <c r="K31" s="108"/>
    </row>
    <row r="32">
      <c r="A32" s="11"/>
      <c r="B32" s="108"/>
      <c r="C32" s="108"/>
      <c r="D32" s="108"/>
      <c r="E32" s="108"/>
      <c r="F32" s="108"/>
      <c r="G32" s="108"/>
      <c r="H32" s="108"/>
      <c r="I32" s="108"/>
      <c r="J32" s="108"/>
      <c r="K32" s="108"/>
    </row>
    <row r="33">
      <c r="A33" s="11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>
      <c r="A34" s="11"/>
      <c r="B34" s="108"/>
      <c r="C34" s="108"/>
      <c r="D34" s="108"/>
      <c r="E34" s="108"/>
      <c r="F34" s="108"/>
      <c r="G34" s="108"/>
      <c r="H34" s="108"/>
      <c r="I34" s="108"/>
      <c r="J34" s="108"/>
      <c r="K34" s="108"/>
    </row>
    <row r="35">
      <c r="A35" s="11"/>
      <c r="B35" s="108"/>
      <c r="C35" s="108"/>
      <c r="D35" s="108"/>
      <c r="E35" s="108"/>
      <c r="F35" s="108"/>
      <c r="G35" s="108"/>
      <c r="H35" s="108"/>
      <c r="I35" s="108"/>
      <c r="J35" s="108"/>
      <c r="K35" s="108"/>
    </row>
    <row r="36">
      <c r="A36" s="11"/>
      <c r="B36" s="108"/>
      <c r="C36" s="108"/>
      <c r="D36" s="108"/>
      <c r="E36" s="108"/>
      <c r="F36" s="108"/>
      <c r="G36" s="108"/>
      <c r="H36" s="108"/>
      <c r="I36" s="108"/>
      <c r="J36" s="108"/>
      <c r="K36" s="108"/>
    </row>
    <row r="37">
      <c r="A37" s="11"/>
      <c r="B37" s="108"/>
      <c r="C37" s="108"/>
      <c r="D37" s="108"/>
      <c r="E37" s="108"/>
      <c r="F37" s="108"/>
      <c r="G37" s="108"/>
      <c r="H37" s="108"/>
      <c r="I37" s="108"/>
      <c r="J37" s="108"/>
      <c r="K37" s="108"/>
    </row>
    <row r="38">
      <c r="A38" s="11"/>
      <c r="B38" s="108"/>
      <c r="C38" s="108"/>
      <c r="D38" s="108"/>
      <c r="E38" s="108"/>
      <c r="F38" s="108"/>
      <c r="G38" s="108"/>
      <c r="H38" s="108"/>
      <c r="I38" s="108"/>
      <c r="J38" s="108"/>
      <c r="K38" s="108"/>
    </row>
    <row r="39">
      <c r="A39" s="11"/>
      <c r="B39" s="108"/>
      <c r="C39" s="108"/>
      <c r="D39" s="108"/>
      <c r="E39" s="108"/>
      <c r="F39" s="108"/>
      <c r="G39" s="108"/>
      <c r="H39" s="108"/>
      <c r="I39" s="108"/>
      <c r="J39" s="108"/>
      <c r="K39" s="108"/>
    </row>
    <row r="40">
      <c r="A40" s="11"/>
      <c r="B40" s="108"/>
      <c r="C40" s="108"/>
      <c r="D40" s="108"/>
      <c r="E40" s="108"/>
      <c r="F40" s="108"/>
      <c r="G40" s="108"/>
      <c r="H40" s="108"/>
      <c r="I40" s="108"/>
      <c r="J40" s="108"/>
      <c r="K40" s="108"/>
    </row>
    <row r="41">
      <c r="A41" s="11"/>
      <c r="B41" s="108"/>
      <c r="C41" s="108"/>
      <c r="D41" s="108"/>
      <c r="E41" s="108"/>
      <c r="F41" s="108"/>
      <c r="G41" s="108"/>
      <c r="H41" s="108"/>
      <c r="I41" s="108"/>
      <c r="J41" s="108"/>
      <c r="K41" s="108"/>
    </row>
    <row r="42">
      <c r="A42" s="11"/>
      <c r="B42" s="108"/>
      <c r="C42" s="108"/>
      <c r="D42" s="108"/>
      <c r="E42" s="108"/>
      <c r="F42" s="108"/>
      <c r="G42" s="108"/>
      <c r="H42" s="108"/>
      <c r="I42" s="108"/>
      <c r="J42" s="108"/>
      <c r="K42" s="108"/>
    </row>
    <row r="43">
      <c r="A43" s="11"/>
      <c r="B43" s="108"/>
      <c r="C43" s="108"/>
      <c r="D43" s="108"/>
      <c r="E43" s="108"/>
      <c r="F43" s="108"/>
      <c r="G43" s="108"/>
      <c r="H43" s="108"/>
      <c r="I43" s="108"/>
      <c r="J43" s="108"/>
      <c r="K43" s="108"/>
    </row>
    <row r="44">
      <c r="A44" s="11"/>
      <c r="B44" s="108"/>
      <c r="C44" s="108"/>
      <c r="D44" s="108"/>
      <c r="E44" s="108"/>
      <c r="F44" s="108"/>
      <c r="G44" s="108"/>
      <c r="H44" s="108"/>
      <c r="I44" s="108"/>
      <c r="J44" s="108"/>
      <c r="K44" s="108"/>
    </row>
    <row r="45">
      <c r="A45" s="11"/>
      <c r="B45" s="108"/>
      <c r="C45" s="108"/>
      <c r="D45" s="108"/>
      <c r="E45" s="108"/>
      <c r="F45" s="108"/>
      <c r="G45" s="108"/>
      <c r="H45" s="108"/>
      <c r="I45" s="108"/>
      <c r="J45" s="108"/>
      <c r="K45" s="108"/>
    </row>
    <row r="46">
      <c r="A46" s="11"/>
      <c r="B46" s="108"/>
      <c r="C46" s="108"/>
      <c r="D46" s="108"/>
      <c r="E46" s="108"/>
      <c r="F46" s="108"/>
      <c r="G46" s="108"/>
      <c r="H46" s="108"/>
      <c r="I46" s="108"/>
      <c r="J46" s="108"/>
      <c r="K46" s="108"/>
    </row>
    <row r="47">
      <c r="A47" s="11"/>
      <c r="B47" s="108"/>
      <c r="C47" s="108"/>
      <c r="D47" s="108"/>
      <c r="E47" s="108"/>
      <c r="F47" s="108"/>
      <c r="G47" s="108"/>
      <c r="H47" s="108"/>
      <c r="I47" s="108"/>
      <c r="J47" s="108"/>
      <c r="K47" s="108"/>
    </row>
    <row r="48">
      <c r="A48" s="11"/>
      <c r="B48" s="108"/>
      <c r="C48" s="108"/>
      <c r="D48" s="108"/>
      <c r="E48" s="108"/>
      <c r="F48" s="108"/>
      <c r="G48" s="108"/>
      <c r="H48" s="108"/>
      <c r="I48" s="108"/>
      <c r="J48" s="108"/>
      <c r="K48" s="108"/>
    </row>
    <row r="49">
      <c r="A49" s="11"/>
      <c r="B49" s="108"/>
      <c r="C49" s="108"/>
      <c r="D49" s="108"/>
      <c r="E49" s="108"/>
      <c r="F49" s="108"/>
      <c r="G49" s="108"/>
      <c r="H49" s="108"/>
      <c r="I49" s="108"/>
      <c r="J49" s="108"/>
      <c r="K49" s="108"/>
    </row>
    <row r="50">
      <c r="A50" s="11"/>
      <c r="B50" s="108"/>
      <c r="C50" s="108"/>
      <c r="D50" s="108"/>
      <c r="E50" s="108"/>
      <c r="F50" s="108"/>
      <c r="G50" s="108"/>
      <c r="H50" s="108"/>
      <c r="I50" s="108"/>
      <c r="J50" s="108"/>
      <c r="K50" s="108"/>
    </row>
    <row r="51">
      <c r="A51" s="11"/>
      <c r="B51" s="108"/>
      <c r="C51" s="108"/>
      <c r="D51" s="108"/>
      <c r="E51" s="108"/>
      <c r="F51" s="108"/>
      <c r="G51" s="108"/>
      <c r="H51" s="108"/>
      <c r="I51" s="108"/>
      <c r="J51" s="108"/>
      <c r="K51" s="108"/>
    </row>
    <row r="52">
      <c r="A52" s="11"/>
      <c r="B52" s="108"/>
      <c r="C52" s="108"/>
      <c r="D52" s="108"/>
      <c r="E52" s="108"/>
      <c r="F52" s="108"/>
      <c r="G52" s="108"/>
      <c r="H52" s="108"/>
      <c r="I52" s="108"/>
      <c r="J52" s="108"/>
      <c r="K52" s="108"/>
    </row>
    <row r="53">
      <c r="A53" s="11"/>
      <c r="B53" s="108"/>
      <c r="C53" s="108"/>
      <c r="D53" s="108"/>
      <c r="E53" s="108"/>
      <c r="F53" s="108"/>
      <c r="G53" s="108"/>
      <c r="H53" s="108"/>
      <c r="I53" s="108"/>
      <c r="J53" s="108"/>
      <c r="K53" s="108"/>
    </row>
    <row r="54">
      <c r="A54" s="11"/>
      <c r="B54" s="108"/>
      <c r="C54" s="108"/>
      <c r="D54" s="108"/>
      <c r="E54" s="108"/>
      <c r="F54" s="108"/>
      <c r="G54" s="108"/>
      <c r="H54" s="108"/>
      <c r="I54" s="108"/>
      <c r="J54" s="108"/>
      <c r="K54" s="108"/>
    </row>
    <row r="55">
      <c r="A55" s="11"/>
      <c r="B55" s="108"/>
      <c r="C55" s="108"/>
      <c r="D55" s="108"/>
      <c r="E55" s="108"/>
      <c r="F55" s="108"/>
      <c r="G55" s="108"/>
      <c r="H55" s="108"/>
      <c r="I55" s="108"/>
      <c r="J55" s="108"/>
      <c r="K55" s="108"/>
    </row>
    <row r="56">
      <c r="A56" s="11"/>
      <c r="B56" s="108"/>
      <c r="C56" s="108"/>
      <c r="D56" s="108"/>
      <c r="E56" s="108"/>
      <c r="F56" s="108"/>
      <c r="G56" s="108"/>
      <c r="H56" s="108"/>
      <c r="I56" s="108"/>
      <c r="J56" s="108"/>
      <c r="K56" s="108"/>
    </row>
    <row r="57">
      <c r="A57" s="11"/>
      <c r="B57" s="108"/>
      <c r="C57" s="108"/>
      <c r="D57" s="108"/>
      <c r="E57" s="108"/>
      <c r="F57" s="108"/>
      <c r="G57" s="108"/>
      <c r="H57" s="108"/>
      <c r="I57" s="108"/>
      <c r="J57" s="108"/>
      <c r="K57" s="108"/>
    </row>
    <row r="58">
      <c r="A58" s="11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>
      <c r="A59" s="11"/>
      <c r="B59" s="108"/>
      <c r="C59" s="108"/>
      <c r="D59" s="108"/>
      <c r="E59" s="108"/>
      <c r="F59" s="108"/>
      <c r="G59" s="108"/>
      <c r="H59" s="108"/>
      <c r="I59" s="108"/>
      <c r="J59" s="108"/>
      <c r="K59" s="108"/>
    </row>
    <row r="60">
      <c r="A60" s="11"/>
      <c r="B60" s="108"/>
      <c r="C60" s="108"/>
      <c r="D60" s="108"/>
      <c r="E60" s="108"/>
      <c r="F60" s="108"/>
      <c r="G60" s="108"/>
      <c r="H60" s="108"/>
      <c r="I60" s="108"/>
      <c r="J60" s="108"/>
      <c r="K60" s="108"/>
    </row>
    <row r="61">
      <c r="A61" s="11"/>
      <c r="B61" s="108"/>
      <c r="C61" s="108"/>
      <c r="D61" s="108"/>
      <c r="E61" s="108"/>
      <c r="F61" s="108"/>
      <c r="G61" s="108"/>
      <c r="H61" s="108"/>
      <c r="I61" s="108"/>
      <c r="J61" s="108"/>
      <c r="K61" s="108"/>
    </row>
    <row r="62">
      <c r="A62" s="11"/>
      <c r="B62" s="108"/>
      <c r="C62" s="108"/>
      <c r="D62" s="108"/>
      <c r="E62" s="108"/>
      <c r="F62" s="108"/>
      <c r="G62" s="108"/>
      <c r="H62" s="108"/>
      <c r="I62" s="108"/>
      <c r="J62" s="108"/>
      <c r="K62" s="108"/>
    </row>
    <row r="63">
      <c r="A63" s="11"/>
      <c r="B63" s="108"/>
      <c r="C63" s="108"/>
      <c r="D63" s="108"/>
      <c r="E63" s="108"/>
      <c r="F63" s="108"/>
      <c r="G63" s="108"/>
      <c r="H63" s="108"/>
      <c r="I63" s="108"/>
      <c r="J63" s="108"/>
      <c r="K63" s="108"/>
    </row>
    <row r="64">
      <c r="A64" s="11"/>
      <c r="B64" s="108"/>
      <c r="C64" s="108"/>
      <c r="D64" s="108"/>
      <c r="E64" s="108"/>
      <c r="F64" s="108"/>
      <c r="G64" s="108"/>
      <c r="H64" s="108"/>
      <c r="I64" s="108"/>
      <c r="J64" s="108"/>
      <c r="K64" s="108"/>
    </row>
    <row r="65">
      <c r="A65" s="11"/>
      <c r="B65" s="108"/>
      <c r="C65" s="108"/>
      <c r="D65" s="108"/>
      <c r="E65" s="108"/>
      <c r="F65" s="108"/>
      <c r="G65" s="108"/>
      <c r="H65" s="108"/>
      <c r="I65" s="108"/>
      <c r="J65" s="108"/>
      <c r="K65" s="108"/>
    </row>
    <row r="66">
      <c r="A66" s="11"/>
      <c r="B66" s="108"/>
      <c r="C66" s="108"/>
      <c r="D66" s="108"/>
      <c r="E66" s="108"/>
      <c r="F66" s="108"/>
      <c r="G66" s="108"/>
      <c r="H66" s="108"/>
      <c r="I66" s="108"/>
      <c r="J66" s="108"/>
      <c r="K66" s="108"/>
    </row>
    <row r="67">
      <c r="A67" s="11"/>
      <c r="B67" s="108"/>
      <c r="C67" s="108"/>
      <c r="D67" s="108"/>
      <c r="E67" s="108"/>
      <c r="F67" s="108"/>
      <c r="G67" s="108"/>
      <c r="H67" s="108"/>
      <c r="I67" s="108"/>
      <c r="J67" s="108"/>
      <c r="K67" s="108"/>
    </row>
    <row r="68">
      <c r="A68" s="11"/>
      <c r="B68" s="108"/>
      <c r="C68" s="108"/>
      <c r="D68" s="108"/>
      <c r="E68" s="108"/>
      <c r="F68" s="108"/>
      <c r="G68" s="108"/>
      <c r="H68" s="108"/>
      <c r="I68" s="108"/>
      <c r="J68" s="108"/>
      <c r="K68" s="108"/>
    </row>
    <row r="69">
      <c r="A69" s="11"/>
      <c r="B69" s="108"/>
      <c r="C69" s="108"/>
      <c r="D69" s="108"/>
      <c r="E69" s="108"/>
      <c r="F69" s="108"/>
      <c r="G69" s="108"/>
      <c r="H69" s="108"/>
      <c r="I69" s="108"/>
      <c r="J69" s="108"/>
      <c r="K69" s="108"/>
    </row>
    <row r="70">
      <c r="A70" s="11"/>
      <c r="B70" s="108"/>
      <c r="C70" s="108"/>
      <c r="D70" s="108"/>
      <c r="E70" s="108"/>
      <c r="F70" s="108"/>
      <c r="G70" s="108"/>
      <c r="H70" s="108"/>
      <c r="I70" s="108"/>
      <c r="J70" s="108"/>
      <c r="K70" s="108"/>
    </row>
    <row r="71">
      <c r="A71" s="11"/>
      <c r="B71" s="108"/>
      <c r="C71" s="108"/>
      <c r="D71" s="108"/>
      <c r="E71" s="108"/>
      <c r="F71" s="108"/>
      <c r="G71" s="108"/>
      <c r="H71" s="108"/>
      <c r="I71" s="108"/>
      <c r="J71" s="108"/>
      <c r="K71" s="108"/>
    </row>
    <row r="72">
      <c r="A72" s="11"/>
      <c r="B72" s="108"/>
      <c r="C72" s="108"/>
      <c r="D72" s="108"/>
      <c r="E72" s="108"/>
      <c r="F72" s="108"/>
      <c r="G72" s="108"/>
      <c r="H72" s="108"/>
      <c r="I72" s="108"/>
      <c r="J72" s="108"/>
      <c r="K72" s="108"/>
    </row>
    <row r="73">
      <c r="A73" s="11"/>
      <c r="B73" s="108"/>
      <c r="C73" s="108"/>
      <c r="D73" s="108"/>
      <c r="E73" s="108"/>
      <c r="F73" s="108"/>
      <c r="G73" s="108"/>
      <c r="H73" s="108"/>
      <c r="I73" s="108"/>
      <c r="J73" s="108"/>
      <c r="K73" s="108"/>
    </row>
    <row r="74">
      <c r="A74" s="11"/>
      <c r="B74" s="108"/>
      <c r="C74" s="108"/>
      <c r="D74" s="108"/>
      <c r="E74" s="108"/>
      <c r="F74" s="108"/>
      <c r="G74" s="108"/>
      <c r="H74" s="108"/>
      <c r="I74" s="108"/>
      <c r="J74" s="108"/>
      <c r="K74" s="108"/>
    </row>
    <row r="75">
      <c r="A75" s="11"/>
      <c r="B75" s="116"/>
      <c r="C75" s="108"/>
      <c r="D75" s="108"/>
      <c r="E75" s="108"/>
      <c r="F75" s="108"/>
      <c r="G75" s="108"/>
      <c r="H75" s="108"/>
      <c r="I75" s="108"/>
      <c r="J75" s="108"/>
      <c r="K75" s="108"/>
    </row>
    <row r="76">
      <c r="A76" s="11"/>
      <c r="B76" s="116"/>
      <c r="C76" s="108"/>
      <c r="D76" s="108"/>
      <c r="E76" s="108"/>
      <c r="F76" s="108"/>
      <c r="G76" s="108"/>
      <c r="H76" s="108"/>
      <c r="I76" s="108"/>
      <c r="J76" s="108"/>
      <c r="K76" s="108"/>
    </row>
    <row r="77">
      <c r="A77" s="11"/>
      <c r="B77" s="116"/>
      <c r="C77" s="108"/>
      <c r="D77" s="108"/>
      <c r="E77" s="108"/>
      <c r="F77" s="108"/>
      <c r="G77" s="108"/>
      <c r="H77" s="108"/>
      <c r="I77" s="108"/>
      <c r="J77" s="108"/>
      <c r="K77" s="108"/>
    </row>
    <row r="78">
      <c r="A78" s="11"/>
      <c r="B78" s="116"/>
      <c r="C78" s="108"/>
      <c r="D78" s="108"/>
      <c r="E78" s="108"/>
      <c r="F78" s="108"/>
      <c r="G78" s="108"/>
      <c r="H78" s="108"/>
      <c r="I78" s="108"/>
      <c r="J78" s="108"/>
      <c r="K78" s="108"/>
    </row>
    <row r="79">
      <c r="A79" s="11"/>
      <c r="B79" s="116"/>
      <c r="C79" s="108"/>
      <c r="D79" s="108"/>
      <c r="E79" s="108"/>
      <c r="F79" s="108"/>
      <c r="G79" s="108"/>
      <c r="H79" s="108"/>
      <c r="I79" s="108"/>
      <c r="J79" s="108"/>
      <c r="K79" s="108"/>
    </row>
    <row r="80">
      <c r="A80" s="11"/>
      <c r="B80" s="116"/>
      <c r="C80" s="108"/>
      <c r="D80" s="108"/>
      <c r="E80" s="108"/>
      <c r="F80" s="108"/>
      <c r="G80" s="108"/>
      <c r="H80" s="108"/>
      <c r="I80" s="108"/>
      <c r="J80" s="108"/>
      <c r="K80" s="108"/>
    </row>
    <row r="81">
      <c r="A81" s="11"/>
      <c r="B81" s="116"/>
      <c r="C81" s="108"/>
      <c r="D81" s="108"/>
      <c r="E81" s="108"/>
      <c r="F81" s="108"/>
      <c r="G81" s="108"/>
      <c r="H81" s="108"/>
      <c r="I81" s="108"/>
      <c r="J81" s="108"/>
      <c r="K81" s="108"/>
    </row>
    <row r="82">
      <c r="A82" s="11"/>
      <c r="B82" s="116"/>
      <c r="C82" s="108"/>
      <c r="D82" s="108"/>
      <c r="E82" s="108"/>
      <c r="F82" s="108"/>
      <c r="G82" s="108"/>
      <c r="H82" s="108"/>
      <c r="I82" s="108"/>
      <c r="J82" s="108"/>
      <c r="K82" s="108"/>
    </row>
    <row r="83">
      <c r="A83" s="11"/>
      <c r="B83" s="116"/>
      <c r="C83" s="108"/>
      <c r="D83" s="108"/>
      <c r="E83" s="108"/>
      <c r="F83" s="108"/>
      <c r="G83" s="108"/>
      <c r="H83" s="108"/>
      <c r="I83" s="108"/>
      <c r="J83" s="108"/>
      <c r="K83" s="108"/>
    </row>
    <row r="84">
      <c r="A84" s="11"/>
      <c r="B84" s="116"/>
      <c r="C84" s="108"/>
      <c r="D84" s="108"/>
      <c r="E84" s="108"/>
      <c r="F84" s="108"/>
      <c r="G84" s="108"/>
      <c r="H84" s="108"/>
      <c r="I84" s="108"/>
      <c r="J84" s="108"/>
      <c r="K84" s="108"/>
    </row>
    <row r="85">
      <c r="A85" s="11"/>
      <c r="B85" s="116"/>
      <c r="C85" s="108"/>
      <c r="D85" s="108"/>
      <c r="E85" s="108"/>
      <c r="F85" s="108"/>
      <c r="G85" s="108"/>
      <c r="H85" s="108"/>
      <c r="I85" s="108"/>
      <c r="J85" s="108"/>
      <c r="K85" s="108"/>
    </row>
    <row r="86">
      <c r="A86" s="11"/>
      <c r="B86" s="116"/>
      <c r="C86" s="108"/>
      <c r="D86" s="108"/>
      <c r="E86" s="108"/>
      <c r="F86" s="108"/>
      <c r="G86" s="108"/>
      <c r="H86" s="108"/>
      <c r="I86" s="108"/>
      <c r="J86" s="108"/>
      <c r="K86" s="108"/>
    </row>
    <row r="87">
      <c r="A87" s="11"/>
      <c r="B87" s="116"/>
      <c r="C87" s="108"/>
      <c r="D87" s="108"/>
      <c r="E87" s="108"/>
      <c r="F87" s="108"/>
      <c r="G87" s="108"/>
      <c r="H87" s="108"/>
      <c r="I87" s="108"/>
      <c r="J87" s="108"/>
      <c r="K87" s="108"/>
    </row>
    <row r="88">
      <c r="A88" s="11"/>
      <c r="B88" s="116"/>
      <c r="C88" s="108"/>
      <c r="D88" s="108"/>
      <c r="E88" s="108"/>
      <c r="F88" s="108"/>
      <c r="G88" s="108"/>
      <c r="H88" s="108"/>
      <c r="I88" s="108"/>
      <c r="J88" s="108"/>
      <c r="K88" s="108"/>
    </row>
    <row r="89">
      <c r="A89" s="11"/>
      <c r="B89" s="116"/>
      <c r="C89" s="108"/>
      <c r="D89" s="108"/>
      <c r="E89" s="108"/>
      <c r="F89" s="108"/>
      <c r="G89" s="108"/>
      <c r="H89" s="108"/>
      <c r="I89" s="108"/>
      <c r="J89" s="108"/>
      <c r="K89" s="108"/>
    </row>
    <row r="90">
      <c r="A90" s="11"/>
      <c r="B90" s="116"/>
      <c r="C90" s="108"/>
      <c r="D90" s="108"/>
      <c r="E90" s="108"/>
      <c r="F90" s="108"/>
      <c r="G90" s="108"/>
      <c r="H90" s="108"/>
      <c r="I90" s="108"/>
      <c r="J90" s="108"/>
      <c r="K90" s="108"/>
    </row>
    <row r="91">
      <c r="A91" s="11"/>
      <c r="B91" s="116"/>
      <c r="C91" s="108"/>
      <c r="D91" s="108"/>
      <c r="E91" s="108"/>
      <c r="F91" s="108"/>
      <c r="G91" s="108"/>
      <c r="H91" s="108"/>
      <c r="I91" s="108"/>
      <c r="J91" s="108"/>
      <c r="K91" s="108"/>
    </row>
    <row r="92">
      <c r="A92" s="11"/>
      <c r="B92" s="116"/>
      <c r="C92" s="108"/>
      <c r="D92" s="108"/>
      <c r="E92" s="108"/>
      <c r="F92" s="108"/>
      <c r="G92" s="108"/>
      <c r="H92" s="108"/>
      <c r="I92" s="108"/>
      <c r="J92" s="108"/>
      <c r="K92" s="108"/>
    </row>
    <row r="93">
      <c r="A93" s="11"/>
      <c r="B93" s="116"/>
      <c r="C93" s="108"/>
      <c r="D93" s="108"/>
      <c r="E93" s="108"/>
      <c r="F93" s="108"/>
      <c r="G93" s="108"/>
      <c r="H93" s="108"/>
      <c r="I93" s="108"/>
      <c r="J93" s="108"/>
      <c r="K93" s="108"/>
    </row>
    <row r="94">
      <c r="A94" s="11"/>
      <c r="B94" s="116"/>
      <c r="C94" s="108"/>
      <c r="D94" s="108"/>
      <c r="E94" s="108"/>
      <c r="F94" s="108"/>
      <c r="G94" s="108"/>
      <c r="H94" s="108"/>
      <c r="I94" s="108"/>
      <c r="J94" s="108"/>
      <c r="K94" s="108"/>
    </row>
    <row r="95">
      <c r="A95" s="11"/>
      <c r="B95" s="116"/>
      <c r="C95" s="108"/>
      <c r="D95" s="108"/>
      <c r="E95" s="108"/>
      <c r="F95" s="108"/>
      <c r="G95" s="108"/>
      <c r="H95" s="108"/>
      <c r="I95" s="108"/>
      <c r="J95" s="108"/>
      <c r="K95" s="108"/>
    </row>
    <row r="96">
      <c r="A96" s="11"/>
      <c r="B96" s="116"/>
      <c r="C96" s="108"/>
      <c r="D96" s="108"/>
      <c r="E96" s="108"/>
      <c r="F96" s="108"/>
      <c r="G96" s="108"/>
      <c r="H96" s="108"/>
      <c r="I96" s="108"/>
      <c r="J96" s="108"/>
      <c r="K96" s="108"/>
    </row>
    <row r="97">
      <c r="A97" s="11"/>
      <c r="B97" s="116"/>
      <c r="C97" s="108"/>
      <c r="D97" s="108"/>
      <c r="E97" s="108"/>
      <c r="F97" s="108"/>
      <c r="G97" s="108"/>
      <c r="H97" s="108"/>
      <c r="I97" s="108"/>
      <c r="J97" s="108"/>
      <c r="K97" s="108"/>
    </row>
    <row r="98">
      <c r="A98" s="11"/>
      <c r="B98" s="116"/>
      <c r="C98" s="108"/>
      <c r="D98" s="108"/>
      <c r="E98" s="108"/>
      <c r="F98" s="108"/>
      <c r="G98" s="108"/>
      <c r="H98" s="108"/>
      <c r="I98" s="108"/>
      <c r="J98" s="108"/>
      <c r="K98" s="108"/>
    </row>
    <row r="99">
      <c r="A99" s="11"/>
      <c r="B99" s="116"/>
      <c r="C99" s="108"/>
      <c r="D99" s="108"/>
      <c r="E99" s="108"/>
      <c r="F99" s="108"/>
      <c r="G99" s="108"/>
      <c r="H99" s="108"/>
      <c r="I99" s="108"/>
      <c r="J99" s="108"/>
      <c r="K99" s="108"/>
    </row>
    <row r="100">
      <c r="A100" s="11"/>
      <c r="B100" s="116"/>
      <c r="C100" s="108"/>
      <c r="D100" s="108"/>
      <c r="E100" s="108"/>
      <c r="F100" s="108"/>
      <c r="G100" s="108"/>
      <c r="H100" s="108"/>
      <c r="I100" s="108"/>
      <c r="J100" s="108"/>
      <c r="K100" s="108"/>
    </row>
    <row r="101">
      <c r="A101" s="11"/>
      <c r="B101" s="116"/>
      <c r="C101" s="108"/>
      <c r="D101" s="108"/>
      <c r="E101" s="108"/>
      <c r="F101" s="108"/>
      <c r="G101" s="108"/>
      <c r="H101" s="108"/>
      <c r="I101" s="108"/>
      <c r="J101" s="108"/>
      <c r="K101" s="108"/>
    </row>
    <row r="102">
      <c r="A102" s="11"/>
      <c r="B102" s="116"/>
      <c r="C102" s="108"/>
      <c r="D102" s="108"/>
      <c r="E102" s="108"/>
      <c r="F102" s="108"/>
      <c r="G102" s="108"/>
      <c r="H102" s="108"/>
      <c r="I102" s="108"/>
      <c r="J102" s="108"/>
      <c r="K102" s="108"/>
    </row>
    <row r="103">
      <c r="A103" s="11"/>
      <c r="B103" s="116"/>
      <c r="C103" s="108"/>
      <c r="D103" s="108"/>
      <c r="E103" s="108"/>
      <c r="F103" s="108"/>
      <c r="G103" s="108"/>
      <c r="H103" s="108"/>
      <c r="I103" s="108"/>
      <c r="J103" s="108"/>
      <c r="K103" s="108"/>
    </row>
    <row r="104">
      <c r="A104" s="11"/>
      <c r="B104" s="116"/>
      <c r="C104" s="108"/>
      <c r="D104" s="108"/>
      <c r="E104" s="108"/>
      <c r="F104" s="108"/>
      <c r="G104" s="108"/>
      <c r="H104" s="108"/>
      <c r="I104" s="108"/>
      <c r="J104" s="108"/>
      <c r="K104" s="108"/>
    </row>
    <row r="105">
      <c r="A105" s="11"/>
      <c r="B105" s="116"/>
      <c r="C105" s="108"/>
      <c r="D105" s="108"/>
      <c r="E105" s="108"/>
      <c r="F105" s="108"/>
      <c r="G105" s="108"/>
      <c r="H105" s="108"/>
      <c r="I105" s="108"/>
      <c r="J105" s="108"/>
      <c r="K105" s="108"/>
    </row>
    <row r="106">
      <c r="A106" s="11"/>
      <c r="B106" s="116"/>
      <c r="C106" s="108"/>
      <c r="D106" s="108"/>
      <c r="E106" s="108"/>
      <c r="F106" s="108"/>
      <c r="G106" s="108"/>
      <c r="H106" s="108"/>
      <c r="I106" s="108"/>
      <c r="J106" s="108"/>
      <c r="K106" s="108"/>
    </row>
    <row r="107">
      <c r="A107" s="11"/>
      <c r="B107" s="116"/>
      <c r="C107" s="108"/>
      <c r="D107" s="108"/>
      <c r="E107" s="108"/>
      <c r="F107" s="108"/>
      <c r="G107" s="108"/>
      <c r="H107" s="108"/>
      <c r="I107" s="108"/>
      <c r="J107" s="108"/>
      <c r="K107" s="108"/>
    </row>
    <row r="108">
      <c r="A108" s="11"/>
      <c r="B108" s="116"/>
      <c r="C108" s="108"/>
      <c r="D108" s="108"/>
      <c r="E108" s="108"/>
      <c r="F108" s="108"/>
      <c r="G108" s="108"/>
      <c r="H108" s="108"/>
      <c r="I108" s="108"/>
      <c r="J108" s="108"/>
      <c r="K108" s="108"/>
    </row>
    <row r="109">
      <c r="A109" s="11"/>
      <c r="B109" s="116"/>
      <c r="C109" s="108"/>
      <c r="D109" s="108"/>
      <c r="E109" s="108"/>
      <c r="F109" s="108"/>
      <c r="G109" s="108"/>
      <c r="H109" s="108"/>
      <c r="I109" s="108"/>
      <c r="J109" s="108"/>
      <c r="K109" s="108"/>
    </row>
    <row r="110">
      <c r="A110" s="11"/>
      <c r="B110" s="116"/>
      <c r="C110" s="108"/>
      <c r="D110" s="108"/>
      <c r="E110" s="108"/>
      <c r="F110" s="108"/>
      <c r="G110" s="108"/>
      <c r="H110" s="108"/>
      <c r="I110" s="108"/>
      <c r="J110" s="108"/>
      <c r="K110" s="108"/>
    </row>
    <row r="111">
      <c r="A111" s="11"/>
      <c r="B111" s="116"/>
      <c r="C111" s="108"/>
      <c r="D111" s="108"/>
      <c r="E111" s="108"/>
      <c r="F111" s="108"/>
      <c r="G111" s="108"/>
      <c r="H111" s="108"/>
      <c r="I111" s="108"/>
      <c r="J111" s="108"/>
      <c r="K111" s="108"/>
    </row>
    <row r="112">
      <c r="A112" s="11"/>
      <c r="B112" s="116"/>
      <c r="C112" s="108"/>
      <c r="D112" s="108"/>
      <c r="E112" s="108"/>
      <c r="F112" s="108"/>
      <c r="G112" s="108"/>
      <c r="H112" s="108"/>
      <c r="I112" s="108"/>
      <c r="J112" s="108"/>
      <c r="K112" s="108"/>
    </row>
    <row r="113">
      <c r="A113" s="11"/>
      <c r="B113" s="116"/>
      <c r="C113" s="108"/>
      <c r="D113" s="108"/>
      <c r="E113" s="108"/>
      <c r="F113" s="108"/>
      <c r="G113" s="108"/>
      <c r="H113" s="108"/>
      <c r="I113" s="108"/>
      <c r="J113" s="108"/>
      <c r="K113" s="108"/>
    </row>
    <row r="114">
      <c r="A114" s="11"/>
      <c r="B114" s="116"/>
      <c r="C114" s="108"/>
      <c r="D114" s="108"/>
      <c r="E114" s="108"/>
      <c r="F114" s="108"/>
      <c r="G114" s="108"/>
      <c r="H114" s="108"/>
      <c r="I114" s="108"/>
      <c r="J114" s="108"/>
      <c r="K114" s="108"/>
    </row>
    <row r="115">
      <c r="A115" s="11"/>
      <c r="B115" s="116"/>
      <c r="C115" s="108"/>
      <c r="D115" s="108"/>
      <c r="E115" s="108"/>
      <c r="F115" s="108"/>
      <c r="G115" s="108"/>
      <c r="H115" s="108"/>
      <c r="I115" s="108"/>
      <c r="J115" s="108"/>
      <c r="K115" s="108"/>
    </row>
    <row r="116">
      <c r="A116" s="11"/>
      <c r="B116" s="116"/>
      <c r="C116" s="108"/>
      <c r="D116" s="108"/>
      <c r="E116" s="108"/>
      <c r="F116" s="108"/>
      <c r="G116" s="108"/>
      <c r="H116" s="108"/>
      <c r="I116" s="108"/>
      <c r="J116" s="108"/>
      <c r="K116" s="108"/>
    </row>
    <row r="117">
      <c r="A117" s="11"/>
      <c r="B117" s="116"/>
      <c r="C117" s="108"/>
      <c r="D117" s="108"/>
      <c r="E117" s="108"/>
      <c r="F117" s="108"/>
      <c r="G117" s="108"/>
      <c r="H117" s="108"/>
      <c r="I117" s="108"/>
      <c r="J117" s="108"/>
      <c r="K117" s="108"/>
    </row>
    <row r="118">
      <c r="A118" s="11"/>
      <c r="B118" s="116"/>
      <c r="C118" s="108"/>
      <c r="D118" s="108"/>
      <c r="E118" s="108"/>
      <c r="F118" s="108"/>
      <c r="G118" s="108"/>
      <c r="H118" s="108"/>
      <c r="I118" s="108"/>
      <c r="J118" s="108"/>
      <c r="K118" s="108"/>
    </row>
    <row r="119">
      <c r="A119" s="11"/>
      <c r="B119" s="116"/>
      <c r="C119" s="108"/>
      <c r="D119" s="108"/>
      <c r="E119" s="108"/>
      <c r="F119" s="108"/>
      <c r="G119" s="108"/>
      <c r="H119" s="108"/>
      <c r="I119" s="108"/>
      <c r="J119" s="108"/>
      <c r="K119" s="108"/>
    </row>
    <row r="120">
      <c r="A120" s="11"/>
      <c r="B120" s="116"/>
      <c r="C120" s="108"/>
      <c r="D120" s="108"/>
      <c r="E120" s="108"/>
      <c r="F120" s="108"/>
      <c r="G120" s="108"/>
      <c r="H120" s="108"/>
      <c r="I120" s="108"/>
      <c r="J120" s="108"/>
      <c r="K120" s="108"/>
    </row>
    <row r="121">
      <c r="A121" s="11"/>
      <c r="B121" s="116"/>
      <c r="C121" s="108"/>
      <c r="D121" s="108"/>
      <c r="E121" s="108"/>
      <c r="F121" s="108"/>
      <c r="G121" s="108"/>
      <c r="H121" s="108"/>
      <c r="I121" s="108"/>
      <c r="J121" s="108"/>
      <c r="K121" s="108"/>
    </row>
    <row r="122">
      <c r="A122" s="11"/>
      <c r="B122" s="116"/>
      <c r="C122" s="108"/>
      <c r="D122" s="108"/>
      <c r="E122" s="108"/>
      <c r="F122" s="108"/>
      <c r="G122" s="108"/>
      <c r="H122" s="108"/>
      <c r="I122" s="108"/>
      <c r="J122" s="108"/>
      <c r="K122" s="108"/>
    </row>
    <row r="123">
      <c r="A123" s="11"/>
      <c r="B123" s="116"/>
      <c r="C123" s="108"/>
      <c r="D123" s="108"/>
      <c r="E123" s="108"/>
      <c r="F123" s="108"/>
      <c r="G123" s="108"/>
      <c r="H123" s="108"/>
      <c r="I123" s="108"/>
      <c r="J123" s="108"/>
      <c r="K123" s="108"/>
    </row>
    <row r="124">
      <c r="A124" s="11"/>
      <c r="B124" s="116"/>
      <c r="C124" s="108"/>
      <c r="D124" s="108"/>
      <c r="E124" s="108"/>
      <c r="F124" s="108"/>
      <c r="G124" s="108"/>
      <c r="H124" s="108"/>
      <c r="I124" s="108"/>
      <c r="J124" s="108"/>
      <c r="K124" s="108"/>
    </row>
    <row r="125">
      <c r="A125" s="11"/>
      <c r="B125" s="116"/>
      <c r="C125" s="108"/>
      <c r="D125" s="108"/>
      <c r="E125" s="108"/>
      <c r="F125" s="108"/>
      <c r="G125" s="108"/>
      <c r="H125" s="108"/>
      <c r="I125" s="108"/>
      <c r="J125" s="108"/>
      <c r="K125" s="108"/>
    </row>
    <row r="126">
      <c r="A126" s="11"/>
      <c r="B126" s="116"/>
      <c r="C126" s="108"/>
      <c r="D126" s="108"/>
      <c r="E126" s="108"/>
      <c r="F126" s="108"/>
      <c r="G126" s="108"/>
      <c r="H126" s="108"/>
      <c r="I126" s="108"/>
      <c r="J126" s="108"/>
      <c r="K126" s="108"/>
    </row>
    <row r="127">
      <c r="A127" s="11"/>
      <c r="B127" s="116"/>
      <c r="C127" s="108"/>
      <c r="D127" s="108"/>
      <c r="E127" s="108"/>
      <c r="F127" s="108"/>
      <c r="G127" s="108"/>
      <c r="H127" s="108"/>
      <c r="I127" s="108"/>
      <c r="J127" s="108"/>
      <c r="K127" s="108"/>
    </row>
    <row r="128">
      <c r="A128" s="11"/>
      <c r="B128" s="116"/>
      <c r="C128" s="108"/>
      <c r="D128" s="108"/>
      <c r="E128" s="108"/>
      <c r="F128" s="108"/>
      <c r="G128" s="108"/>
      <c r="H128" s="108"/>
      <c r="I128" s="108"/>
      <c r="J128" s="108"/>
      <c r="K128" s="108"/>
    </row>
    <row r="129">
      <c r="A129" s="11"/>
      <c r="B129" s="116"/>
      <c r="C129" s="108"/>
      <c r="D129" s="108"/>
      <c r="E129" s="108"/>
      <c r="F129" s="108"/>
      <c r="G129" s="108"/>
      <c r="H129" s="108"/>
      <c r="I129" s="108"/>
      <c r="J129" s="108"/>
      <c r="K129" s="108"/>
    </row>
    <row r="130">
      <c r="A130" s="11"/>
      <c r="B130" s="116"/>
      <c r="C130" s="108"/>
      <c r="D130" s="108"/>
      <c r="E130" s="108"/>
      <c r="F130" s="108"/>
      <c r="G130" s="108"/>
      <c r="H130" s="108"/>
      <c r="I130" s="108"/>
      <c r="J130" s="108"/>
      <c r="K130" s="108"/>
    </row>
    <row r="131">
      <c r="A131" s="11"/>
      <c r="B131" s="116"/>
      <c r="C131" s="108"/>
      <c r="D131" s="108"/>
      <c r="E131" s="108"/>
      <c r="F131" s="108"/>
      <c r="G131" s="108"/>
      <c r="H131" s="108"/>
      <c r="I131" s="108"/>
      <c r="J131" s="108"/>
      <c r="K131" s="108"/>
    </row>
    <row r="132">
      <c r="A132" s="11"/>
      <c r="B132" s="116"/>
      <c r="C132" s="108"/>
      <c r="D132" s="108"/>
      <c r="E132" s="108"/>
      <c r="F132" s="108"/>
      <c r="G132" s="108"/>
      <c r="H132" s="108"/>
      <c r="I132" s="108"/>
      <c r="J132" s="108"/>
      <c r="K132" s="108"/>
    </row>
    <row r="133">
      <c r="A133" s="11"/>
      <c r="B133" s="116"/>
      <c r="C133" s="108"/>
      <c r="D133" s="108"/>
      <c r="E133" s="108"/>
      <c r="F133" s="108"/>
      <c r="G133" s="108"/>
      <c r="H133" s="108"/>
      <c r="I133" s="108"/>
      <c r="J133" s="108"/>
      <c r="K133" s="108"/>
    </row>
    <row r="134">
      <c r="A134" s="11"/>
      <c r="B134" s="116"/>
      <c r="C134" s="108"/>
      <c r="D134" s="108"/>
      <c r="E134" s="108"/>
      <c r="F134" s="108"/>
      <c r="G134" s="108"/>
      <c r="H134" s="108"/>
      <c r="I134" s="108"/>
      <c r="J134" s="108"/>
      <c r="K134" s="108"/>
    </row>
    <row r="135">
      <c r="A135" s="11"/>
      <c r="B135" s="116"/>
      <c r="C135" s="108"/>
      <c r="D135" s="108"/>
      <c r="E135" s="108"/>
      <c r="F135" s="108"/>
      <c r="G135" s="108"/>
      <c r="H135" s="108"/>
      <c r="I135" s="108"/>
      <c r="J135" s="108"/>
      <c r="K135" s="108"/>
    </row>
    <row r="136">
      <c r="A136" s="11"/>
      <c r="B136" s="116"/>
      <c r="C136" s="108"/>
      <c r="D136" s="108"/>
      <c r="E136" s="108"/>
      <c r="F136" s="108"/>
      <c r="G136" s="108"/>
      <c r="H136" s="108"/>
      <c r="I136" s="108"/>
      <c r="J136" s="108"/>
      <c r="K136" s="108"/>
    </row>
    <row r="137">
      <c r="A137" s="11"/>
      <c r="B137" s="116"/>
      <c r="C137" s="108"/>
      <c r="D137" s="108"/>
      <c r="E137" s="108"/>
      <c r="F137" s="108"/>
      <c r="G137" s="108"/>
      <c r="H137" s="108"/>
      <c r="I137" s="108"/>
      <c r="J137" s="108"/>
      <c r="K137" s="108"/>
    </row>
    <row r="138">
      <c r="A138" s="11"/>
      <c r="B138" s="116"/>
      <c r="C138" s="108"/>
      <c r="D138" s="108"/>
      <c r="E138" s="108"/>
      <c r="F138" s="108"/>
      <c r="G138" s="108"/>
      <c r="H138" s="108"/>
      <c r="I138" s="108"/>
      <c r="J138" s="108"/>
      <c r="K138" s="108"/>
    </row>
    <row r="139">
      <c r="A139" s="11"/>
      <c r="B139" s="116"/>
      <c r="C139" s="108"/>
      <c r="D139" s="108"/>
      <c r="E139" s="108"/>
      <c r="F139" s="108"/>
      <c r="G139" s="108"/>
      <c r="H139" s="108"/>
      <c r="I139" s="108"/>
      <c r="J139" s="108"/>
      <c r="K139" s="108"/>
    </row>
    <row r="140">
      <c r="A140" s="11"/>
      <c r="B140" s="116"/>
      <c r="C140" s="108"/>
      <c r="D140" s="108"/>
      <c r="E140" s="108"/>
      <c r="F140" s="108"/>
      <c r="G140" s="108"/>
      <c r="H140" s="108"/>
      <c r="I140" s="108"/>
      <c r="J140" s="108"/>
      <c r="K140" s="108"/>
    </row>
    <row r="141">
      <c r="A141" s="11"/>
      <c r="B141" s="116"/>
      <c r="C141" s="108"/>
      <c r="D141" s="108"/>
      <c r="E141" s="108"/>
      <c r="F141" s="108"/>
      <c r="G141" s="108"/>
      <c r="H141" s="108"/>
      <c r="I141" s="108"/>
      <c r="J141" s="108"/>
      <c r="K141" s="108"/>
    </row>
    <row r="142">
      <c r="A142" s="11"/>
      <c r="B142" s="116"/>
      <c r="C142" s="108"/>
      <c r="D142" s="108"/>
      <c r="E142" s="108"/>
      <c r="F142" s="108"/>
      <c r="G142" s="108"/>
      <c r="H142" s="108"/>
      <c r="I142" s="108"/>
      <c r="J142" s="108"/>
      <c r="K142" s="108"/>
    </row>
    <row r="143">
      <c r="A143" s="11"/>
      <c r="B143" s="116"/>
      <c r="C143" s="108"/>
      <c r="D143" s="108"/>
      <c r="E143" s="108"/>
      <c r="F143" s="108"/>
      <c r="G143" s="108"/>
      <c r="H143" s="108"/>
      <c r="I143" s="108"/>
      <c r="J143" s="108"/>
      <c r="K143" s="108"/>
    </row>
    <row r="144">
      <c r="A144" s="11"/>
      <c r="B144" s="116"/>
      <c r="C144" s="108"/>
      <c r="D144" s="108"/>
      <c r="E144" s="108"/>
      <c r="F144" s="108"/>
      <c r="G144" s="108"/>
      <c r="H144" s="108"/>
      <c r="I144" s="108"/>
      <c r="J144" s="108"/>
      <c r="K144" s="108"/>
    </row>
    <row r="145">
      <c r="A145" s="11"/>
      <c r="B145" s="116"/>
      <c r="C145" s="108"/>
      <c r="D145" s="108"/>
      <c r="E145" s="108"/>
      <c r="F145" s="108"/>
      <c r="G145" s="108"/>
      <c r="H145" s="108"/>
      <c r="I145" s="108"/>
      <c r="J145" s="108"/>
      <c r="K145" s="108"/>
    </row>
    <row r="146">
      <c r="A146" s="11"/>
      <c r="B146" s="116"/>
      <c r="C146" s="108"/>
      <c r="D146" s="108"/>
      <c r="E146" s="108"/>
      <c r="F146" s="108"/>
      <c r="G146" s="108"/>
      <c r="H146" s="108"/>
      <c r="I146" s="108"/>
      <c r="J146" s="108"/>
      <c r="K146" s="108"/>
    </row>
    <row r="147">
      <c r="A147" s="11"/>
      <c r="B147" s="116"/>
      <c r="C147" s="108"/>
      <c r="D147" s="108"/>
      <c r="E147" s="108"/>
      <c r="F147" s="108"/>
      <c r="G147" s="108"/>
      <c r="H147" s="108"/>
      <c r="I147" s="108"/>
      <c r="J147" s="108"/>
      <c r="K147" s="108"/>
    </row>
    <row r="148">
      <c r="A148" s="11"/>
      <c r="B148" s="116"/>
      <c r="C148" s="108"/>
      <c r="D148" s="108"/>
      <c r="E148" s="108"/>
      <c r="F148" s="108"/>
      <c r="G148" s="108"/>
      <c r="H148" s="108"/>
      <c r="I148" s="108"/>
      <c r="J148" s="108"/>
      <c r="K148" s="108"/>
    </row>
    <row r="149">
      <c r="A149" s="11"/>
      <c r="B149" s="116"/>
      <c r="C149" s="108"/>
      <c r="D149" s="108"/>
      <c r="E149" s="108"/>
      <c r="F149" s="108"/>
      <c r="G149" s="108"/>
      <c r="H149" s="108"/>
      <c r="I149" s="108"/>
      <c r="J149" s="108"/>
      <c r="K149" s="108"/>
    </row>
    <row r="150">
      <c r="A150" s="11"/>
      <c r="B150" s="116"/>
      <c r="C150" s="108"/>
      <c r="D150" s="108"/>
      <c r="E150" s="108"/>
      <c r="F150" s="108"/>
      <c r="G150" s="108"/>
      <c r="H150" s="108"/>
      <c r="I150" s="108"/>
      <c r="J150" s="108"/>
      <c r="K150" s="108"/>
    </row>
    <row r="151">
      <c r="A151" s="11"/>
      <c r="B151" s="116"/>
      <c r="C151" s="108"/>
      <c r="D151" s="108"/>
      <c r="E151" s="108"/>
      <c r="F151" s="108"/>
      <c r="G151" s="108"/>
      <c r="H151" s="108"/>
      <c r="I151" s="108"/>
      <c r="J151" s="108"/>
      <c r="K151" s="108"/>
    </row>
    <row r="152">
      <c r="A152" s="11"/>
      <c r="B152" s="116"/>
      <c r="C152" s="108"/>
      <c r="D152" s="108"/>
      <c r="E152" s="108"/>
      <c r="F152" s="108"/>
      <c r="G152" s="108"/>
      <c r="H152" s="108"/>
      <c r="I152" s="108"/>
      <c r="J152" s="108"/>
      <c r="K152" s="108"/>
    </row>
    <row r="153">
      <c r="A153" s="11"/>
      <c r="B153" s="116"/>
      <c r="C153" s="108"/>
      <c r="D153" s="108"/>
      <c r="E153" s="108"/>
      <c r="F153" s="108"/>
      <c r="G153" s="108"/>
      <c r="H153" s="108"/>
      <c r="I153" s="108"/>
      <c r="J153" s="108"/>
      <c r="K153" s="108"/>
    </row>
    <row r="154">
      <c r="A154" s="11"/>
      <c r="B154" s="116"/>
      <c r="C154" s="108"/>
      <c r="D154" s="108"/>
      <c r="E154" s="108"/>
      <c r="F154" s="108"/>
      <c r="G154" s="108"/>
      <c r="H154" s="108"/>
      <c r="I154" s="108"/>
      <c r="J154" s="108"/>
      <c r="K154" s="108"/>
    </row>
    <row r="155">
      <c r="A155" s="11"/>
      <c r="B155" s="116"/>
      <c r="C155" s="108"/>
      <c r="D155" s="108"/>
      <c r="E155" s="108"/>
      <c r="F155" s="108"/>
      <c r="G155" s="108"/>
      <c r="H155" s="108"/>
      <c r="I155" s="108"/>
      <c r="J155" s="108"/>
      <c r="K155" s="108"/>
    </row>
    <row r="156">
      <c r="A156" s="11"/>
      <c r="B156" s="116"/>
      <c r="C156" s="108"/>
      <c r="D156" s="108"/>
      <c r="E156" s="108"/>
      <c r="F156" s="108"/>
      <c r="G156" s="108"/>
      <c r="H156" s="108"/>
      <c r="I156" s="108"/>
      <c r="J156" s="108"/>
      <c r="K156" s="108"/>
    </row>
    <row r="157">
      <c r="A157" s="11"/>
      <c r="B157" s="116"/>
      <c r="C157" s="108"/>
      <c r="D157" s="108"/>
      <c r="E157" s="108"/>
      <c r="F157" s="108"/>
      <c r="G157" s="108"/>
      <c r="H157" s="108"/>
      <c r="I157" s="108"/>
      <c r="J157" s="108"/>
      <c r="K157" s="108"/>
    </row>
    <row r="158">
      <c r="A158" s="11"/>
      <c r="B158" s="116"/>
      <c r="C158" s="108"/>
      <c r="D158" s="108"/>
      <c r="E158" s="108"/>
      <c r="F158" s="108"/>
      <c r="G158" s="108"/>
      <c r="H158" s="108"/>
      <c r="I158" s="108"/>
      <c r="J158" s="108"/>
      <c r="K158" s="108"/>
    </row>
    <row r="159">
      <c r="A159" s="11"/>
      <c r="B159" s="116"/>
      <c r="C159" s="108"/>
      <c r="D159" s="108"/>
      <c r="E159" s="108"/>
      <c r="F159" s="108"/>
      <c r="G159" s="108"/>
      <c r="H159" s="108"/>
      <c r="I159" s="108"/>
      <c r="J159" s="108"/>
      <c r="K159" s="108"/>
    </row>
    <row r="160">
      <c r="A160" s="11"/>
      <c r="B160" s="116"/>
      <c r="C160" s="108"/>
      <c r="D160" s="108"/>
      <c r="E160" s="108"/>
      <c r="F160" s="108"/>
      <c r="G160" s="108"/>
      <c r="H160" s="108"/>
      <c r="I160" s="108"/>
      <c r="J160" s="108"/>
      <c r="K160" s="108"/>
    </row>
    <row r="161">
      <c r="A161" s="11"/>
      <c r="B161" s="116"/>
      <c r="C161" s="108"/>
      <c r="D161" s="108"/>
      <c r="E161" s="108"/>
      <c r="F161" s="108"/>
      <c r="G161" s="108"/>
      <c r="H161" s="108"/>
      <c r="I161" s="108"/>
      <c r="J161" s="108"/>
      <c r="K161" s="108"/>
    </row>
    <row r="162">
      <c r="A162" s="11"/>
      <c r="B162" s="116"/>
      <c r="C162" s="108"/>
      <c r="D162" s="108"/>
      <c r="E162" s="108"/>
      <c r="F162" s="108"/>
      <c r="G162" s="108"/>
      <c r="H162" s="108"/>
      <c r="I162" s="108"/>
      <c r="J162" s="108"/>
      <c r="K162" s="108"/>
    </row>
    <row r="163">
      <c r="A163" s="11"/>
      <c r="B163" s="116"/>
      <c r="C163" s="108"/>
      <c r="D163" s="108"/>
      <c r="E163" s="108"/>
      <c r="F163" s="108"/>
      <c r="G163" s="108"/>
      <c r="H163" s="108"/>
      <c r="I163" s="108"/>
      <c r="J163" s="108"/>
      <c r="K163" s="108"/>
    </row>
    <row r="164">
      <c r="A164" s="11"/>
      <c r="B164" s="116"/>
      <c r="C164" s="108"/>
      <c r="D164" s="108"/>
      <c r="E164" s="108"/>
      <c r="F164" s="108"/>
      <c r="G164" s="108"/>
      <c r="H164" s="108"/>
      <c r="I164" s="108"/>
      <c r="J164" s="108"/>
      <c r="K164" s="108"/>
    </row>
    <row r="165">
      <c r="A165" s="11"/>
      <c r="B165" s="116"/>
      <c r="C165" s="108"/>
      <c r="D165" s="108"/>
      <c r="E165" s="108"/>
      <c r="F165" s="108"/>
      <c r="G165" s="108"/>
      <c r="H165" s="108"/>
      <c r="I165" s="108"/>
      <c r="J165" s="108"/>
      <c r="K165" s="108"/>
    </row>
    <row r="166">
      <c r="A166" s="11"/>
      <c r="B166" s="116"/>
      <c r="C166" s="108"/>
      <c r="D166" s="108"/>
      <c r="E166" s="108"/>
      <c r="F166" s="108"/>
      <c r="G166" s="108"/>
      <c r="H166" s="108"/>
      <c r="I166" s="108"/>
      <c r="J166" s="108"/>
      <c r="K166" s="108"/>
    </row>
    <row r="167">
      <c r="A167" s="11"/>
      <c r="B167" s="116"/>
      <c r="C167" s="108"/>
      <c r="D167" s="108"/>
      <c r="E167" s="108"/>
      <c r="F167" s="108"/>
      <c r="G167" s="108"/>
      <c r="H167" s="108"/>
      <c r="I167" s="108"/>
      <c r="J167" s="108"/>
      <c r="K167" s="108"/>
    </row>
    <row r="168">
      <c r="A168" s="11"/>
      <c r="B168" s="116"/>
      <c r="C168" s="108"/>
      <c r="D168" s="108"/>
      <c r="E168" s="108"/>
      <c r="F168" s="108"/>
      <c r="G168" s="108"/>
      <c r="H168" s="108"/>
      <c r="I168" s="108"/>
      <c r="J168" s="108"/>
      <c r="K168" s="108"/>
    </row>
    <row r="169">
      <c r="A169" s="11"/>
      <c r="B169" s="116"/>
      <c r="C169" s="108"/>
      <c r="D169" s="108"/>
      <c r="E169" s="108"/>
      <c r="F169" s="108"/>
      <c r="G169" s="108"/>
      <c r="H169" s="108"/>
      <c r="I169" s="108"/>
      <c r="J169" s="108"/>
      <c r="K169" s="108"/>
    </row>
    <row r="170">
      <c r="A170" s="11"/>
      <c r="B170" s="116"/>
      <c r="C170" s="108"/>
      <c r="D170" s="108"/>
      <c r="E170" s="108"/>
      <c r="F170" s="108"/>
      <c r="G170" s="108"/>
      <c r="H170" s="108"/>
      <c r="I170" s="108"/>
      <c r="J170" s="108"/>
      <c r="K170" s="108"/>
    </row>
    <row r="171">
      <c r="A171" s="11"/>
      <c r="B171" s="116"/>
      <c r="C171" s="108"/>
      <c r="D171" s="108"/>
      <c r="E171" s="108"/>
      <c r="F171" s="108"/>
      <c r="G171" s="108"/>
      <c r="H171" s="108"/>
      <c r="I171" s="108"/>
      <c r="J171" s="108"/>
      <c r="K171" s="108"/>
    </row>
    <row r="172">
      <c r="A172" s="11"/>
      <c r="B172" s="116"/>
      <c r="C172" s="108"/>
      <c r="D172" s="108"/>
      <c r="E172" s="108"/>
      <c r="F172" s="108"/>
      <c r="G172" s="108"/>
      <c r="H172" s="108"/>
      <c r="I172" s="108"/>
      <c r="J172" s="108"/>
      <c r="K172" s="108"/>
    </row>
    <row r="173">
      <c r="A173" s="11"/>
      <c r="B173" s="116"/>
      <c r="C173" s="108"/>
      <c r="D173" s="108"/>
      <c r="E173" s="108"/>
      <c r="F173" s="108"/>
      <c r="G173" s="108"/>
      <c r="H173" s="108"/>
      <c r="I173" s="108"/>
      <c r="J173" s="108"/>
      <c r="K173" s="108"/>
    </row>
    <row r="174">
      <c r="A174" s="11"/>
      <c r="B174" s="116"/>
      <c r="C174" s="108"/>
      <c r="D174" s="108"/>
      <c r="E174" s="108"/>
      <c r="F174" s="108"/>
      <c r="G174" s="108"/>
      <c r="H174" s="108"/>
      <c r="I174" s="108"/>
      <c r="J174" s="108"/>
      <c r="K174" s="108"/>
    </row>
    <row r="175">
      <c r="A175" s="11"/>
      <c r="B175" s="116"/>
      <c r="C175" s="108"/>
      <c r="D175" s="108"/>
      <c r="E175" s="108"/>
      <c r="F175" s="108"/>
      <c r="G175" s="108"/>
      <c r="H175" s="108"/>
      <c r="I175" s="108"/>
      <c r="J175" s="108"/>
      <c r="K175" s="108"/>
    </row>
    <row r="176">
      <c r="A176" s="11"/>
      <c r="B176" s="116"/>
      <c r="C176" s="108"/>
      <c r="D176" s="108"/>
      <c r="E176" s="108"/>
      <c r="F176" s="108"/>
      <c r="G176" s="108"/>
      <c r="H176" s="108"/>
      <c r="I176" s="108"/>
      <c r="J176" s="108"/>
      <c r="K176" s="108"/>
    </row>
    <row r="177">
      <c r="A177" s="11"/>
      <c r="B177" s="116"/>
      <c r="C177" s="108"/>
      <c r="D177" s="108"/>
      <c r="E177" s="108"/>
      <c r="F177" s="108"/>
      <c r="G177" s="108"/>
      <c r="H177" s="108"/>
      <c r="I177" s="108"/>
      <c r="J177" s="108"/>
      <c r="K177" s="108"/>
    </row>
    <row r="178">
      <c r="A178" s="11"/>
      <c r="B178" s="116"/>
      <c r="C178" s="108"/>
      <c r="D178" s="108"/>
      <c r="E178" s="108"/>
      <c r="F178" s="108"/>
      <c r="G178" s="108"/>
      <c r="H178" s="108"/>
      <c r="I178" s="108"/>
      <c r="J178" s="108"/>
      <c r="K178" s="108"/>
    </row>
    <row r="179">
      <c r="A179" s="11"/>
      <c r="B179" s="116"/>
      <c r="C179" s="108"/>
      <c r="D179" s="108"/>
      <c r="E179" s="108"/>
      <c r="F179" s="108"/>
      <c r="G179" s="108"/>
      <c r="H179" s="108"/>
      <c r="I179" s="108"/>
      <c r="J179" s="108"/>
      <c r="K179" s="108"/>
    </row>
    <row r="180">
      <c r="A180" s="11"/>
      <c r="B180" s="116"/>
      <c r="C180" s="108"/>
      <c r="D180" s="108"/>
      <c r="E180" s="108"/>
      <c r="F180" s="108"/>
      <c r="G180" s="108"/>
      <c r="H180" s="108"/>
      <c r="I180" s="108"/>
      <c r="J180" s="108"/>
      <c r="K180" s="108"/>
    </row>
    <row r="181">
      <c r="A181" s="11"/>
      <c r="B181" s="116"/>
      <c r="C181" s="108"/>
      <c r="D181" s="108"/>
      <c r="E181" s="108"/>
      <c r="F181" s="108"/>
      <c r="G181" s="108"/>
      <c r="H181" s="108"/>
      <c r="I181" s="108"/>
      <c r="J181" s="108"/>
      <c r="K181" s="108"/>
    </row>
    <row r="182">
      <c r="A182" s="11"/>
      <c r="B182" s="116"/>
      <c r="C182" s="108"/>
      <c r="D182" s="108"/>
      <c r="E182" s="108"/>
      <c r="F182" s="108"/>
      <c r="G182" s="108"/>
      <c r="H182" s="108"/>
      <c r="I182" s="108"/>
      <c r="J182" s="108"/>
      <c r="K182" s="108"/>
    </row>
    <row r="183">
      <c r="A183" s="11"/>
      <c r="B183" s="116"/>
      <c r="C183" s="108"/>
      <c r="D183" s="108"/>
      <c r="E183" s="108"/>
      <c r="F183" s="108"/>
      <c r="G183" s="108"/>
      <c r="H183" s="108"/>
      <c r="I183" s="108"/>
      <c r="J183" s="108"/>
      <c r="K183" s="108"/>
    </row>
    <row r="184">
      <c r="A184" s="11"/>
      <c r="B184" s="116"/>
      <c r="C184" s="108"/>
      <c r="D184" s="108"/>
      <c r="E184" s="108"/>
      <c r="F184" s="108"/>
      <c r="G184" s="108"/>
      <c r="H184" s="108"/>
      <c r="I184" s="108"/>
      <c r="J184" s="108"/>
      <c r="K184" s="108"/>
    </row>
    <row r="185">
      <c r="A185" s="11"/>
      <c r="B185" s="116"/>
      <c r="C185" s="108"/>
      <c r="D185" s="108"/>
      <c r="E185" s="108"/>
      <c r="F185" s="108"/>
      <c r="G185" s="108"/>
      <c r="H185" s="108"/>
      <c r="I185" s="108"/>
      <c r="J185" s="108"/>
      <c r="K185" s="108"/>
    </row>
    <row r="186">
      <c r="A186" s="11"/>
      <c r="B186" s="116"/>
      <c r="C186" s="108"/>
      <c r="D186" s="108"/>
      <c r="E186" s="108"/>
      <c r="F186" s="108"/>
      <c r="G186" s="108"/>
      <c r="H186" s="108"/>
      <c r="I186" s="108"/>
      <c r="J186" s="108"/>
      <c r="K186" s="108"/>
    </row>
    <row r="187">
      <c r="A187" s="11"/>
      <c r="B187" s="116"/>
      <c r="C187" s="108"/>
      <c r="D187" s="108"/>
      <c r="E187" s="108"/>
      <c r="F187" s="108"/>
      <c r="G187" s="108"/>
      <c r="H187" s="108"/>
      <c r="I187" s="108"/>
      <c r="J187" s="108"/>
      <c r="K187" s="108"/>
    </row>
    <row r="188">
      <c r="A188" s="11"/>
      <c r="B188" s="116"/>
      <c r="C188" s="108"/>
      <c r="D188" s="108"/>
      <c r="E188" s="108"/>
      <c r="F188" s="108"/>
      <c r="G188" s="108"/>
      <c r="H188" s="108"/>
      <c r="I188" s="108"/>
      <c r="J188" s="108"/>
      <c r="K188" s="108"/>
    </row>
    <row r="189">
      <c r="A189" s="11"/>
      <c r="B189" s="116"/>
      <c r="C189" s="108"/>
      <c r="D189" s="108"/>
      <c r="E189" s="108"/>
      <c r="F189" s="108"/>
      <c r="G189" s="108"/>
      <c r="H189" s="108"/>
      <c r="I189" s="108"/>
      <c r="J189" s="108"/>
      <c r="K189" s="108"/>
    </row>
    <row r="190">
      <c r="A190" s="11"/>
      <c r="B190" s="116"/>
      <c r="C190" s="108"/>
      <c r="D190" s="108"/>
      <c r="E190" s="108"/>
      <c r="F190" s="108"/>
      <c r="G190" s="108"/>
      <c r="H190" s="108"/>
      <c r="I190" s="108"/>
      <c r="J190" s="108"/>
      <c r="K190" s="108"/>
    </row>
    <row r="191">
      <c r="A191" s="11"/>
      <c r="B191" s="116"/>
      <c r="C191" s="108"/>
      <c r="D191" s="108"/>
      <c r="E191" s="108"/>
      <c r="F191" s="108"/>
      <c r="G191" s="108"/>
      <c r="H191" s="108"/>
      <c r="I191" s="108"/>
      <c r="J191" s="108"/>
      <c r="K191" s="108"/>
    </row>
    <row r="192">
      <c r="A192" s="11"/>
      <c r="B192" s="116"/>
      <c r="C192" s="108"/>
      <c r="D192" s="108"/>
      <c r="E192" s="108"/>
      <c r="F192" s="108"/>
      <c r="G192" s="108"/>
      <c r="H192" s="108"/>
      <c r="I192" s="108"/>
      <c r="J192" s="108"/>
      <c r="K192" s="108"/>
    </row>
    <row r="193">
      <c r="A193" s="11"/>
      <c r="B193" s="116"/>
      <c r="C193" s="108"/>
      <c r="D193" s="108"/>
      <c r="E193" s="108"/>
      <c r="F193" s="108"/>
      <c r="G193" s="108"/>
      <c r="H193" s="108"/>
      <c r="I193" s="108"/>
      <c r="J193" s="108"/>
      <c r="K193" s="108"/>
    </row>
    <row r="194">
      <c r="A194" s="11"/>
      <c r="B194" s="116"/>
      <c r="C194" s="108"/>
      <c r="D194" s="108"/>
      <c r="E194" s="108"/>
      <c r="F194" s="108"/>
      <c r="G194" s="108"/>
      <c r="H194" s="108"/>
      <c r="I194" s="108"/>
      <c r="J194" s="108"/>
      <c r="K194" s="108"/>
    </row>
    <row r="195">
      <c r="A195" s="11"/>
      <c r="B195" s="116"/>
      <c r="C195" s="108"/>
      <c r="D195" s="108"/>
      <c r="E195" s="108"/>
      <c r="F195" s="108"/>
      <c r="G195" s="108"/>
      <c r="H195" s="108"/>
      <c r="I195" s="108"/>
      <c r="J195" s="108"/>
      <c r="K195" s="108"/>
    </row>
    <row r="196">
      <c r="A196" s="11"/>
      <c r="B196" s="116"/>
      <c r="C196" s="108"/>
      <c r="D196" s="108"/>
      <c r="E196" s="108"/>
      <c r="F196" s="108"/>
      <c r="G196" s="108"/>
      <c r="H196" s="108"/>
      <c r="I196" s="108"/>
      <c r="J196" s="108"/>
      <c r="K196" s="108"/>
    </row>
    <row r="197">
      <c r="A197" s="11"/>
      <c r="B197" s="116"/>
      <c r="C197" s="108"/>
      <c r="D197" s="108"/>
      <c r="E197" s="108"/>
      <c r="F197" s="108"/>
      <c r="G197" s="108"/>
      <c r="H197" s="108"/>
      <c r="I197" s="108"/>
      <c r="J197" s="108"/>
      <c r="K197" s="108"/>
    </row>
    <row r="198">
      <c r="A198" s="11"/>
      <c r="B198" s="116"/>
      <c r="C198" s="108"/>
      <c r="D198" s="108"/>
      <c r="E198" s="108"/>
      <c r="F198" s="108"/>
      <c r="G198" s="108"/>
      <c r="H198" s="108"/>
      <c r="I198" s="108"/>
      <c r="J198" s="108"/>
      <c r="K198" s="108"/>
    </row>
    <row r="199">
      <c r="A199" s="11"/>
      <c r="B199" s="116"/>
      <c r="C199" s="108"/>
      <c r="D199" s="108"/>
      <c r="E199" s="108"/>
      <c r="F199" s="108"/>
      <c r="G199" s="108"/>
      <c r="H199" s="108"/>
      <c r="I199" s="108"/>
      <c r="J199" s="108"/>
      <c r="K199" s="108"/>
    </row>
    <row r="200">
      <c r="A200" s="11"/>
      <c r="B200" s="116"/>
      <c r="C200" s="108"/>
      <c r="D200" s="108"/>
      <c r="E200" s="108"/>
      <c r="F200" s="108"/>
      <c r="G200" s="108"/>
      <c r="H200" s="108"/>
      <c r="I200" s="108"/>
      <c r="J200" s="108"/>
      <c r="K200" s="108"/>
    </row>
    <row r="201">
      <c r="A201" s="11"/>
      <c r="B201" s="116"/>
      <c r="C201" s="108"/>
      <c r="D201" s="108"/>
      <c r="E201" s="108"/>
      <c r="F201" s="108"/>
      <c r="G201" s="108"/>
      <c r="H201" s="108"/>
      <c r="I201" s="108"/>
      <c r="J201" s="108"/>
      <c r="K201" s="108"/>
    </row>
    <row r="202">
      <c r="A202" s="11"/>
      <c r="B202" s="116"/>
      <c r="C202" s="108"/>
      <c r="D202" s="108"/>
      <c r="E202" s="108"/>
      <c r="F202" s="108"/>
      <c r="G202" s="108"/>
      <c r="H202" s="108"/>
      <c r="I202" s="108"/>
      <c r="J202" s="108"/>
      <c r="K202" s="108"/>
    </row>
    <row r="203">
      <c r="A203" s="11"/>
      <c r="B203" s="116"/>
      <c r="C203" s="108"/>
      <c r="D203" s="108"/>
      <c r="E203" s="108"/>
      <c r="F203" s="108"/>
      <c r="G203" s="108"/>
      <c r="H203" s="108"/>
      <c r="I203" s="108"/>
      <c r="J203" s="108"/>
      <c r="K203" s="108"/>
    </row>
    <row r="204">
      <c r="A204" s="11"/>
      <c r="B204" s="116"/>
      <c r="C204" s="108"/>
      <c r="D204" s="108"/>
      <c r="E204" s="108"/>
      <c r="F204" s="108"/>
      <c r="G204" s="108"/>
      <c r="H204" s="108"/>
      <c r="I204" s="108"/>
      <c r="J204" s="108"/>
      <c r="K204" s="108"/>
    </row>
    <row r="205">
      <c r="A205" s="11"/>
      <c r="B205" s="116"/>
      <c r="C205" s="108"/>
      <c r="D205" s="108"/>
      <c r="E205" s="108"/>
      <c r="F205" s="108"/>
      <c r="G205" s="108"/>
      <c r="H205" s="108"/>
      <c r="I205" s="108"/>
      <c r="J205" s="108"/>
      <c r="K205" s="108"/>
    </row>
    <row r="206">
      <c r="A206" s="11"/>
      <c r="B206" s="116"/>
      <c r="C206" s="108"/>
      <c r="D206" s="108"/>
      <c r="E206" s="108"/>
      <c r="F206" s="108"/>
      <c r="G206" s="108"/>
      <c r="H206" s="108"/>
      <c r="I206" s="108"/>
      <c r="J206" s="108"/>
      <c r="K206" s="108"/>
    </row>
    <row r="207">
      <c r="A207" s="11"/>
      <c r="B207" s="116"/>
      <c r="C207" s="108"/>
      <c r="D207" s="108"/>
      <c r="E207" s="108"/>
      <c r="F207" s="108"/>
      <c r="G207" s="108"/>
      <c r="H207" s="108"/>
      <c r="I207" s="108"/>
      <c r="J207" s="108"/>
      <c r="K207" s="108"/>
    </row>
    <row r="208">
      <c r="A208" s="11"/>
      <c r="B208" s="116"/>
      <c r="C208" s="108"/>
      <c r="D208" s="108"/>
      <c r="E208" s="108"/>
      <c r="F208" s="108"/>
      <c r="G208" s="108"/>
      <c r="H208" s="108"/>
      <c r="I208" s="108"/>
      <c r="J208" s="108"/>
      <c r="K208" s="108"/>
    </row>
    <row r="209">
      <c r="A209" s="11"/>
      <c r="B209" s="116"/>
      <c r="C209" s="108"/>
      <c r="D209" s="108"/>
      <c r="E209" s="108"/>
      <c r="F209" s="108"/>
      <c r="G209" s="108"/>
      <c r="H209" s="108"/>
      <c r="I209" s="108"/>
      <c r="J209" s="108"/>
      <c r="K209" s="108"/>
    </row>
    <row r="210">
      <c r="A210" s="11"/>
      <c r="B210" s="116"/>
      <c r="C210" s="108"/>
      <c r="D210" s="108"/>
      <c r="E210" s="108"/>
      <c r="F210" s="108"/>
      <c r="G210" s="108"/>
      <c r="H210" s="108"/>
      <c r="I210" s="108"/>
      <c r="J210" s="108"/>
      <c r="K210" s="108"/>
    </row>
    <row r="211">
      <c r="A211" s="11"/>
      <c r="B211" s="116"/>
      <c r="C211" s="108"/>
      <c r="D211" s="108"/>
      <c r="E211" s="108"/>
      <c r="F211" s="108"/>
      <c r="G211" s="108"/>
      <c r="H211" s="108"/>
      <c r="I211" s="108"/>
      <c r="J211" s="108"/>
      <c r="K211" s="108"/>
    </row>
    <row r="212">
      <c r="A212" s="11"/>
      <c r="B212" s="116"/>
      <c r="C212" s="108"/>
      <c r="D212" s="108"/>
      <c r="E212" s="108"/>
      <c r="F212" s="108"/>
      <c r="G212" s="108"/>
      <c r="H212" s="108"/>
      <c r="I212" s="108"/>
      <c r="J212" s="108"/>
      <c r="K212" s="108"/>
    </row>
    <row r="213">
      <c r="A213" s="11"/>
      <c r="B213" s="116"/>
      <c r="C213" s="108"/>
      <c r="D213" s="108"/>
      <c r="E213" s="108"/>
      <c r="F213" s="108"/>
      <c r="G213" s="108"/>
      <c r="H213" s="108"/>
      <c r="I213" s="108"/>
      <c r="J213" s="108"/>
      <c r="K213" s="108"/>
    </row>
    <row r="214">
      <c r="A214" s="11"/>
      <c r="B214" s="116"/>
      <c r="C214" s="108"/>
      <c r="D214" s="108"/>
      <c r="E214" s="108"/>
      <c r="F214" s="108"/>
      <c r="G214" s="108"/>
      <c r="H214" s="108"/>
      <c r="I214" s="108"/>
      <c r="J214" s="108"/>
      <c r="K214" s="108"/>
    </row>
    <row r="215">
      <c r="A215" s="11"/>
      <c r="B215" s="116"/>
      <c r="C215" s="108"/>
      <c r="D215" s="108"/>
      <c r="E215" s="108"/>
      <c r="F215" s="108"/>
      <c r="G215" s="108"/>
      <c r="H215" s="108"/>
      <c r="I215" s="108"/>
      <c r="J215" s="108"/>
      <c r="K215" s="108"/>
    </row>
    <row r="216">
      <c r="A216" s="11"/>
      <c r="B216" s="116"/>
      <c r="C216" s="108"/>
      <c r="D216" s="108"/>
      <c r="E216" s="108"/>
      <c r="F216" s="108"/>
      <c r="G216" s="108"/>
      <c r="H216" s="108"/>
      <c r="I216" s="108"/>
      <c r="J216" s="108"/>
      <c r="K216" s="108"/>
    </row>
    <row r="217">
      <c r="A217" s="11"/>
      <c r="B217" s="116"/>
      <c r="C217" s="108"/>
      <c r="D217" s="108"/>
      <c r="E217" s="108"/>
      <c r="F217" s="108"/>
      <c r="G217" s="108"/>
      <c r="H217" s="108"/>
      <c r="I217" s="108"/>
      <c r="J217" s="108"/>
      <c r="K217" s="108"/>
    </row>
    <row r="218">
      <c r="A218" s="11"/>
      <c r="B218" s="116"/>
      <c r="C218" s="108"/>
      <c r="D218" s="108"/>
      <c r="E218" s="108"/>
      <c r="F218" s="108"/>
      <c r="G218" s="108"/>
      <c r="H218" s="108"/>
      <c r="I218" s="108"/>
      <c r="J218" s="108"/>
      <c r="K218" s="108"/>
    </row>
    <row r="219">
      <c r="A219" s="11"/>
      <c r="B219" s="116"/>
      <c r="C219" s="108"/>
      <c r="D219" s="108"/>
      <c r="E219" s="108"/>
      <c r="F219" s="108"/>
      <c r="G219" s="108"/>
      <c r="H219" s="108"/>
      <c r="I219" s="108"/>
      <c r="J219" s="108"/>
      <c r="K219" s="108"/>
    </row>
    <row r="220">
      <c r="A220" s="11"/>
      <c r="B220" s="116"/>
      <c r="C220" s="108"/>
      <c r="D220" s="108"/>
      <c r="E220" s="108"/>
      <c r="F220" s="108"/>
      <c r="G220" s="108"/>
      <c r="H220" s="108"/>
      <c r="I220" s="108"/>
      <c r="J220" s="108"/>
      <c r="K220" s="108"/>
    </row>
    <row r="221">
      <c r="A221" s="11"/>
      <c r="B221" s="116"/>
      <c r="C221" s="108"/>
      <c r="D221" s="108"/>
      <c r="E221" s="108"/>
      <c r="F221" s="108"/>
      <c r="G221" s="108"/>
      <c r="H221" s="108"/>
      <c r="I221" s="108"/>
      <c r="J221" s="108"/>
      <c r="K221" s="108"/>
    </row>
    <row r="222">
      <c r="A222" s="11"/>
      <c r="B222" s="116"/>
      <c r="C222" s="108"/>
      <c r="D222" s="108"/>
      <c r="E222" s="108"/>
      <c r="F222" s="108"/>
      <c r="G222" s="108"/>
      <c r="H222" s="108"/>
      <c r="I222" s="108"/>
      <c r="J222" s="108"/>
      <c r="K222" s="108"/>
    </row>
    <row r="223">
      <c r="A223" s="11"/>
      <c r="B223" s="116"/>
      <c r="C223" s="108"/>
      <c r="D223" s="108"/>
      <c r="E223" s="108"/>
      <c r="F223" s="108"/>
      <c r="G223" s="108"/>
      <c r="H223" s="108"/>
      <c r="I223" s="108"/>
      <c r="J223" s="108"/>
      <c r="K223" s="108"/>
    </row>
    <row r="224">
      <c r="A224" s="11"/>
      <c r="B224" s="116"/>
      <c r="C224" s="108"/>
      <c r="D224" s="108"/>
      <c r="E224" s="108"/>
      <c r="F224" s="108"/>
      <c r="G224" s="108"/>
      <c r="H224" s="108"/>
      <c r="I224" s="108"/>
      <c r="J224" s="108"/>
      <c r="K224" s="108"/>
    </row>
    <row r="225">
      <c r="A225" s="11"/>
      <c r="B225" s="116"/>
      <c r="C225" s="108"/>
      <c r="D225" s="108"/>
      <c r="E225" s="108"/>
      <c r="F225" s="108"/>
      <c r="G225" s="108"/>
      <c r="H225" s="108"/>
      <c r="I225" s="108"/>
      <c r="J225" s="108"/>
      <c r="K225" s="108"/>
    </row>
    <row r="226">
      <c r="A226" s="11"/>
      <c r="B226" s="116"/>
      <c r="C226" s="108"/>
      <c r="D226" s="108"/>
      <c r="E226" s="108"/>
      <c r="F226" s="108"/>
      <c r="G226" s="108"/>
      <c r="H226" s="108"/>
      <c r="I226" s="108"/>
      <c r="J226" s="108"/>
      <c r="K226" s="108"/>
    </row>
    <row r="227">
      <c r="A227" s="11"/>
      <c r="B227" s="116"/>
      <c r="C227" s="108"/>
      <c r="D227" s="108"/>
      <c r="E227" s="108"/>
      <c r="F227" s="108"/>
      <c r="G227" s="108"/>
      <c r="H227" s="108"/>
      <c r="I227" s="108"/>
      <c r="J227" s="108"/>
      <c r="K227" s="108"/>
    </row>
    <row r="228">
      <c r="A228" s="11"/>
      <c r="B228" s="116"/>
      <c r="C228" s="108"/>
      <c r="D228" s="108"/>
      <c r="E228" s="108"/>
      <c r="F228" s="108"/>
      <c r="G228" s="108"/>
      <c r="H228" s="108"/>
      <c r="I228" s="108"/>
      <c r="J228" s="108"/>
      <c r="K228" s="108"/>
    </row>
    <row r="229">
      <c r="A229" s="11"/>
      <c r="B229" s="116"/>
      <c r="C229" s="108"/>
      <c r="D229" s="108"/>
      <c r="E229" s="108"/>
      <c r="F229" s="108"/>
      <c r="G229" s="108"/>
      <c r="H229" s="108"/>
      <c r="I229" s="108"/>
      <c r="J229" s="108"/>
      <c r="K229" s="108"/>
    </row>
    <row r="230">
      <c r="A230" s="11"/>
      <c r="B230" s="116"/>
      <c r="C230" s="108"/>
      <c r="D230" s="108"/>
      <c r="E230" s="108"/>
      <c r="F230" s="108"/>
      <c r="G230" s="108"/>
      <c r="H230" s="108"/>
      <c r="I230" s="108"/>
      <c r="J230" s="108"/>
      <c r="K230" s="108"/>
    </row>
    <row r="231">
      <c r="A231" s="11"/>
      <c r="B231" s="116"/>
      <c r="C231" s="108"/>
      <c r="D231" s="108"/>
      <c r="E231" s="108"/>
      <c r="F231" s="108"/>
      <c r="G231" s="108"/>
      <c r="H231" s="108"/>
      <c r="I231" s="108"/>
      <c r="J231" s="108"/>
      <c r="K231" s="108"/>
    </row>
    <row r="232">
      <c r="A232" s="11"/>
      <c r="B232" s="116"/>
      <c r="C232" s="108"/>
      <c r="D232" s="108"/>
      <c r="E232" s="108"/>
      <c r="F232" s="108"/>
      <c r="G232" s="108"/>
      <c r="H232" s="108"/>
      <c r="I232" s="108"/>
      <c r="J232" s="108"/>
      <c r="K232" s="108"/>
    </row>
    <row r="233">
      <c r="A233" s="11"/>
      <c r="B233" s="116"/>
      <c r="C233" s="108"/>
      <c r="D233" s="108"/>
      <c r="E233" s="108"/>
      <c r="F233" s="108"/>
      <c r="G233" s="108"/>
      <c r="H233" s="108"/>
      <c r="I233" s="108"/>
      <c r="J233" s="108"/>
      <c r="K233" s="108"/>
    </row>
    <row r="234">
      <c r="A234" s="11"/>
      <c r="B234" s="116"/>
      <c r="C234" s="108"/>
      <c r="D234" s="108"/>
      <c r="E234" s="108"/>
      <c r="F234" s="108"/>
      <c r="G234" s="108"/>
      <c r="H234" s="108"/>
      <c r="I234" s="108"/>
      <c r="J234" s="108"/>
      <c r="K234" s="108"/>
    </row>
    <row r="235">
      <c r="A235" s="11"/>
      <c r="B235" s="116"/>
      <c r="C235" s="108"/>
      <c r="D235" s="108"/>
      <c r="E235" s="108"/>
      <c r="F235" s="108"/>
      <c r="G235" s="108"/>
      <c r="H235" s="108"/>
      <c r="I235" s="108"/>
      <c r="J235" s="108"/>
      <c r="K235" s="108"/>
    </row>
    <row r="236">
      <c r="A236" s="11"/>
      <c r="B236" s="116"/>
      <c r="C236" s="108"/>
      <c r="D236" s="108"/>
      <c r="E236" s="108"/>
      <c r="F236" s="108"/>
      <c r="G236" s="108"/>
      <c r="H236" s="108"/>
      <c r="I236" s="108"/>
      <c r="J236" s="108"/>
      <c r="K236" s="108"/>
    </row>
    <row r="237">
      <c r="A237" s="11"/>
      <c r="B237" s="116"/>
      <c r="C237" s="108"/>
      <c r="D237" s="108"/>
      <c r="E237" s="108"/>
      <c r="F237" s="108"/>
      <c r="G237" s="108"/>
      <c r="H237" s="108"/>
      <c r="I237" s="108"/>
      <c r="J237" s="108"/>
      <c r="K237" s="108"/>
    </row>
    <row r="238">
      <c r="A238" s="11"/>
      <c r="B238" s="116"/>
      <c r="C238" s="108"/>
      <c r="D238" s="108"/>
      <c r="E238" s="108"/>
      <c r="F238" s="108"/>
      <c r="G238" s="108"/>
      <c r="H238" s="108"/>
      <c r="I238" s="108"/>
      <c r="J238" s="108"/>
      <c r="K238" s="108"/>
    </row>
    <row r="239">
      <c r="A239" s="11"/>
      <c r="B239" s="116"/>
      <c r="C239" s="108"/>
      <c r="D239" s="108"/>
      <c r="E239" s="108"/>
      <c r="F239" s="108"/>
      <c r="G239" s="108"/>
      <c r="H239" s="108"/>
      <c r="I239" s="108"/>
      <c r="J239" s="108"/>
      <c r="K239" s="108"/>
    </row>
    <row r="240">
      <c r="A240" s="11"/>
      <c r="B240" s="116"/>
      <c r="C240" s="108"/>
      <c r="D240" s="108"/>
      <c r="E240" s="108"/>
      <c r="F240" s="108"/>
      <c r="G240" s="108"/>
      <c r="H240" s="108"/>
      <c r="I240" s="108"/>
      <c r="J240" s="108"/>
      <c r="K240" s="108"/>
    </row>
    <row r="241">
      <c r="A241" s="11"/>
      <c r="B241" s="116"/>
      <c r="C241" s="108"/>
      <c r="D241" s="108"/>
      <c r="E241" s="108"/>
      <c r="F241" s="108"/>
      <c r="G241" s="108"/>
      <c r="H241" s="108"/>
      <c r="I241" s="108"/>
      <c r="J241" s="108"/>
      <c r="K241" s="108"/>
    </row>
    <row r="242">
      <c r="A242" s="11"/>
      <c r="B242" s="116"/>
      <c r="C242" s="108"/>
      <c r="D242" s="108"/>
      <c r="E242" s="108"/>
      <c r="F242" s="108"/>
      <c r="G242" s="108"/>
      <c r="H242" s="108"/>
      <c r="I242" s="108"/>
      <c r="J242" s="108"/>
      <c r="K242" s="108"/>
    </row>
    <row r="243">
      <c r="A243" s="11"/>
      <c r="B243" s="116"/>
      <c r="C243" s="108"/>
      <c r="D243" s="108"/>
      <c r="E243" s="108"/>
      <c r="F243" s="108"/>
      <c r="G243" s="108"/>
      <c r="H243" s="108"/>
      <c r="I243" s="108"/>
      <c r="J243" s="108"/>
      <c r="K243" s="108"/>
    </row>
    <row r="244">
      <c r="A244" s="11"/>
      <c r="B244" s="116"/>
      <c r="C244" s="108"/>
      <c r="D244" s="108"/>
      <c r="E244" s="108"/>
      <c r="F244" s="108"/>
      <c r="G244" s="108"/>
      <c r="H244" s="108"/>
      <c r="I244" s="108"/>
      <c r="J244" s="108"/>
      <c r="K244" s="108"/>
    </row>
    <row r="245">
      <c r="A245" s="11"/>
      <c r="B245" s="116"/>
      <c r="C245" s="108"/>
      <c r="D245" s="108"/>
      <c r="E245" s="108"/>
      <c r="F245" s="108"/>
      <c r="G245" s="108"/>
      <c r="H245" s="108"/>
      <c r="I245" s="108"/>
      <c r="J245" s="108"/>
      <c r="K245" s="108"/>
    </row>
    <row r="246">
      <c r="A246" s="11"/>
      <c r="B246" s="116"/>
      <c r="C246" s="108"/>
      <c r="D246" s="108"/>
      <c r="E246" s="108"/>
      <c r="F246" s="108"/>
      <c r="G246" s="108"/>
      <c r="H246" s="108"/>
      <c r="I246" s="108"/>
      <c r="J246" s="108"/>
      <c r="K246" s="108"/>
    </row>
    <row r="247">
      <c r="A247" s="11"/>
      <c r="B247" s="116"/>
      <c r="C247" s="108"/>
      <c r="D247" s="108"/>
      <c r="E247" s="108"/>
      <c r="F247" s="108"/>
      <c r="G247" s="108"/>
      <c r="H247" s="108"/>
      <c r="I247" s="108"/>
      <c r="J247" s="108"/>
      <c r="K247" s="108"/>
    </row>
    <row r="248">
      <c r="A248" s="11"/>
      <c r="B248" s="116"/>
      <c r="C248" s="108"/>
      <c r="D248" s="108"/>
      <c r="E248" s="108"/>
      <c r="F248" s="108"/>
      <c r="G248" s="108"/>
      <c r="H248" s="108"/>
      <c r="I248" s="108"/>
      <c r="J248" s="108"/>
      <c r="K248" s="108"/>
    </row>
    <row r="249">
      <c r="A249" s="11"/>
      <c r="B249" s="116"/>
      <c r="C249" s="108"/>
      <c r="D249" s="108"/>
      <c r="E249" s="108"/>
      <c r="F249" s="108"/>
      <c r="G249" s="108"/>
      <c r="H249" s="108"/>
      <c r="I249" s="108"/>
      <c r="J249" s="108"/>
      <c r="K249" s="108"/>
    </row>
    <row r="250">
      <c r="A250" s="11"/>
      <c r="B250" s="116"/>
      <c r="C250" s="108"/>
      <c r="D250" s="108"/>
      <c r="E250" s="108"/>
      <c r="F250" s="108"/>
      <c r="G250" s="108"/>
      <c r="H250" s="108"/>
      <c r="I250" s="108"/>
      <c r="J250" s="108"/>
      <c r="K250" s="108"/>
    </row>
    <row r="251">
      <c r="A251" s="11"/>
      <c r="B251" s="116"/>
      <c r="C251" s="108"/>
      <c r="D251" s="108"/>
      <c r="E251" s="108"/>
      <c r="F251" s="108"/>
      <c r="G251" s="108"/>
      <c r="H251" s="108"/>
      <c r="I251" s="108"/>
      <c r="J251" s="108"/>
      <c r="K251" s="108"/>
    </row>
    <row r="252">
      <c r="A252" s="11"/>
      <c r="B252" s="116"/>
      <c r="C252" s="108"/>
      <c r="D252" s="108"/>
      <c r="E252" s="108"/>
      <c r="F252" s="108"/>
      <c r="G252" s="108"/>
      <c r="H252" s="108"/>
      <c r="I252" s="108"/>
      <c r="J252" s="108"/>
      <c r="K252" s="108"/>
    </row>
    <row r="253">
      <c r="A253" s="11"/>
      <c r="B253" s="116"/>
      <c r="C253" s="108"/>
      <c r="D253" s="108"/>
      <c r="E253" s="108"/>
      <c r="F253" s="108"/>
      <c r="G253" s="108"/>
      <c r="H253" s="108"/>
      <c r="I253" s="108"/>
      <c r="J253" s="108"/>
      <c r="K253" s="108"/>
    </row>
    <row r="254">
      <c r="A254" s="11"/>
      <c r="B254" s="116"/>
      <c r="C254" s="108"/>
      <c r="D254" s="108"/>
      <c r="E254" s="108"/>
      <c r="F254" s="108"/>
      <c r="G254" s="108"/>
      <c r="H254" s="108"/>
      <c r="I254" s="108"/>
      <c r="J254" s="108"/>
      <c r="K254" s="108"/>
    </row>
    <row r="255">
      <c r="A255" s="11"/>
      <c r="B255" s="116"/>
      <c r="C255" s="108"/>
      <c r="D255" s="108"/>
      <c r="E255" s="108"/>
      <c r="F255" s="108"/>
      <c r="G255" s="108"/>
      <c r="H255" s="108"/>
      <c r="I255" s="108"/>
      <c r="J255" s="108"/>
      <c r="K255" s="108"/>
    </row>
    <row r="256">
      <c r="A256" s="11"/>
      <c r="B256" s="116"/>
      <c r="C256" s="108"/>
      <c r="D256" s="108"/>
      <c r="E256" s="108"/>
      <c r="F256" s="108"/>
      <c r="G256" s="108"/>
      <c r="H256" s="108"/>
      <c r="I256" s="108"/>
      <c r="J256" s="108"/>
      <c r="K256" s="108"/>
    </row>
    <row r="257">
      <c r="A257" s="11"/>
      <c r="B257" s="116"/>
      <c r="C257" s="108"/>
      <c r="D257" s="108"/>
      <c r="E257" s="108"/>
      <c r="F257" s="108"/>
      <c r="G257" s="108"/>
      <c r="H257" s="108"/>
      <c r="I257" s="108"/>
      <c r="J257" s="108"/>
      <c r="K257" s="108"/>
    </row>
    <row r="258">
      <c r="A258" s="11"/>
      <c r="B258" s="116"/>
      <c r="C258" s="108"/>
      <c r="D258" s="108"/>
      <c r="E258" s="108"/>
      <c r="F258" s="108"/>
      <c r="G258" s="108"/>
      <c r="H258" s="108"/>
      <c r="I258" s="108"/>
      <c r="J258" s="108"/>
      <c r="K258" s="108"/>
    </row>
    <row r="259">
      <c r="A259" s="11"/>
      <c r="B259" s="116"/>
      <c r="C259" s="108"/>
      <c r="D259" s="108"/>
      <c r="E259" s="108"/>
      <c r="F259" s="108"/>
      <c r="G259" s="108"/>
      <c r="H259" s="108"/>
      <c r="I259" s="108"/>
      <c r="J259" s="108"/>
      <c r="K259" s="108"/>
    </row>
    <row r="260">
      <c r="A260" s="11"/>
      <c r="B260" s="116"/>
      <c r="C260" s="108"/>
      <c r="D260" s="108"/>
      <c r="E260" s="108"/>
      <c r="F260" s="108"/>
      <c r="G260" s="108"/>
      <c r="H260" s="108"/>
      <c r="I260" s="108"/>
      <c r="J260" s="108"/>
      <c r="K260" s="108"/>
    </row>
    <row r="261">
      <c r="A261" s="11"/>
      <c r="B261" s="116"/>
      <c r="C261" s="108"/>
      <c r="D261" s="108"/>
      <c r="E261" s="108"/>
      <c r="F261" s="108"/>
      <c r="G261" s="108"/>
      <c r="H261" s="108"/>
      <c r="I261" s="108"/>
      <c r="J261" s="108"/>
      <c r="K261" s="108"/>
    </row>
    <row r="262">
      <c r="A262" s="11"/>
      <c r="B262" s="116"/>
      <c r="C262" s="108"/>
      <c r="D262" s="108"/>
      <c r="E262" s="108"/>
      <c r="F262" s="108"/>
      <c r="G262" s="108"/>
      <c r="H262" s="108"/>
      <c r="I262" s="108"/>
      <c r="J262" s="108"/>
      <c r="K262" s="108"/>
    </row>
    <row r="263">
      <c r="A263" s="11"/>
      <c r="B263" s="116"/>
      <c r="C263" s="108"/>
      <c r="D263" s="108"/>
      <c r="E263" s="108"/>
      <c r="F263" s="108"/>
      <c r="G263" s="108"/>
      <c r="H263" s="108"/>
      <c r="I263" s="108"/>
      <c r="J263" s="108"/>
      <c r="K263" s="108"/>
    </row>
    <row r="264">
      <c r="A264" s="11"/>
      <c r="B264" s="116"/>
      <c r="C264" s="108"/>
      <c r="D264" s="108"/>
      <c r="E264" s="108"/>
      <c r="F264" s="108"/>
      <c r="G264" s="108"/>
      <c r="H264" s="108"/>
      <c r="I264" s="108"/>
      <c r="J264" s="108"/>
      <c r="K264" s="108"/>
    </row>
    <row r="265">
      <c r="A265" s="11"/>
      <c r="B265" s="116"/>
      <c r="C265" s="108"/>
      <c r="D265" s="108"/>
      <c r="E265" s="108"/>
      <c r="F265" s="108"/>
      <c r="G265" s="108"/>
      <c r="H265" s="108"/>
      <c r="I265" s="108"/>
      <c r="J265" s="108"/>
      <c r="K265" s="108"/>
    </row>
    <row r="266">
      <c r="A266" s="11"/>
      <c r="B266" s="116"/>
      <c r="C266" s="108"/>
      <c r="D266" s="108"/>
      <c r="E266" s="108"/>
      <c r="F266" s="108"/>
      <c r="G266" s="108"/>
      <c r="H266" s="108"/>
      <c r="I266" s="108"/>
      <c r="J266" s="108"/>
      <c r="K266" s="108"/>
    </row>
    <row r="267">
      <c r="A267" s="11"/>
      <c r="B267" s="116"/>
      <c r="C267" s="108"/>
      <c r="D267" s="108"/>
      <c r="E267" s="108"/>
      <c r="F267" s="108"/>
      <c r="G267" s="108"/>
      <c r="H267" s="108"/>
      <c r="I267" s="108"/>
      <c r="J267" s="108"/>
      <c r="K267" s="108"/>
    </row>
    <row r="268">
      <c r="A268" s="11"/>
      <c r="B268" s="116"/>
      <c r="C268" s="108"/>
      <c r="D268" s="108"/>
      <c r="E268" s="108"/>
      <c r="F268" s="108"/>
      <c r="G268" s="108"/>
      <c r="H268" s="108"/>
      <c r="I268" s="108"/>
      <c r="J268" s="108"/>
      <c r="K268" s="108"/>
    </row>
    <row r="269">
      <c r="A269" s="11"/>
      <c r="B269" s="116"/>
      <c r="C269" s="108"/>
      <c r="D269" s="108"/>
      <c r="E269" s="108"/>
      <c r="F269" s="108"/>
      <c r="G269" s="108"/>
      <c r="H269" s="108"/>
      <c r="I269" s="108"/>
      <c r="J269" s="108"/>
      <c r="K269" s="108"/>
    </row>
    <row r="270">
      <c r="A270" s="11"/>
      <c r="B270" s="116"/>
      <c r="C270" s="108"/>
      <c r="D270" s="108"/>
      <c r="E270" s="108"/>
      <c r="F270" s="108"/>
      <c r="G270" s="108"/>
      <c r="H270" s="108"/>
      <c r="I270" s="108"/>
      <c r="J270" s="108"/>
      <c r="K270" s="108"/>
    </row>
    <row r="271">
      <c r="A271" s="11"/>
      <c r="B271" s="116"/>
      <c r="C271" s="108"/>
      <c r="D271" s="108"/>
      <c r="E271" s="108"/>
      <c r="F271" s="108"/>
      <c r="G271" s="108"/>
      <c r="H271" s="108"/>
      <c r="I271" s="108"/>
      <c r="J271" s="108"/>
      <c r="K271" s="108"/>
    </row>
    <row r="272">
      <c r="A272" s="11"/>
      <c r="B272" s="116"/>
      <c r="C272" s="108"/>
      <c r="D272" s="108"/>
      <c r="E272" s="108"/>
      <c r="F272" s="108"/>
      <c r="G272" s="108"/>
      <c r="H272" s="108"/>
      <c r="I272" s="108"/>
      <c r="J272" s="108"/>
      <c r="K272" s="108"/>
    </row>
    <row r="273">
      <c r="A273" s="11"/>
      <c r="B273" s="116"/>
      <c r="C273" s="108"/>
      <c r="D273" s="108"/>
      <c r="E273" s="108"/>
      <c r="F273" s="108"/>
      <c r="G273" s="108"/>
      <c r="H273" s="108"/>
      <c r="I273" s="108"/>
      <c r="J273" s="108"/>
      <c r="K273" s="108"/>
    </row>
    <row r="274">
      <c r="A274" s="11"/>
      <c r="B274" s="116"/>
      <c r="C274" s="108"/>
      <c r="D274" s="108"/>
      <c r="E274" s="108"/>
      <c r="F274" s="108"/>
      <c r="G274" s="108"/>
      <c r="H274" s="108"/>
      <c r="I274" s="108"/>
      <c r="J274" s="108"/>
      <c r="K274" s="108"/>
    </row>
    <row r="275">
      <c r="A275" s="11"/>
      <c r="B275" s="116"/>
      <c r="C275" s="108"/>
      <c r="D275" s="108"/>
      <c r="E275" s="108"/>
      <c r="F275" s="108"/>
      <c r="G275" s="108"/>
      <c r="H275" s="108"/>
      <c r="I275" s="108"/>
      <c r="J275" s="108"/>
      <c r="K275" s="108"/>
    </row>
    <row r="276">
      <c r="A276" s="11"/>
      <c r="B276" s="116"/>
      <c r="C276" s="108"/>
      <c r="D276" s="108"/>
      <c r="E276" s="108"/>
      <c r="F276" s="108"/>
      <c r="G276" s="108"/>
      <c r="H276" s="108"/>
      <c r="I276" s="108"/>
      <c r="J276" s="108"/>
      <c r="K276" s="108"/>
    </row>
    <row r="277">
      <c r="A277" s="11"/>
      <c r="B277" s="116"/>
      <c r="C277" s="108"/>
      <c r="D277" s="108"/>
      <c r="E277" s="108"/>
      <c r="F277" s="108"/>
      <c r="G277" s="108"/>
      <c r="H277" s="108"/>
      <c r="I277" s="108"/>
      <c r="J277" s="108"/>
      <c r="K277" s="108"/>
    </row>
    <row r="278">
      <c r="A278" s="11"/>
      <c r="B278" s="116"/>
      <c r="C278" s="108"/>
      <c r="D278" s="108"/>
      <c r="E278" s="108"/>
      <c r="F278" s="108"/>
      <c r="G278" s="108"/>
      <c r="H278" s="108"/>
      <c r="I278" s="108"/>
      <c r="J278" s="108"/>
      <c r="K278" s="108"/>
    </row>
    <row r="279">
      <c r="A279" s="11"/>
      <c r="B279" s="116"/>
      <c r="C279" s="108"/>
      <c r="D279" s="108"/>
      <c r="E279" s="108"/>
      <c r="F279" s="108"/>
      <c r="G279" s="108"/>
      <c r="H279" s="108"/>
      <c r="I279" s="108"/>
      <c r="J279" s="108"/>
      <c r="K279" s="108"/>
    </row>
    <row r="280">
      <c r="A280" s="11"/>
      <c r="B280" s="116"/>
      <c r="C280" s="108"/>
      <c r="D280" s="108"/>
      <c r="E280" s="108"/>
      <c r="F280" s="108"/>
      <c r="G280" s="108"/>
      <c r="H280" s="108"/>
      <c r="I280" s="108"/>
      <c r="J280" s="108"/>
      <c r="K280" s="108"/>
    </row>
    <row r="281">
      <c r="A281" s="11"/>
      <c r="B281" s="116"/>
      <c r="C281" s="108"/>
      <c r="D281" s="108"/>
      <c r="E281" s="108"/>
      <c r="F281" s="108"/>
      <c r="G281" s="108"/>
      <c r="H281" s="108"/>
      <c r="I281" s="108"/>
      <c r="J281" s="108"/>
      <c r="K281" s="108"/>
    </row>
    <row r="282">
      <c r="A282" s="11"/>
      <c r="B282" s="116"/>
      <c r="C282" s="108"/>
      <c r="D282" s="108"/>
      <c r="E282" s="108"/>
      <c r="F282" s="108"/>
      <c r="G282" s="108"/>
      <c r="H282" s="108"/>
      <c r="I282" s="108"/>
      <c r="J282" s="108"/>
      <c r="K282" s="108"/>
    </row>
    <row r="283">
      <c r="A283" s="11"/>
      <c r="B283" s="116"/>
      <c r="C283" s="108"/>
      <c r="D283" s="108"/>
      <c r="E283" s="108"/>
      <c r="F283" s="108"/>
      <c r="G283" s="108"/>
      <c r="H283" s="108"/>
      <c r="I283" s="108"/>
      <c r="J283" s="108"/>
      <c r="K283" s="108"/>
    </row>
    <row r="284">
      <c r="A284" s="11"/>
      <c r="B284" s="116"/>
      <c r="C284" s="108"/>
      <c r="D284" s="108"/>
      <c r="E284" s="108"/>
      <c r="F284" s="108"/>
      <c r="G284" s="108"/>
      <c r="H284" s="108"/>
      <c r="I284" s="108"/>
      <c r="J284" s="108"/>
      <c r="K284" s="108"/>
    </row>
    <row r="285">
      <c r="A285" s="11"/>
      <c r="B285" s="116"/>
      <c r="C285" s="108"/>
      <c r="D285" s="108"/>
      <c r="E285" s="108"/>
      <c r="F285" s="108"/>
      <c r="G285" s="108"/>
      <c r="H285" s="108"/>
      <c r="I285" s="108"/>
      <c r="J285" s="108"/>
      <c r="K285" s="108"/>
    </row>
    <row r="286">
      <c r="A286" s="11"/>
      <c r="B286" s="116"/>
      <c r="C286" s="108"/>
      <c r="D286" s="108"/>
      <c r="E286" s="108"/>
      <c r="F286" s="108"/>
      <c r="G286" s="108"/>
      <c r="H286" s="108"/>
      <c r="I286" s="108"/>
      <c r="J286" s="108"/>
      <c r="K286" s="108"/>
    </row>
    <row r="287">
      <c r="A287" s="11"/>
      <c r="B287" s="116"/>
      <c r="C287" s="108"/>
      <c r="D287" s="108"/>
      <c r="E287" s="108"/>
      <c r="F287" s="108"/>
      <c r="G287" s="108"/>
      <c r="H287" s="108"/>
      <c r="I287" s="108"/>
      <c r="J287" s="108"/>
      <c r="K287" s="108"/>
    </row>
    <row r="288">
      <c r="A288" s="11"/>
      <c r="B288" s="116"/>
      <c r="C288" s="108"/>
      <c r="D288" s="108"/>
      <c r="E288" s="108"/>
      <c r="F288" s="108"/>
      <c r="G288" s="108"/>
      <c r="H288" s="108"/>
      <c r="I288" s="108"/>
      <c r="J288" s="108"/>
      <c r="K288" s="108"/>
    </row>
    <row r="289">
      <c r="A289" s="11"/>
      <c r="B289" s="116"/>
      <c r="C289" s="108"/>
      <c r="D289" s="108"/>
      <c r="E289" s="108"/>
      <c r="F289" s="108"/>
      <c r="G289" s="108"/>
      <c r="H289" s="108"/>
      <c r="I289" s="108"/>
      <c r="J289" s="108"/>
      <c r="K289" s="108"/>
    </row>
    <row r="290">
      <c r="A290" s="11"/>
      <c r="B290" s="116"/>
      <c r="C290" s="108"/>
      <c r="D290" s="108"/>
      <c r="E290" s="108"/>
      <c r="F290" s="108"/>
      <c r="G290" s="108"/>
      <c r="H290" s="108"/>
      <c r="I290" s="108"/>
      <c r="J290" s="108"/>
      <c r="K290" s="108"/>
    </row>
    <row r="291">
      <c r="A291" s="11"/>
      <c r="B291" s="116"/>
      <c r="C291" s="108"/>
      <c r="D291" s="108"/>
      <c r="E291" s="108"/>
      <c r="F291" s="108"/>
      <c r="G291" s="108"/>
      <c r="H291" s="108"/>
      <c r="I291" s="108"/>
      <c r="J291" s="108"/>
      <c r="K291" s="108"/>
    </row>
    <row r="292">
      <c r="A292" s="11"/>
      <c r="B292" s="116"/>
      <c r="C292" s="108"/>
      <c r="D292" s="108"/>
      <c r="E292" s="108"/>
      <c r="F292" s="108"/>
      <c r="G292" s="108"/>
      <c r="H292" s="108"/>
      <c r="I292" s="108"/>
      <c r="J292" s="108"/>
      <c r="K292" s="108"/>
    </row>
    <row r="293">
      <c r="A293" s="11"/>
      <c r="B293" s="116"/>
      <c r="C293" s="108"/>
      <c r="D293" s="108"/>
      <c r="E293" s="108"/>
      <c r="F293" s="108"/>
      <c r="G293" s="108"/>
      <c r="H293" s="108"/>
      <c r="I293" s="108"/>
      <c r="J293" s="108"/>
      <c r="K293" s="108"/>
    </row>
    <row r="294">
      <c r="A294" s="11"/>
      <c r="B294" s="116"/>
      <c r="C294" s="108"/>
      <c r="D294" s="108"/>
      <c r="E294" s="108"/>
      <c r="F294" s="108"/>
      <c r="G294" s="108"/>
      <c r="H294" s="108"/>
      <c r="I294" s="108"/>
      <c r="J294" s="108"/>
      <c r="K294" s="108"/>
    </row>
    <row r="295">
      <c r="A295" s="11"/>
      <c r="B295" s="116"/>
      <c r="C295" s="108"/>
      <c r="D295" s="108"/>
      <c r="E295" s="108"/>
      <c r="F295" s="108"/>
      <c r="G295" s="108"/>
      <c r="H295" s="108"/>
      <c r="I295" s="108"/>
      <c r="J295" s="108"/>
      <c r="K295" s="108"/>
    </row>
    <row r="296">
      <c r="A296" s="11"/>
      <c r="B296" s="116"/>
      <c r="C296" s="108"/>
      <c r="D296" s="108"/>
      <c r="E296" s="108"/>
      <c r="F296" s="108"/>
      <c r="G296" s="108"/>
      <c r="H296" s="108"/>
      <c r="I296" s="108"/>
      <c r="J296" s="108"/>
      <c r="K296" s="108"/>
    </row>
    <row r="297">
      <c r="A297" s="11"/>
      <c r="B297" s="116"/>
      <c r="C297" s="108"/>
      <c r="D297" s="108"/>
      <c r="E297" s="108"/>
      <c r="F297" s="108"/>
      <c r="G297" s="108"/>
      <c r="H297" s="108"/>
      <c r="I297" s="108"/>
      <c r="J297" s="108"/>
      <c r="K297" s="108"/>
    </row>
    <row r="298">
      <c r="A298" s="11"/>
      <c r="B298" s="116"/>
      <c r="C298" s="108"/>
      <c r="D298" s="108"/>
      <c r="E298" s="108"/>
      <c r="F298" s="108"/>
      <c r="G298" s="108"/>
      <c r="H298" s="108"/>
      <c r="I298" s="108"/>
      <c r="J298" s="108"/>
      <c r="K298" s="108"/>
    </row>
    <row r="299">
      <c r="A299" s="11"/>
      <c r="B299" s="116"/>
      <c r="C299" s="108"/>
      <c r="D299" s="108"/>
      <c r="E299" s="108"/>
      <c r="F299" s="108"/>
      <c r="G299" s="108"/>
      <c r="H299" s="108"/>
      <c r="I299" s="108"/>
      <c r="J299" s="108"/>
      <c r="K299" s="108"/>
    </row>
    <row r="300">
      <c r="A300" s="11"/>
      <c r="B300" s="116"/>
      <c r="C300" s="108"/>
      <c r="D300" s="108"/>
      <c r="E300" s="108"/>
      <c r="F300" s="108"/>
      <c r="G300" s="108"/>
      <c r="H300" s="108"/>
      <c r="I300" s="108"/>
      <c r="J300" s="108"/>
      <c r="K300" s="108"/>
    </row>
    <row r="301">
      <c r="A301" s="11"/>
      <c r="B301" s="116"/>
      <c r="C301" s="108"/>
      <c r="D301" s="108"/>
      <c r="E301" s="108"/>
      <c r="F301" s="108"/>
      <c r="G301" s="108"/>
      <c r="H301" s="108"/>
      <c r="I301" s="108"/>
      <c r="J301" s="108"/>
      <c r="K301" s="108"/>
    </row>
    <row r="302">
      <c r="A302" s="11"/>
      <c r="B302" s="116"/>
      <c r="C302" s="108"/>
      <c r="D302" s="108"/>
      <c r="E302" s="108"/>
      <c r="F302" s="108"/>
      <c r="G302" s="108"/>
      <c r="H302" s="108"/>
      <c r="I302" s="108"/>
      <c r="J302" s="108"/>
      <c r="K302" s="108"/>
    </row>
    <row r="303">
      <c r="A303" s="11"/>
      <c r="B303" s="116"/>
      <c r="C303" s="108"/>
      <c r="D303" s="108"/>
      <c r="E303" s="108"/>
      <c r="F303" s="108"/>
      <c r="G303" s="108"/>
      <c r="H303" s="108"/>
      <c r="I303" s="108"/>
      <c r="J303" s="108"/>
      <c r="K303" s="108"/>
    </row>
    <row r="304">
      <c r="A304" s="11"/>
      <c r="B304" s="116"/>
      <c r="C304" s="108"/>
      <c r="D304" s="108"/>
      <c r="E304" s="108"/>
      <c r="F304" s="108"/>
      <c r="G304" s="108"/>
      <c r="H304" s="108"/>
      <c r="I304" s="108"/>
      <c r="J304" s="108"/>
      <c r="K304" s="108"/>
    </row>
    <row r="305">
      <c r="A305" s="11"/>
      <c r="B305" s="116"/>
      <c r="C305" s="108"/>
      <c r="D305" s="108"/>
      <c r="E305" s="108"/>
      <c r="F305" s="108"/>
      <c r="G305" s="108"/>
      <c r="H305" s="108"/>
      <c r="I305" s="108"/>
      <c r="J305" s="108"/>
      <c r="K305" s="108"/>
    </row>
    <row r="306">
      <c r="A306" s="11"/>
      <c r="B306" s="116"/>
      <c r="C306" s="108"/>
      <c r="D306" s="108"/>
      <c r="E306" s="108"/>
      <c r="F306" s="108"/>
      <c r="G306" s="108"/>
      <c r="H306" s="108"/>
      <c r="I306" s="108"/>
      <c r="J306" s="108"/>
      <c r="K306" s="108"/>
    </row>
    <row r="307">
      <c r="A307" s="11"/>
      <c r="B307" s="116"/>
      <c r="C307" s="108"/>
      <c r="D307" s="108"/>
      <c r="E307" s="108"/>
      <c r="F307" s="108"/>
      <c r="G307" s="108"/>
      <c r="H307" s="108"/>
      <c r="I307" s="108"/>
      <c r="J307" s="108"/>
      <c r="K307" s="108"/>
    </row>
    <row r="308">
      <c r="A308" s="11"/>
      <c r="B308" s="116"/>
      <c r="C308" s="108"/>
      <c r="D308" s="108"/>
      <c r="E308" s="108"/>
      <c r="F308" s="108"/>
      <c r="G308" s="108"/>
      <c r="H308" s="108"/>
      <c r="I308" s="108"/>
      <c r="J308" s="108"/>
      <c r="K308" s="108"/>
    </row>
    <row r="309">
      <c r="A309" s="11"/>
      <c r="B309" s="116"/>
      <c r="C309" s="108"/>
      <c r="D309" s="108"/>
      <c r="E309" s="108"/>
      <c r="F309" s="108"/>
      <c r="G309" s="108"/>
      <c r="H309" s="108"/>
      <c r="I309" s="108"/>
      <c r="J309" s="108"/>
      <c r="K309" s="108"/>
    </row>
    <row r="310">
      <c r="A310" s="11"/>
      <c r="B310" s="116"/>
      <c r="C310" s="108"/>
      <c r="D310" s="108"/>
      <c r="E310" s="108"/>
      <c r="F310" s="108"/>
      <c r="G310" s="108"/>
      <c r="H310" s="108"/>
      <c r="I310" s="108"/>
      <c r="J310" s="108"/>
      <c r="K310" s="108"/>
    </row>
    <row r="311">
      <c r="A311" s="11"/>
      <c r="B311" s="116"/>
      <c r="C311" s="108"/>
      <c r="D311" s="108"/>
      <c r="E311" s="108"/>
      <c r="F311" s="108"/>
      <c r="G311" s="108"/>
      <c r="H311" s="108"/>
      <c r="I311" s="108"/>
      <c r="J311" s="108"/>
      <c r="K311" s="108"/>
    </row>
    <row r="312">
      <c r="A312" s="11"/>
      <c r="B312" s="116"/>
      <c r="C312" s="108"/>
      <c r="D312" s="108"/>
      <c r="E312" s="108"/>
      <c r="F312" s="108"/>
      <c r="G312" s="108"/>
      <c r="H312" s="108"/>
      <c r="I312" s="108"/>
      <c r="J312" s="108"/>
      <c r="K312" s="108"/>
    </row>
    <row r="313">
      <c r="A313" s="11"/>
      <c r="B313" s="116"/>
      <c r="C313" s="108"/>
      <c r="D313" s="108"/>
      <c r="E313" s="108"/>
      <c r="F313" s="108"/>
      <c r="G313" s="108"/>
      <c r="H313" s="108"/>
      <c r="I313" s="108"/>
      <c r="J313" s="108"/>
      <c r="K313" s="108"/>
    </row>
    <row r="314">
      <c r="A314" s="11"/>
      <c r="B314" s="116"/>
      <c r="C314" s="108"/>
      <c r="D314" s="108"/>
      <c r="E314" s="108"/>
      <c r="F314" s="108"/>
      <c r="G314" s="108"/>
      <c r="H314" s="108"/>
      <c r="I314" s="108"/>
      <c r="J314" s="108"/>
      <c r="K314" s="108"/>
    </row>
    <row r="315">
      <c r="A315" s="11"/>
      <c r="B315" s="116"/>
      <c r="C315" s="108"/>
      <c r="D315" s="108"/>
      <c r="E315" s="108"/>
      <c r="F315" s="108"/>
      <c r="G315" s="108"/>
      <c r="H315" s="108"/>
      <c r="I315" s="108"/>
      <c r="J315" s="108"/>
      <c r="K315" s="108"/>
    </row>
    <row r="316">
      <c r="A316" s="11"/>
      <c r="B316" s="116"/>
      <c r="C316" s="108"/>
      <c r="D316" s="108"/>
      <c r="E316" s="108"/>
      <c r="F316" s="108"/>
      <c r="G316" s="108"/>
      <c r="H316" s="108"/>
      <c r="I316" s="108"/>
      <c r="J316" s="108"/>
      <c r="K316" s="108"/>
    </row>
    <row r="317">
      <c r="A317" s="11"/>
      <c r="B317" s="116"/>
      <c r="C317" s="108"/>
      <c r="D317" s="108"/>
      <c r="E317" s="108"/>
      <c r="F317" s="108"/>
      <c r="G317" s="108"/>
      <c r="H317" s="108"/>
      <c r="I317" s="108"/>
      <c r="J317" s="108"/>
      <c r="K317" s="108"/>
    </row>
    <row r="318">
      <c r="A318" s="11"/>
      <c r="B318" s="116"/>
      <c r="C318" s="108"/>
      <c r="D318" s="108"/>
      <c r="E318" s="108"/>
      <c r="F318" s="108"/>
      <c r="G318" s="108"/>
      <c r="H318" s="108"/>
      <c r="I318" s="108"/>
      <c r="J318" s="108"/>
      <c r="K318" s="108"/>
    </row>
    <row r="319">
      <c r="A319" s="11"/>
      <c r="B319" s="116"/>
      <c r="C319" s="108"/>
      <c r="D319" s="108"/>
      <c r="E319" s="108"/>
      <c r="F319" s="108"/>
      <c r="G319" s="108"/>
      <c r="H319" s="108"/>
      <c r="I319" s="108"/>
      <c r="J319" s="108"/>
      <c r="K319" s="108"/>
    </row>
    <row r="320">
      <c r="A320" s="11"/>
      <c r="B320" s="116"/>
      <c r="C320" s="108"/>
      <c r="D320" s="108"/>
      <c r="E320" s="108"/>
      <c r="F320" s="108"/>
      <c r="G320" s="108"/>
      <c r="H320" s="108"/>
      <c r="I320" s="108"/>
      <c r="J320" s="108"/>
      <c r="K320" s="108"/>
    </row>
    <row r="321">
      <c r="A321" s="11"/>
      <c r="B321" s="116"/>
      <c r="C321" s="108"/>
      <c r="D321" s="108"/>
      <c r="E321" s="108"/>
      <c r="F321" s="108"/>
      <c r="G321" s="108"/>
      <c r="H321" s="108"/>
      <c r="I321" s="108"/>
      <c r="J321" s="108"/>
      <c r="K321" s="108"/>
    </row>
    <row r="322">
      <c r="A322" s="11"/>
      <c r="B322" s="116"/>
      <c r="C322" s="108"/>
      <c r="D322" s="108"/>
      <c r="E322" s="108"/>
      <c r="F322" s="108"/>
      <c r="G322" s="108"/>
      <c r="H322" s="108"/>
      <c r="I322" s="108"/>
      <c r="J322" s="108"/>
      <c r="K322" s="108"/>
    </row>
    <row r="323">
      <c r="A323" s="11"/>
      <c r="B323" s="116"/>
      <c r="C323" s="108"/>
      <c r="D323" s="108"/>
      <c r="E323" s="108"/>
      <c r="F323" s="108"/>
      <c r="G323" s="108"/>
      <c r="H323" s="108"/>
      <c r="I323" s="108"/>
      <c r="J323" s="108"/>
      <c r="K323" s="108"/>
    </row>
    <row r="324">
      <c r="A324" s="11"/>
      <c r="B324" s="116"/>
      <c r="C324" s="108"/>
      <c r="D324" s="108"/>
      <c r="E324" s="108"/>
      <c r="F324" s="108"/>
      <c r="G324" s="108"/>
      <c r="H324" s="108"/>
      <c r="I324" s="108"/>
      <c r="J324" s="108"/>
      <c r="K324" s="108"/>
    </row>
    <row r="325">
      <c r="A325" s="11"/>
      <c r="B325" s="116"/>
      <c r="C325" s="108"/>
      <c r="D325" s="108"/>
      <c r="E325" s="108"/>
      <c r="F325" s="108"/>
      <c r="G325" s="108"/>
      <c r="H325" s="108"/>
      <c r="I325" s="108"/>
      <c r="J325" s="108"/>
      <c r="K325" s="108"/>
    </row>
    <row r="326">
      <c r="A326" s="11"/>
      <c r="B326" s="116"/>
      <c r="C326" s="108"/>
      <c r="D326" s="108"/>
      <c r="E326" s="108"/>
      <c r="F326" s="108"/>
      <c r="G326" s="108"/>
      <c r="H326" s="108"/>
      <c r="I326" s="108"/>
      <c r="J326" s="108"/>
      <c r="K326" s="108"/>
    </row>
    <row r="327">
      <c r="A327" s="11"/>
      <c r="B327" s="116"/>
      <c r="C327" s="108"/>
      <c r="D327" s="108"/>
      <c r="E327" s="108"/>
      <c r="F327" s="108"/>
      <c r="G327" s="108"/>
      <c r="H327" s="108"/>
      <c r="I327" s="108"/>
      <c r="J327" s="108"/>
      <c r="K327" s="108"/>
    </row>
    <row r="328">
      <c r="A328" s="11"/>
      <c r="B328" s="116"/>
      <c r="C328" s="108"/>
      <c r="D328" s="108"/>
      <c r="E328" s="108"/>
      <c r="F328" s="108"/>
      <c r="G328" s="108"/>
      <c r="H328" s="108"/>
      <c r="I328" s="108"/>
      <c r="J328" s="108"/>
      <c r="K328" s="108"/>
    </row>
    <row r="329">
      <c r="A329" s="11"/>
      <c r="B329" s="116"/>
      <c r="C329" s="108"/>
      <c r="D329" s="108"/>
      <c r="E329" s="108"/>
      <c r="F329" s="108"/>
      <c r="G329" s="108"/>
      <c r="H329" s="108"/>
      <c r="I329" s="108"/>
      <c r="J329" s="108"/>
      <c r="K329" s="108"/>
    </row>
    <row r="330">
      <c r="A330" s="11"/>
      <c r="B330" s="116"/>
      <c r="C330" s="108"/>
      <c r="D330" s="108"/>
      <c r="E330" s="108"/>
      <c r="F330" s="108"/>
      <c r="G330" s="108"/>
      <c r="H330" s="108"/>
      <c r="I330" s="108"/>
      <c r="J330" s="108"/>
      <c r="K330" s="108"/>
    </row>
    <row r="331">
      <c r="A331" s="11"/>
      <c r="B331" s="116"/>
      <c r="C331" s="108"/>
      <c r="D331" s="108"/>
      <c r="E331" s="108"/>
      <c r="F331" s="108"/>
      <c r="G331" s="108"/>
      <c r="H331" s="108"/>
      <c r="I331" s="108"/>
      <c r="J331" s="108"/>
      <c r="K331" s="108"/>
    </row>
    <row r="332">
      <c r="A332" s="11"/>
      <c r="B332" s="116"/>
      <c r="C332" s="108"/>
      <c r="D332" s="108"/>
      <c r="E332" s="108"/>
      <c r="F332" s="108"/>
      <c r="G332" s="108"/>
      <c r="H332" s="108"/>
      <c r="I332" s="108"/>
      <c r="J332" s="108"/>
      <c r="K332" s="108"/>
    </row>
    <row r="333">
      <c r="A333" s="11"/>
      <c r="B333" s="116"/>
      <c r="C333" s="108"/>
      <c r="D333" s="108"/>
      <c r="E333" s="108"/>
      <c r="F333" s="108"/>
      <c r="G333" s="108"/>
      <c r="H333" s="108"/>
      <c r="I333" s="108"/>
      <c r="J333" s="108"/>
      <c r="K333" s="108"/>
    </row>
    <row r="334">
      <c r="A334" s="11"/>
      <c r="B334" s="116"/>
      <c r="C334" s="108"/>
      <c r="D334" s="108"/>
      <c r="E334" s="108"/>
      <c r="F334" s="108"/>
      <c r="G334" s="108"/>
      <c r="H334" s="108"/>
      <c r="I334" s="108"/>
      <c r="J334" s="108"/>
      <c r="K334" s="108"/>
    </row>
    <row r="335">
      <c r="A335" s="11"/>
      <c r="B335" s="116"/>
      <c r="C335" s="108"/>
      <c r="D335" s="108"/>
      <c r="E335" s="108"/>
      <c r="F335" s="108"/>
      <c r="G335" s="108"/>
      <c r="H335" s="108"/>
      <c r="I335" s="108"/>
      <c r="J335" s="108"/>
      <c r="K335" s="108"/>
    </row>
    <row r="336">
      <c r="A336" s="11"/>
      <c r="B336" s="116"/>
      <c r="C336" s="108"/>
      <c r="D336" s="108"/>
      <c r="E336" s="108"/>
      <c r="F336" s="108"/>
      <c r="G336" s="108"/>
      <c r="H336" s="108"/>
      <c r="I336" s="108"/>
      <c r="J336" s="108"/>
      <c r="K336" s="108"/>
    </row>
    <row r="337">
      <c r="A337" s="11"/>
      <c r="B337" s="116"/>
      <c r="C337" s="108"/>
      <c r="D337" s="108"/>
      <c r="E337" s="108"/>
      <c r="F337" s="108"/>
      <c r="G337" s="108"/>
      <c r="H337" s="108"/>
      <c r="I337" s="108"/>
      <c r="J337" s="108"/>
      <c r="K337" s="108"/>
    </row>
    <row r="338">
      <c r="A338" s="11"/>
      <c r="B338" s="116"/>
      <c r="C338" s="108"/>
      <c r="D338" s="108"/>
      <c r="E338" s="108"/>
      <c r="F338" s="108"/>
      <c r="G338" s="108"/>
      <c r="H338" s="108"/>
      <c r="I338" s="108"/>
      <c r="J338" s="108"/>
      <c r="K338" s="108"/>
    </row>
    <row r="339">
      <c r="A339" s="11"/>
      <c r="B339" s="116"/>
      <c r="C339" s="108"/>
      <c r="D339" s="108"/>
      <c r="E339" s="108"/>
      <c r="F339" s="108"/>
      <c r="G339" s="108"/>
      <c r="H339" s="108"/>
      <c r="I339" s="108"/>
      <c r="J339" s="108"/>
      <c r="K339" s="108"/>
    </row>
    <row r="340">
      <c r="A340" s="11"/>
      <c r="B340" s="116"/>
      <c r="C340" s="108"/>
      <c r="D340" s="108"/>
      <c r="E340" s="108"/>
      <c r="F340" s="108"/>
      <c r="G340" s="108"/>
      <c r="H340" s="108"/>
      <c r="I340" s="108"/>
      <c r="J340" s="108"/>
      <c r="K340" s="108"/>
    </row>
    <row r="341">
      <c r="A341" s="11"/>
      <c r="B341" s="116"/>
      <c r="C341" s="108"/>
      <c r="D341" s="108"/>
      <c r="E341" s="108"/>
      <c r="F341" s="108"/>
      <c r="G341" s="108"/>
      <c r="H341" s="108"/>
      <c r="I341" s="108"/>
      <c r="J341" s="108"/>
      <c r="K341" s="108"/>
    </row>
    <row r="342">
      <c r="A342" s="11"/>
      <c r="B342" s="116"/>
      <c r="C342" s="108"/>
      <c r="D342" s="108"/>
      <c r="E342" s="108"/>
      <c r="F342" s="108"/>
      <c r="G342" s="108"/>
      <c r="H342" s="108"/>
      <c r="I342" s="108"/>
      <c r="J342" s="108"/>
      <c r="K342" s="108"/>
    </row>
    <row r="343">
      <c r="A343" s="11"/>
      <c r="B343" s="116"/>
      <c r="C343" s="108"/>
      <c r="D343" s="108"/>
      <c r="E343" s="108"/>
      <c r="F343" s="108"/>
      <c r="G343" s="108"/>
      <c r="H343" s="108"/>
      <c r="I343" s="108"/>
      <c r="J343" s="108"/>
      <c r="K343" s="108"/>
    </row>
    <row r="344">
      <c r="A344" s="11"/>
      <c r="B344" s="116"/>
      <c r="C344" s="108"/>
      <c r="D344" s="108"/>
      <c r="E344" s="108"/>
      <c r="F344" s="108"/>
      <c r="G344" s="108"/>
      <c r="H344" s="108"/>
      <c r="I344" s="108"/>
      <c r="J344" s="108"/>
      <c r="K344" s="108"/>
    </row>
    <row r="345">
      <c r="A345" s="11"/>
      <c r="B345" s="116"/>
      <c r="C345" s="108"/>
      <c r="D345" s="108"/>
      <c r="E345" s="108"/>
      <c r="F345" s="108"/>
      <c r="G345" s="108"/>
      <c r="H345" s="108"/>
      <c r="I345" s="108"/>
      <c r="J345" s="108"/>
      <c r="K345" s="108"/>
    </row>
    <row r="346">
      <c r="A346" s="11"/>
      <c r="B346" s="116"/>
      <c r="C346" s="108"/>
      <c r="D346" s="108"/>
      <c r="E346" s="108"/>
      <c r="F346" s="108"/>
      <c r="G346" s="108"/>
      <c r="H346" s="108"/>
      <c r="I346" s="108"/>
      <c r="J346" s="108"/>
      <c r="K346" s="108"/>
    </row>
    <row r="347">
      <c r="A347" s="11"/>
      <c r="B347" s="116"/>
      <c r="C347" s="108"/>
      <c r="D347" s="108"/>
      <c r="E347" s="108"/>
      <c r="F347" s="108"/>
      <c r="G347" s="108"/>
      <c r="H347" s="108"/>
      <c r="I347" s="108"/>
      <c r="J347" s="108"/>
      <c r="K347" s="108"/>
    </row>
    <row r="348">
      <c r="A348" s="11"/>
      <c r="B348" s="116"/>
      <c r="C348" s="108"/>
      <c r="D348" s="108"/>
      <c r="E348" s="108"/>
      <c r="F348" s="108"/>
      <c r="G348" s="108"/>
      <c r="H348" s="108"/>
      <c r="I348" s="108"/>
      <c r="J348" s="108"/>
      <c r="K348" s="108"/>
    </row>
    <row r="349">
      <c r="A349" s="11"/>
      <c r="B349" s="116"/>
      <c r="C349" s="108"/>
      <c r="D349" s="108"/>
      <c r="E349" s="108"/>
      <c r="F349" s="108"/>
      <c r="G349" s="108"/>
      <c r="H349" s="108"/>
      <c r="I349" s="108"/>
      <c r="J349" s="108"/>
      <c r="K349" s="108"/>
    </row>
    <row r="350">
      <c r="A350" s="11"/>
      <c r="B350" s="116"/>
      <c r="C350" s="108"/>
      <c r="D350" s="108"/>
      <c r="E350" s="108"/>
      <c r="F350" s="108"/>
      <c r="G350" s="108"/>
      <c r="H350" s="108"/>
      <c r="I350" s="108"/>
      <c r="J350" s="108"/>
      <c r="K350" s="108"/>
    </row>
    <row r="351">
      <c r="A351" s="11"/>
      <c r="B351" s="116"/>
      <c r="C351" s="108"/>
      <c r="D351" s="108"/>
      <c r="E351" s="108"/>
      <c r="F351" s="108"/>
      <c r="G351" s="108"/>
      <c r="H351" s="108"/>
      <c r="I351" s="108"/>
      <c r="J351" s="108"/>
      <c r="K351" s="108"/>
    </row>
    <row r="352">
      <c r="A352" s="11"/>
      <c r="B352" s="116"/>
      <c r="C352" s="108"/>
      <c r="D352" s="108"/>
      <c r="E352" s="108"/>
      <c r="F352" s="108"/>
      <c r="G352" s="108"/>
      <c r="H352" s="108"/>
      <c r="I352" s="108"/>
      <c r="J352" s="108"/>
      <c r="K352" s="108"/>
    </row>
    <row r="353">
      <c r="A353" s="11"/>
      <c r="B353" s="116"/>
      <c r="C353" s="108"/>
      <c r="D353" s="108"/>
      <c r="E353" s="108"/>
      <c r="F353" s="108"/>
      <c r="G353" s="108"/>
      <c r="H353" s="108"/>
      <c r="I353" s="108"/>
      <c r="J353" s="108"/>
      <c r="K353" s="108"/>
    </row>
    <row r="354">
      <c r="A354" s="11"/>
      <c r="B354" s="116"/>
      <c r="C354" s="108"/>
      <c r="D354" s="108"/>
      <c r="E354" s="108"/>
      <c r="F354" s="108"/>
      <c r="G354" s="108"/>
      <c r="H354" s="108"/>
      <c r="I354" s="108"/>
      <c r="J354" s="108"/>
      <c r="K354" s="108"/>
    </row>
    <row r="355">
      <c r="A355" s="11"/>
      <c r="B355" s="116"/>
      <c r="C355" s="108"/>
      <c r="D355" s="108"/>
      <c r="E355" s="108"/>
      <c r="F355" s="108"/>
      <c r="G355" s="108"/>
      <c r="H355" s="108"/>
      <c r="I355" s="108"/>
      <c r="J355" s="108"/>
      <c r="K355" s="108"/>
    </row>
    <row r="356">
      <c r="A356" s="11"/>
      <c r="B356" s="116"/>
      <c r="C356" s="108"/>
      <c r="D356" s="108"/>
      <c r="E356" s="108"/>
      <c r="F356" s="108"/>
      <c r="G356" s="108"/>
      <c r="H356" s="108"/>
      <c r="I356" s="108"/>
      <c r="J356" s="108"/>
      <c r="K356" s="108"/>
    </row>
    <row r="357">
      <c r="A357" s="11"/>
      <c r="B357" s="116"/>
      <c r="C357" s="108"/>
      <c r="D357" s="108"/>
      <c r="E357" s="108"/>
      <c r="F357" s="108"/>
      <c r="G357" s="108"/>
      <c r="H357" s="108"/>
      <c r="I357" s="108"/>
      <c r="J357" s="108"/>
      <c r="K357" s="108"/>
    </row>
    <row r="358">
      <c r="A358" s="11"/>
      <c r="B358" s="116"/>
      <c r="C358" s="108"/>
      <c r="D358" s="108"/>
      <c r="E358" s="108"/>
      <c r="F358" s="108"/>
      <c r="G358" s="108"/>
      <c r="H358" s="108"/>
      <c r="I358" s="108"/>
      <c r="J358" s="108"/>
      <c r="K358" s="108"/>
    </row>
    <row r="359">
      <c r="A359" s="11"/>
      <c r="B359" s="116"/>
      <c r="C359" s="108"/>
      <c r="D359" s="108"/>
      <c r="E359" s="108"/>
      <c r="F359" s="108"/>
      <c r="G359" s="108"/>
      <c r="H359" s="108"/>
      <c r="I359" s="108"/>
      <c r="J359" s="108"/>
      <c r="K359" s="108"/>
    </row>
    <row r="360">
      <c r="A360" s="11"/>
      <c r="B360" s="116"/>
      <c r="C360" s="108"/>
      <c r="D360" s="108"/>
      <c r="E360" s="108"/>
      <c r="F360" s="108"/>
      <c r="G360" s="108"/>
      <c r="H360" s="108"/>
      <c r="I360" s="108"/>
      <c r="J360" s="108"/>
      <c r="K360" s="108"/>
    </row>
    <row r="361">
      <c r="A361" s="11"/>
      <c r="B361" s="116"/>
      <c r="C361" s="108"/>
      <c r="D361" s="108"/>
      <c r="E361" s="108"/>
      <c r="F361" s="108"/>
      <c r="G361" s="108"/>
      <c r="H361" s="108"/>
      <c r="I361" s="108"/>
      <c r="J361" s="108"/>
      <c r="K361" s="108"/>
    </row>
    <row r="362">
      <c r="A362" s="11"/>
      <c r="B362" s="116"/>
      <c r="C362" s="108"/>
      <c r="D362" s="108"/>
      <c r="E362" s="108"/>
      <c r="F362" s="108"/>
      <c r="G362" s="108"/>
      <c r="H362" s="108"/>
      <c r="I362" s="108"/>
      <c r="J362" s="108"/>
      <c r="K362" s="108"/>
    </row>
    <row r="363">
      <c r="A363" s="11"/>
      <c r="B363" s="116"/>
      <c r="C363" s="108"/>
      <c r="D363" s="108"/>
      <c r="E363" s="108"/>
      <c r="F363" s="108"/>
      <c r="G363" s="108"/>
      <c r="H363" s="108"/>
      <c r="I363" s="108"/>
      <c r="J363" s="108"/>
      <c r="K363" s="108"/>
    </row>
    <row r="364">
      <c r="A364" s="11"/>
      <c r="B364" s="116"/>
      <c r="C364" s="108"/>
      <c r="D364" s="108"/>
      <c r="E364" s="108"/>
      <c r="F364" s="108"/>
      <c r="G364" s="108"/>
      <c r="H364" s="108"/>
      <c r="I364" s="108"/>
      <c r="J364" s="108"/>
      <c r="K364" s="108"/>
    </row>
    <row r="365">
      <c r="A365" s="11"/>
      <c r="B365" s="116"/>
      <c r="C365" s="108"/>
      <c r="D365" s="108"/>
      <c r="E365" s="108"/>
      <c r="F365" s="108"/>
      <c r="G365" s="108"/>
      <c r="H365" s="108"/>
      <c r="I365" s="108"/>
      <c r="J365" s="108"/>
      <c r="K365" s="108"/>
    </row>
    <row r="366">
      <c r="A366" s="11"/>
      <c r="B366" s="116"/>
      <c r="C366" s="108"/>
      <c r="D366" s="108"/>
      <c r="E366" s="108"/>
      <c r="F366" s="108"/>
      <c r="G366" s="108"/>
      <c r="H366" s="108"/>
      <c r="I366" s="108"/>
      <c r="J366" s="108"/>
      <c r="K366" s="108"/>
    </row>
    <row r="367">
      <c r="A367" s="11"/>
      <c r="B367" s="116"/>
      <c r="C367" s="108"/>
      <c r="D367" s="108"/>
      <c r="E367" s="108"/>
      <c r="F367" s="108"/>
      <c r="G367" s="108"/>
      <c r="H367" s="108"/>
      <c r="I367" s="108"/>
      <c r="J367" s="108"/>
      <c r="K367" s="108"/>
    </row>
    <row r="368">
      <c r="A368" s="11"/>
      <c r="B368" s="116"/>
      <c r="C368" s="108"/>
      <c r="D368" s="108"/>
      <c r="E368" s="108"/>
      <c r="F368" s="108"/>
      <c r="G368" s="108"/>
      <c r="H368" s="108"/>
      <c r="I368" s="108"/>
      <c r="J368" s="108"/>
      <c r="K368" s="108"/>
    </row>
    <row r="369">
      <c r="A369" s="11"/>
      <c r="B369" s="116"/>
      <c r="C369" s="108"/>
      <c r="D369" s="108"/>
      <c r="E369" s="108"/>
      <c r="F369" s="108"/>
      <c r="G369" s="108"/>
      <c r="H369" s="108"/>
      <c r="I369" s="108"/>
      <c r="J369" s="108"/>
      <c r="K369" s="108"/>
    </row>
    <row r="370">
      <c r="A370" s="11"/>
      <c r="B370" s="116"/>
      <c r="C370" s="108"/>
      <c r="D370" s="108"/>
      <c r="E370" s="108"/>
      <c r="F370" s="108"/>
      <c r="G370" s="108"/>
      <c r="H370" s="108"/>
      <c r="I370" s="108"/>
      <c r="J370" s="108"/>
      <c r="K370" s="108"/>
    </row>
    <row r="371">
      <c r="A371" s="11"/>
      <c r="B371" s="116"/>
      <c r="C371" s="108"/>
      <c r="D371" s="108"/>
      <c r="E371" s="108"/>
      <c r="F371" s="108"/>
      <c r="G371" s="108"/>
      <c r="H371" s="108"/>
      <c r="I371" s="108"/>
      <c r="J371" s="108"/>
      <c r="K371" s="108"/>
    </row>
    <row r="372">
      <c r="A372" s="11"/>
      <c r="B372" s="116"/>
      <c r="C372" s="108"/>
      <c r="D372" s="108"/>
      <c r="E372" s="108"/>
      <c r="F372" s="108"/>
      <c r="G372" s="108"/>
      <c r="H372" s="108"/>
      <c r="I372" s="108"/>
      <c r="J372" s="108"/>
      <c r="K372" s="108"/>
    </row>
    <row r="373">
      <c r="A373" s="11"/>
      <c r="B373" s="116"/>
      <c r="C373" s="108"/>
      <c r="D373" s="108"/>
      <c r="E373" s="108"/>
      <c r="F373" s="108"/>
      <c r="G373" s="108"/>
      <c r="H373" s="108"/>
      <c r="I373" s="108"/>
      <c r="J373" s="108"/>
      <c r="K373" s="108"/>
    </row>
    <row r="374">
      <c r="A374" s="11"/>
      <c r="B374" s="116"/>
      <c r="C374" s="108"/>
      <c r="D374" s="108"/>
      <c r="E374" s="108"/>
      <c r="F374" s="108"/>
      <c r="G374" s="108"/>
      <c r="H374" s="108"/>
      <c r="I374" s="108"/>
      <c r="J374" s="108"/>
      <c r="K374" s="108"/>
    </row>
    <row r="375">
      <c r="A375" s="11"/>
      <c r="B375" s="116"/>
      <c r="C375" s="108"/>
      <c r="D375" s="108"/>
      <c r="E375" s="108"/>
      <c r="F375" s="108"/>
      <c r="G375" s="108"/>
      <c r="H375" s="108"/>
      <c r="I375" s="108"/>
      <c r="J375" s="108"/>
      <c r="K375" s="108"/>
    </row>
    <row r="376">
      <c r="A376" s="11"/>
      <c r="B376" s="116"/>
      <c r="C376" s="108"/>
      <c r="D376" s="108"/>
      <c r="E376" s="108"/>
      <c r="F376" s="108"/>
      <c r="G376" s="108"/>
      <c r="H376" s="108"/>
      <c r="I376" s="108"/>
      <c r="J376" s="108"/>
      <c r="K376" s="108"/>
    </row>
    <row r="377">
      <c r="A377" s="11"/>
      <c r="B377" s="116"/>
      <c r="C377" s="108"/>
      <c r="D377" s="108"/>
      <c r="E377" s="108"/>
      <c r="F377" s="108"/>
      <c r="G377" s="108"/>
      <c r="H377" s="108"/>
      <c r="I377" s="108"/>
      <c r="J377" s="108"/>
      <c r="K377" s="108"/>
    </row>
    <row r="378">
      <c r="A378" s="11"/>
      <c r="B378" s="116"/>
      <c r="C378" s="108"/>
      <c r="D378" s="108"/>
      <c r="E378" s="108"/>
      <c r="F378" s="108"/>
      <c r="G378" s="108"/>
      <c r="H378" s="108"/>
      <c r="I378" s="108"/>
      <c r="J378" s="108"/>
      <c r="K378" s="108"/>
    </row>
    <row r="379">
      <c r="A379" s="11"/>
      <c r="B379" s="116"/>
      <c r="C379" s="108"/>
      <c r="D379" s="108"/>
      <c r="E379" s="108"/>
      <c r="F379" s="108"/>
      <c r="G379" s="108"/>
      <c r="H379" s="108"/>
      <c r="I379" s="108"/>
      <c r="J379" s="108"/>
      <c r="K379" s="108"/>
    </row>
    <row r="380">
      <c r="A380" s="11"/>
      <c r="B380" s="116"/>
      <c r="C380" s="108"/>
      <c r="D380" s="108"/>
      <c r="E380" s="108"/>
      <c r="F380" s="108"/>
      <c r="G380" s="108"/>
      <c r="H380" s="108"/>
      <c r="I380" s="108"/>
      <c r="J380" s="108"/>
      <c r="K380" s="108"/>
    </row>
    <row r="381">
      <c r="A381" s="11"/>
      <c r="B381" s="116"/>
      <c r="C381" s="108"/>
      <c r="D381" s="108"/>
      <c r="E381" s="108"/>
      <c r="F381" s="108"/>
      <c r="G381" s="108"/>
      <c r="H381" s="108"/>
      <c r="I381" s="108"/>
      <c r="J381" s="108"/>
      <c r="K381" s="108"/>
    </row>
    <row r="382">
      <c r="A382" s="11"/>
      <c r="B382" s="116"/>
      <c r="C382" s="108"/>
      <c r="D382" s="108"/>
      <c r="E382" s="108"/>
      <c r="F382" s="108"/>
      <c r="G382" s="108"/>
      <c r="H382" s="108"/>
      <c r="I382" s="108"/>
      <c r="J382" s="108"/>
      <c r="K382" s="108"/>
    </row>
    <row r="383">
      <c r="A383" s="11"/>
      <c r="B383" s="116"/>
      <c r="C383" s="108"/>
      <c r="D383" s="108"/>
      <c r="E383" s="108"/>
      <c r="F383" s="108"/>
      <c r="G383" s="108"/>
      <c r="H383" s="108"/>
      <c r="I383" s="108"/>
      <c r="J383" s="108"/>
      <c r="K383" s="108"/>
    </row>
    <row r="384">
      <c r="A384" s="11"/>
      <c r="B384" s="116"/>
      <c r="C384" s="108"/>
      <c r="D384" s="108"/>
      <c r="E384" s="108"/>
      <c r="F384" s="108"/>
      <c r="G384" s="108"/>
      <c r="H384" s="108"/>
      <c r="I384" s="108"/>
      <c r="J384" s="108"/>
      <c r="K384" s="108"/>
    </row>
    <row r="385">
      <c r="A385" s="11"/>
      <c r="B385" s="116"/>
      <c r="C385" s="108"/>
      <c r="D385" s="108"/>
      <c r="E385" s="108"/>
      <c r="F385" s="108"/>
      <c r="G385" s="108"/>
      <c r="H385" s="108"/>
      <c r="I385" s="108"/>
      <c r="J385" s="108"/>
      <c r="K385" s="108"/>
    </row>
    <row r="386">
      <c r="A386" s="11"/>
      <c r="B386" s="116"/>
      <c r="C386" s="108"/>
      <c r="D386" s="108"/>
      <c r="E386" s="108"/>
      <c r="F386" s="108"/>
      <c r="G386" s="108"/>
      <c r="H386" s="108"/>
      <c r="I386" s="108"/>
      <c r="J386" s="108"/>
      <c r="K386" s="108"/>
    </row>
    <row r="387">
      <c r="A387" s="11"/>
      <c r="B387" s="116"/>
      <c r="C387" s="108"/>
      <c r="D387" s="108"/>
      <c r="E387" s="108"/>
      <c r="F387" s="108"/>
      <c r="G387" s="108"/>
      <c r="H387" s="108"/>
      <c r="I387" s="108"/>
      <c r="J387" s="108"/>
      <c r="K387" s="108"/>
    </row>
    <row r="388">
      <c r="A388" s="11"/>
      <c r="B388" s="116"/>
      <c r="C388" s="108"/>
      <c r="D388" s="108"/>
      <c r="E388" s="108"/>
      <c r="F388" s="108"/>
      <c r="G388" s="108"/>
      <c r="H388" s="108"/>
      <c r="I388" s="108"/>
      <c r="J388" s="108"/>
      <c r="K388" s="108"/>
    </row>
    <row r="389">
      <c r="A389" s="11"/>
      <c r="B389" s="116"/>
      <c r="C389" s="108"/>
      <c r="D389" s="108"/>
      <c r="E389" s="108"/>
      <c r="F389" s="108"/>
      <c r="G389" s="108"/>
      <c r="H389" s="108"/>
      <c r="I389" s="108"/>
      <c r="J389" s="108"/>
      <c r="K389" s="108"/>
    </row>
    <row r="390">
      <c r="A390" s="11"/>
      <c r="B390" s="116"/>
      <c r="C390" s="108"/>
      <c r="D390" s="108"/>
      <c r="E390" s="108"/>
      <c r="F390" s="108"/>
      <c r="G390" s="108"/>
      <c r="H390" s="108"/>
      <c r="I390" s="108"/>
      <c r="J390" s="108"/>
      <c r="K390" s="108"/>
    </row>
    <row r="391">
      <c r="A391" s="11"/>
      <c r="B391" s="116"/>
      <c r="C391" s="108"/>
      <c r="D391" s="108"/>
      <c r="E391" s="108"/>
      <c r="F391" s="108"/>
      <c r="G391" s="108"/>
      <c r="H391" s="108"/>
      <c r="I391" s="108"/>
      <c r="J391" s="108"/>
      <c r="K391" s="108"/>
    </row>
    <row r="392">
      <c r="A392" s="11"/>
      <c r="B392" s="116"/>
      <c r="C392" s="108"/>
      <c r="D392" s="108"/>
      <c r="E392" s="108"/>
      <c r="F392" s="108"/>
      <c r="G392" s="108"/>
      <c r="H392" s="108"/>
      <c r="I392" s="108"/>
      <c r="J392" s="108"/>
      <c r="K392" s="108"/>
    </row>
    <row r="393">
      <c r="A393" s="11"/>
      <c r="B393" s="116"/>
      <c r="C393" s="108"/>
      <c r="D393" s="108"/>
      <c r="E393" s="108"/>
      <c r="F393" s="108"/>
      <c r="G393" s="108"/>
      <c r="H393" s="108"/>
      <c r="I393" s="108"/>
      <c r="J393" s="108"/>
      <c r="K393" s="108"/>
    </row>
    <row r="394">
      <c r="A394" s="11"/>
      <c r="B394" s="116"/>
      <c r="C394" s="108"/>
      <c r="D394" s="108"/>
      <c r="E394" s="108"/>
      <c r="F394" s="108"/>
      <c r="G394" s="108"/>
      <c r="H394" s="108"/>
      <c r="I394" s="108"/>
      <c r="J394" s="108"/>
      <c r="K394" s="108"/>
    </row>
    <row r="395">
      <c r="A395" s="11"/>
      <c r="B395" s="116"/>
      <c r="C395" s="108"/>
      <c r="D395" s="108"/>
      <c r="E395" s="108"/>
      <c r="F395" s="108"/>
      <c r="G395" s="108"/>
      <c r="H395" s="108"/>
      <c r="I395" s="108"/>
      <c r="J395" s="108"/>
      <c r="K395" s="108"/>
    </row>
    <row r="396">
      <c r="A396" s="11"/>
      <c r="B396" s="116"/>
      <c r="C396" s="108"/>
      <c r="D396" s="108"/>
      <c r="E396" s="108"/>
      <c r="F396" s="108"/>
      <c r="G396" s="108"/>
      <c r="H396" s="108"/>
      <c r="I396" s="108"/>
      <c r="J396" s="108"/>
      <c r="K396" s="108"/>
    </row>
    <row r="397">
      <c r="A397" s="11"/>
      <c r="B397" s="116"/>
      <c r="C397" s="108"/>
      <c r="D397" s="108"/>
      <c r="E397" s="108"/>
      <c r="F397" s="108"/>
      <c r="G397" s="108"/>
      <c r="H397" s="108"/>
      <c r="I397" s="108"/>
      <c r="J397" s="108"/>
      <c r="K397" s="108"/>
    </row>
    <row r="398">
      <c r="A398" s="11"/>
      <c r="B398" s="116"/>
      <c r="C398" s="108"/>
      <c r="D398" s="108"/>
      <c r="E398" s="108"/>
      <c r="F398" s="108"/>
      <c r="G398" s="108"/>
      <c r="H398" s="108"/>
      <c r="I398" s="108"/>
      <c r="J398" s="108"/>
      <c r="K398" s="108"/>
    </row>
    <row r="399">
      <c r="A399" s="11"/>
      <c r="B399" s="116"/>
      <c r="C399" s="108"/>
      <c r="D399" s="108"/>
      <c r="E399" s="108"/>
      <c r="F399" s="108"/>
      <c r="G399" s="108"/>
      <c r="H399" s="108"/>
      <c r="I399" s="108"/>
      <c r="J399" s="108"/>
      <c r="K399" s="108"/>
    </row>
    <row r="400">
      <c r="A400" s="11"/>
      <c r="B400" s="116"/>
      <c r="C400" s="108"/>
      <c r="D400" s="108"/>
      <c r="E400" s="108"/>
      <c r="F400" s="108"/>
      <c r="G400" s="108"/>
      <c r="H400" s="108"/>
      <c r="I400" s="108"/>
      <c r="J400" s="108"/>
      <c r="K400" s="108"/>
    </row>
    <row r="401">
      <c r="A401" s="11"/>
      <c r="B401" s="116"/>
      <c r="C401" s="108"/>
      <c r="D401" s="108"/>
      <c r="E401" s="108"/>
      <c r="F401" s="108"/>
      <c r="G401" s="108"/>
      <c r="H401" s="108"/>
      <c r="I401" s="108"/>
      <c r="J401" s="108"/>
      <c r="K401" s="108"/>
    </row>
    <row r="402">
      <c r="A402" s="11"/>
      <c r="B402" s="116"/>
      <c r="C402" s="108"/>
      <c r="D402" s="108"/>
      <c r="E402" s="108"/>
      <c r="F402" s="108"/>
      <c r="G402" s="108"/>
      <c r="H402" s="108"/>
      <c r="I402" s="108"/>
      <c r="J402" s="108"/>
      <c r="K402" s="108"/>
    </row>
    <row r="403">
      <c r="A403" s="11"/>
      <c r="B403" s="116"/>
      <c r="C403" s="108"/>
      <c r="D403" s="108"/>
      <c r="E403" s="108"/>
      <c r="F403" s="108"/>
      <c r="G403" s="108"/>
      <c r="H403" s="108"/>
      <c r="I403" s="108"/>
      <c r="J403" s="108"/>
      <c r="K403" s="108"/>
    </row>
    <row r="404">
      <c r="A404" s="11"/>
      <c r="B404" s="116"/>
      <c r="C404" s="108"/>
      <c r="D404" s="108"/>
      <c r="E404" s="108"/>
      <c r="F404" s="108"/>
      <c r="G404" s="108"/>
      <c r="H404" s="108"/>
      <c r="I404" s="108"/>
      <c r="J404" s="108"/>
      <c r="K404" s="108"/>
    </row>
    <row r="405">
      <c r="A405" s="11"/>
      <c r="B405" s="116"/>
      <c r="C405" s="108"/>
      <c r="D405" s="108"/>
      <c r="E405" s="108"/>
      <c r="F405" s="108"/>
      <c r="G405" s="108"/>
      <c r="H405" s="108"/>
      <c r="I405" s="108"/>
      <c r="J405" s="108"/>
      <c r="K405" s="108"/>
    </row>
    <row r="406">
      <c r="A406" s="11"/>
      <c r="B406" s="116"/>
      <c r="C406" s="108"/>
      <c r="D406" s="108"/>
      <c r="E406" s="108"/>
      <c r="F406" s="108"/>
      <c r="G406" s="108"/>
      <c r="H406" s="108"/>
      <c r="I406" s="108"/>
      <c r="J406" s="108"/>
      <c r="K406" s="108"/>
    </row>
    <row r="407">
      <c r="A407" s="11"/>
      <c r="B407" s="116"/>
      <c r="C407" s="108"/>
      <c r="D407" s="108"/>
      <c r="E407" s="108"/>
      <c r="F407" s="108"/>
      <c r="G407" s="108"/>
      <c r="H407" s="108"/>
      <c r="I407" s="108"/>
      <c r="J407" s="108"/>
      <c r="K407" s="108"/>
    </row>
    <row r="408">
      <c r="A408" s="11"/>
      <c r="B408" s="116"/>
      <c r="C408" s="108"/>
      <c r="D408" s="108"/>
      <c r="E408" s="108"/>
      <c r="F408" s="108"/>
      <c r="G408" s="108"/>
      <c r="H408" s="108"/>
      <c r="I408" s="108"/>
      <c r="J408" s="108"/>
      <c r="K408" s="108"/>
    </row>
    <row r="409">
      <c r="A409" s="11"/>
      <c r="B409" s="116"/>
      <c r="C409" s="108"/>
      <c r="D409" s="108"/>
      <c r="E409" s="108"/>
      <c r="F409" s="108"/>
      <c r="G409" s="108"/>
      <c r="H409" s="108"/>
      <c r="I409" s="108"/>
      <c r="J409" s="108"/>
      <c r="K409" s="108"/>
    </row>
    <row r="410">
      <c r="A410" s="11"/>
      <c r="B410" s="116"/>
      <c r="C410" s="108"/>
      <c r="D410" s="108"/>
      <c r="E410" s="108"/>
      <c r="F410" s="108"/>
      <c r="G410" s="108"/>
      <c r="H410" s="108"/>
      <c r="I410" s="108"/>
      <c r="J410" s="108"/>
      <c r="K410" s="108"/>
    </row>
    <row r="411">
      <c r="A411" s="11"/>
      <c r="B411" s="116"/>
      <c r="C411" s="108"/>
      <c r="D411" s="108"/>
      <c r="E411" s="108"/>
      <c r="F411" s="108"/>
      <c r="G411" s="108"/>
      <c r="H411" s="108"/>
      <c r="I411" s="108"/>
      <c r="J411" s="108"/>
      <c r="K411" s="108"/>
    </row>
    <row r="412">
      <c r="A412" s="11"/>
      <c r="B412" s="116"/>
      <c r="C412" s="108"/>
      <c r="D412" s="108"/>
      <c r="E412" s="108"/>
      <c r="F412" s="108"/>
      <c r="G412" s="108"/>
      <c r="H412" s="108"/>
      <c r="I412" s="108"/>
      <c r="J412" s="108"/>
      <c r="K412" s="108"/>
    </row>
    <row r="413">
      <c r="A413" s="11"/>
      <c r="B413" s="116"/>
      <c r="C413" s="108"/>
      <c r="D413" s="108"/>
      <c r="E413" s="108"/>
      <c r="F413" s="108"/>
      <c r="G413" s="108"/>
      <c r="H413" s="108"/>
      <c r="I413" s="108"/>
      <c r="J413" s="108"/>
      <c r="K413" s="108"/>
    </row>
    <row r="414">
      <c r="A414" s="11"/>
      <c r="B414" s="116"/>
      <c r="C414" s="108"/>
      <c r="D414" s="108"/>
      <c r="E414" s="108"/>
      <c r="F414" s="108"/>
      <c r="G414" s="108"/>
      <c r="H414" s="108"/>
      <c r="I414" s="108"/>
      <c r="J414" s="108"/>
      <c r="K414" s="108"/>
    </row>
    <row r="415">
      <c r="A415" s="11"/>
      <c r="B415" s="116"/>
      <c r="C415" s="108"/>
      <c r="D415" s="108"/>
      <c r="E415" s="108"/>
      <c r="F415" s="108"/>
      <c r="G415" s="108"/>
      <c r="H415" s="108"/>
      <c r="I415" s="108"/>
      <c r="J415" s="108"/>
      <c r="K415" s="108"/>
    </row>
    <row r="416">
      <c r="A416" s="11"/>
      <c r="B416" s="116"/>
      <c r="C416" s="108"/>
      <c r="D416" s="108"/>
      <c r="E416" s="108"/>
      <c r="F416" s="108"/>
      <c r="G416" s="108"/>
      <c r="H416" s="108"/>
      <c r="I416" s="108"/>
      <c r="J416" s="108"/>
      <c r="K416" s="108"/>
    </row>
    <row r="417">
      <c r="A417" s="11"/>
      <c r="B417" s="116"/>
      <c r="C417" s="108"/>
      <c r="D417" s="108"/>
      <c r="E417" s="108"/>
      <c r="F417" s="108"/>
      <c r="G417" s="108"/>
      <c r="H417" s="108"/>
      <c r="I417" s="108"/>
      <c r="J417" s="108"/>
      <c r="K417" s="108"/>
    </row>
    <row r="418">
      <c r="A418" s="11"/>
      <c r="B418" s="116"/>
      <c r="C418" s="108"/>
      <c r="D418" s="108"/>
      <c r="E418" s="108"/>
      <c r="F418" s="108"/>
      <c r="G418" s="108"/>
      <c r="H418" s="108"/>
      <c r="I418" s="108"/>
      <c r="J418" s="108"/>
      <c r="K418" s="108"/>
    </row>
    <row r="419">
      <c r="A419" s="11"/>
      <c r="B419" s="116"/>
      <c r="C419" s="108"/>
      <c r="D419" s="108"/>
      <c r="E419" s="108"/>
      <c r="F419" s="108"/>
      <c r="G419" s="108"/>
      <c r="H419" s="108"/>
      <c r="I419" s="108"/>
      <c r="J419" s="108"/>
      <c r="K419" s="108"/>
    </row>
    <row r="420">
      <c r="A420" s="11"/>
      <c r="B420" s="116"/>
      <c r="C420" s="108"/>
      <c r="D420" s="108"/>
      <c r="E420" s="108"/>
      <c r="F420" s="108"/>
      <c r="G420" s="108"/>
      <c r="H420" s="108"/>
      <c r="I420" s="108"/>
      <c r="J420" s="108"/>
      <c r="K420" s="108"/>
    </row>
    <row r="421">
      <c r="A421" s="11"/>
      <c r="B421" s="116"/>
      <c r="C421" s="108"/>
      <c r="D421" s="108"/>
      <c r="E421" s="108"/>
      <c r="F421" s="108"/>
      <c r="G421" s="108"/>
      <c r="H421" s="108"/>
      <c r="I421" s="108"/>
      <c r="J421" s="108"/>
      <c r="K421" s="108"/>
    </row>
    <row r="422">
      <c r="A422" s="11"/>
      <c r="B422" s="116"/>
      <c r="C422" s="108"/>
      <c r="D422" s="108"/>
      <c r="E422" s="108"/>
      <c r="F422" s="108"/>
      <c r="G422" s="108"/>
      <c r="H422" s="108"/>
      <c r="I422" s="108"/>
      <c r="J422" s="108"/>
      <c r="K422" s="108"/>
    </row>
    <row r="423">
      <c r="A423" s="11"/>
      <c r="B423" s="116"/>
      <c r="C423" s="108"/>
      <c r="D423" s="108"/>
      <c r="E423" s="108"/>
      <c r="F423" s="108"/>
      <c r="G423" s="108"/>
      <c r="H423" s="108"/>
      <c r="I423" s="108"/>
      <c r="J423" s="108"/>
      <c r="K423" s="108"/>
    </row>
    <row r="424">
      <c r="A424" s="11"/>
      <c r="B424" s="116"/>
      <c r="C424" s="108"/>
      <c r="D424" s="108"/>
      <c r="E424" s="108"/>
      <c r="F424" s="108"/>
      <c r="G424" s="108"/>
      <c r="H424" s="108"/>
      <c r="I424" s="108"/>
      <c r="J424" s="108"/>
      <c r="K424" s="108"/>
    </row>
    <row r="425">
      <c r="A425" s="11"/>
      <c r="B425" s="116"/>
      <c r="C425" s="108"/>
      <c r="D425" s="108"/>
      <c r="E425" s="108"/>
      <c r="F425" s="108"/>
      <c r="G425" s="108"/>
      <c r="H425" s="108"/>
      <c r="I425" s="108"/>
      <c r="J425" s="108"/>
      <c r="K425" s="108"/>
    </row>
    <row r="426">
      <c r="A426" s="11"/>
      <c r="B426" s="116"/>
      <c r="C426" s="108"/>
      <c r="D426" s="108"/>
      <c r="E426" s="108"/>
      <c r="F426" s="108"/>
      <c r="G426" s="108"/>
      <c r="H426" s="108"/>
      <c r="I426" s="108"/>
      <c r="J426" s="108"/>
      <c r="K426" s="108"/>
    </row>
    <row r="427">
      <c r="A427" s="11"/>
      <c r="B427" s="116"/>
      <c r="C427" s="108"/>
      <c r="D427" s="108"/>
      <c r="E427" s="108"/>
      <c r="F427" s="108"/>
      <c r="G427" s="108"/>
      <c r="H427" s="108"/>
      <c r="I427" s="108"/>
      <c r="J427" s="108"/>
      <c r="K427" s="108"/>
    </row>
    <row r="428">
      <c r="A428" s="11"/>
      <c r="B428" s="116"/>
      <c r="C428" s="108"/>
      <c r="D428" s="108"/>
      <c r="E428" s="108"/>
      <c r="F428" s="108"/>
      <c r="G428" s="108"/>
      <c r="H428" s="108"/>
      <c r="I428" s="108"/>
      <c r="J428" s="108"/>
      <c r="K428" s="108"/>
    </row>
    <row r="429">
      <c r="A429" s="11"/>
      <c r="B429" s="116"/>
      <c r="C429" s="108"/>
      <c r="D429" s="108"/>
      <c r="E429" s="108"/>
      <c r="F429" s="108"/>
      <c r="G429" s="108"/>
      <c r="H429" s="108"/>
      <c r="I429" s="108"/>
      <c r="J429" s="108"/>
      <c r="K429" s="108"/>
    </row>
    <row r="430">
      <c r="A430" s="11"/>
      <c r="B430" s="116"/>
      <c r="C430" s="108"/>
      <c r="D430" s="108"/>
      <c r="E430" s="108"/>
      <c r="F430" s="108"/>
      <c r="G430" s="108"/>
      <c r="H430" s="108"/>
      <c r="I430" s="108"/>
      <c r="J430" s="108"/>
      <c r="K430" s="108"/>
    </row>
    <row r="431">
      <c r="A431" s="11"/>
      <c r="B431" s="116"/>
      <c r="C431" s="108"/>
      <c r="D431" s="108"/>
      <c r="E431" s="108"/>
      <c r="F431" s="108"/>
      <c r="G431" s="108"/>
      <c r="H431" s="108"/>
      <c r="I431" s="108"/>
      <c r="J431" s="108"/>
      <c r="K431" s="108"/>
    </row>
    <row r="432">
      <c r="A432" s="11"/>
      <c r="B432" s="116"/>
      <c r="C432" s="108"/>
      <c r="D432" s="108"/>
      <c r="E432" s="108"/>
      <c r="F432" s="108"/>
      <c r="G432" s="108"/>
      <c r="H432" s="108"/>
      <c r="I432" s="108"/>
      <c r="J432" s="108"/>
      <c r="K432" s="108"/>
    </row>
    <row r="433">
      <c r="A433" s="11"/>
      <c r="B433" s="116"/>
      <c r="C433" s="108"/>
      <c r="D433" s="108"/>
      <c r="E433" s="108"/>
      <c r="F433" s="108"/>
      <c r="G433" s="108"/>
      <c r="H433" s="108"/>
      <c r="I433" s="108"/>
      <c r="J433" s="108"/>
      <c r="K433" s="108"/>
    </row>
    <row r="434">
      <c r="A434" s="11"/>
      <c r="B434" s="116"/>
      <c r="C434" s="108"/>
      <c r="D434" s="108"/>
      <c r="E434" s="108"/>
      <c r="F434" s="108"/>
      <c r="G434" s="108"/>
      <c r="H434" s="108"/>
      <c r="I434" s="108"/>
      <c r="J434" s="108"/>
      <c r="K434" s="108"/>
    </row>
    <row r="435">
      <c r="A435" s="11"/>
      <c r="B435" s="116"/>
      <c r="C435" s="108"/>
      <c r="D435" s="108"/>
      <c r="E435" s="108"/>
      <c r="F435" s="108"/>
      <c r="G435" s="108"/>
      <c r="H435" s="108"/>
      <c r="I435" s="108"/>
      <c r="J435" s="108"/>
      <c r="K435" s="108"/>
    </row>
    <row r="436">
      <c r="A436" s="11"/>
      <c r="B436" s="116"/>
      <c r="C436" s="108"/>
      <c r="D436" s="108"/>
      <c r="E436" s="108"/>
      <c r="F436" s="108"/>
      <c r="G436" s="108"/>
      <c r="H436" s="108"/>
      <c r="I436" s="108"/>
      <c r="J436" s="108"/>
      <c r="K436" s="108"/>
    </row>
    <row r="437">
      <c r="A437" s="11"/>
      <c r="B437" s="116"/>
      <c r="C437" s="108"/>
      <c r="D437" s="108"/>
      <c r="E437" s="108"/>
      <c r="F437" s="108"/>
      <c r="G437" s="108"/>
      <c r="H437" s="108"/>
      <c r="I437" s="108"/>
      <c r="J437" s="108"/>
      <c r="K437" s="108"/>
    </row>
    <row r="438">
      <c r="A438" s="11"/>
      <c r="B438" s="116"/>
      <c r="C438" s="108"/>
      <c r="D438" s="108"/>
      <c r="E438" s="108"/>
      <c r="F438" s="108"/>
      <c r="G438" s="108"/>
      <c r="H438" s="108"/>
      <c r="I438" s="108"/>
      <c r="J438" s="108"/>
      <c r="K438" s="108"/>
    </row>
    <row r="439">
      <c r="A439" s="11"/>
      <c r="B439" s="116"/>
      <c r="C439" s="108"/>
      <c r="D439" s="108"/>
      <c r="E439" s="108"/>
      <c r="F439" s="108"/>
      <c r="G439" s="108"/>
      <c r="H439" s="108"/>
      <c r="I439" s="108"/>
      <c r="J439" s="108"/>
      <c r="K439" s="108"/>
    </row>
    <row r="440">
      <c r="A440" s="11"/>
      <c r="B440" s="116"/>
      <c r="C440" s="108"/>
      <c r="D440" s="108"/>
      <c r="E440" s="108"/>
      <c r="F440" s="108"/>
      <c r="G440" s="108"/>
      <c r="H440" s="108"/>
      <c r="I440" s="108"/>
      <c r="J440" s="108"/>
      <c r="K440" s="108"/>
    </row>
    <row r="441">
      <c r="A441" s="11"/>
      <c r="B441" s="116"/>
      <c r="C441" s="108"/>
      <c r="D441" s="108"/>
      <c r="E441" s="108"/>
      <c r="F441" s="108"/>
      <c r="G441" s="108"/>
      <c r="H441" s="108"/>
      <c r="I441" s="108"/>
      <c r="J441" s="108"/>
      <c r="K441" s="108"/>
    </row>
    <row r="442">
      <c r="A442" s="11"/>
      <c r="B442" s="116"/>
      <c r="C442" s="108"/>
      <c r="D442" s="108"/>
      <c r="E442" s="108"/>
      <c r="F442" s="108"/>
      <c r="G442" s="108"/>
      <c r="H442" s="108"/>
      <c r="I442" s="108"/>
      <c r="J442" s="108"/>
      <c r="K442" s="108"/>
    </row>
    <row r="443">
      <c r="A443" s="11"/>
      <c r="B443" s="116"/>
      <c r="C443" s="108"/>
      <c r="D443" s="108"/>
      <c r="E443" s="108"/>
      <c r="F443" s="108"/>
      <c r="G443" s="108"/>
      <c r="H443" s="108"/>
      <c r="I443" s="108"/>
      <c r="J443" s="108"/>
      <c r="K443" s="108"/>
    </row>
    <row r="444">
      <c r="A444" s="11"/>
      <c r="B444" s="116"/>
      <c r="C444" s="108"/>
      <c r="D444" s="108"/>
      <c r="E444" s="108"/>
      <c r="F444" s="108"/>
      <c r="G444" s="108"/>
      <c r="H444" s="108"/>
      <c r="I444" s="108"/>
      <c r="J444" s="108"/>
      <c r="K444" s="108"/>
    </row>
    <row r="445">
      <c r="A445" s="11"/>
      <c r="B445" s="116"/>
      <c r="C445" s="108"/>
      <c r="D445" s="108"/>
      <c r="E445" s="108"/>
      <c r="F445" s="108"/>
      <c r="G445" s="108"/>
      <c r="H445" s="108"/>
      <c r="I445" s="108"/>
      <c r="J445" s="108"/>
      <c r="K445" s="108"/>
    </row>
    <row r="446">
      <c r="A446" s="11"/>
      <c r="B446" s="116"/>
      <c r="C446" s="108"/>
      <c r="D446" s="108"/>
      <c r="E446" s="108"/>
      <c r="F446" s="108"/>
      <c r="G446" s="108"/>
      <c r="H446" s="108"/>
      <c r="I446" s="108"/>
      <c r="J446" s="108"/>
      <c r="K446" s="108"/>
    </row>
    <row r="447">
      <c r="A447" s="11"/>
      <c r="B447" s="116"/>
      <c r="C447" s="108"/>
      <c r="D447" s="108"/>
      <c r="E447" s="108"/>
      <c r="F447" s="108"/>
      <c r="G447" s="108"/>
      <c r="H447" s="108"/>
      <c r="I447" s="108"/>
      <c r="J447" s="108"/>
      <c r="K447" s="108"/>
    </row>
    <row r="448">
      <c r="A448" s="11"/>
      <c r="B448" s="116"/>
      <c r="C448" s="108"/>
      <c r="D448" s="108"/>
      <c r="E448" s="108"/>
      <c r="F448" s="108"/>
      <c r="G448" s="108"/>
      <c r="H448" s="108"/>
      <c r="I448" s="108"/>
      <c r="J448" s="108"/>
      <c r="K448" s="108"/>
    </row>
    <row r="449">
      <c r="A449" s="11"/>
      <c r="B449" s="116"/>
      <c r="C449" s="108"/>
      <c r="D449" s="108"/>
      <c r="E449" s="108"/>
      <c r="F449" s="108"/>
      <c r="G449" s="108"/>
      <c r="H449" s="108"/>
      <c r="I449" s="108"/>
      <c r="J449" s="108"/>
      <c r="K449" s="108"/>
    </row>
    <row r="450">
      <c r="A450" s="11"/>
      <c r="B450" s="116"/>
      <c r="C450" s="108"/>
      <c r="D450" s="108"/>
      <c r="E450" s="108"/>
      <c r="F450" s="108"/>
      <c r="G450" s="108"/>
      <c r="H450" s="108"/>
      <c r="I450" s="108"/>
      <c r="J450" s="108"/>
      <c r="K450" s="108"/>
    </row>
    <row r="451">
      <c r="A451" s="11"/>
      <c r="B451" s="116"/>
      <c r="C451" s="108"/>
      <c r="D451" s="108"/>
      <c r="E451" s="108"/>
      <c r="F451" s="108"/>
      <c r="G451" s="108"/>
      <c r="H451" s="108"/>
      <c r="I451" s="108"/>
      <c r="J451" s="108"/>
      <c r="K451" s="108"/>
    </row>
    <row r="452">
      <c r="A452" s="11"/>
      <c r="B452" s="116"/>
      <c r="C452" s="108"/>
      <c r="D452" s="108"/>
      <c r="E452" s="108"/>
      <c r="F452" s="108"/>
      <c r="G452" s="108"/>
      <c r="H452" s="108"/>
      <c r="I452" s="108"/>
      <c r="J452" s="108"/>
      <c r="K452" s="108"/>
    </row>
    <row r="453">
      <c r="A453" s="11"/>
      <c r="B453" s="116"/>
      <c r="C453" s="108"/>
      <c r="D453" s="108"/>
      <c r="E453" s="108"/>
      <c r="F453" s="108"/>
      <c r="G453" s="108"/>
      <c r="H453" s="108"/>
      <c r="I453" s="108"/>
      <c r="J453" s="108"/>
      <c r="K453" s="108"/>
    </row>
    <row r="454">
      <c r="A454" s="11"/>
      <c r="B454" s="116"/>
      <c r="C454" s="108"/>
      <c r="D454" s="108"/>
      <c r="E454" s="108"/>
      <c r="F454" s="108"/>
      <c r="G454" s="108"/>
      <c r="H454" s="108"/>
      <c r="I454" s="108"/>
      <c r="J454" s="108"/>
      <c r="K454" s="108"/>
    </row>
    <row r="455">
      <c r="A455" s="11"/>
      <c r="B455" s="116"/>
      <c r="C455" s="108"/>
      <c r="D455" s="108"/>
      <c r="E455" s="108"/>
      <c r="F455" s="108"/>
      <c r="G455" s="108"/>
      <c r="H455" s="108"/>
      <c r="I455" s="108"/>
      <c r="J455" s="108"/>
      <c r="K455" s="108"/>
    </row>
    <row r="456">
      <c r="A456" s="11"/>
      <c r="B456" s="116"/>
      <c r="C456" s="108"/>
      <c r="D456" s="108"/>
      <c r="E456" s="108"/>
      <c r="F456" s="108"/>
      <c r="G456" s="108"/>
      <c r="H456" s="108"/>
      <c r="I456" s="108"/>
      <c r="J456" s="108"/>
      <c r="K456" s="108"/>
    </row>
    <row r="457">
      <c r="A457" s="11"/>
      <c r="B457" s="116"/>
      <c r="C457" s="108"/>
      <c r="D457" s="108"/>
      <c r="E457" s="108"/>
      <c r="F457" s="108"/>
      <c r="G457" s="108"/>
      <c r="H457" s="108"/>
      <c r="I457" s="108"/>
      <c r="J457" s="108"/>
      <c r="K457" s="108"/>
    </row>
    <row r="458">
      <c r="A458" s="11"/>
      <c r="B458" s="116"/>
      <c r="C458" s="108"/>
      <c r="D458" s="108"/>
      <c r="E458" s="108"/>
      <c r="F458" s="108"/>
      <c r="G458" s="108"/>
      <c r="H458" s="108"/>
      <c r="I458" s="108"/>
      <c r="J458" s="108"/>
      <c r="K458" s="108"/>
    </row>
    <row r="459">
      <c r="A459" s="11"/>
      <c r="B459" s="116"/>
      <c r="C459" s="108"/>
      <c r="D459" s="108"/>
      <c r="E459" s="108"/>
      <c r="F459" s="108"/>
      <c r="G459" s="108"/>
      <c r="H459" s="108"/>
      <c r="I459" s="108"/>
      <c r="J459" s="108"/>
      <c r="K459" s="108"/>
    </row>
    <row r="460">
      <c r="A460" s="11"/>
      <c r="B460" s="116"/>
      <c r="C460" s="108"/>
      <c r="D460" s="108"/>
      <c r="E460" s="108"/>
      <c r="F460" s="108"/>
      <c r="G460" s="108"/>
      <c r="H460" s="108"/>
      <c r="I460" s="108"/>
      <c r="J460" s="108"/>
      <c r="K460" s="108"/>
    </row>
    <row r="461">
      <c r="A461" s="11"/>
      <c r="B461" s="116"/>
      <c r="C461" s="108"/>
      <c r="D461" s="108"/>
      <c r="E461" s="108"/>
      <c r="F461" s="108"/>
      <c r="G461" s="108"/>
      <c r="H461" s="108"/>
      <c r="I461" s="108"/>
      <c r="J461" s="108"/>
      <c r="K461" s="108"/>
    </row>
    <row r="462">
      <c r="A462" s="11"/>
      <c r="B462" s="116"/>
      <c r="C462" s="108"/>
      <c r="D462" s="108"/>
      <c r="E462" s="108"/>
      <c r="F462" s="108"/>
      <c r="G462" s="108"/>
      <c r="H462" s="108"/>
      <c r="I462" s="108"/>
      <c r="J462" s="108"/>
      <c r="K462" s="108"/>
    </row>
    <row r="463">
      <c r="A463" s="11"/>
      <c r="B463" s="116"/>
      <c r="C463" s="108"/>
      <c r="D463" s="108"/>
      <c r="E463" s="108"/>
      <c r="F463" s="108"/>
      <c r="G463" s="108"/>
      <c r="H463" s="108"/>
      <c r="I463" s="108"/>
      <c r="J463" s="108"/>
      <c r="K463" s="108"/>
    </row>
    <row r="464">
      <c r="A464" s="11"/>
      <c r="B464" s="116"/>
      <c r="C464" s="108"/>
      <c r="D464" s="108"/>
      <c r="E464" s="108"/>
      <c r="F464" s="108"/>
      <c r="G464" s="108"/>
      <c r="H464" s="108"/>
      <c r="I464" s="108"/>
      <c r="J464" s="108"/>
      <c r="K464" s="108"/>
    </row>
    <row r="465">
      <c r="A465" s="11"/>
      <c r="B465" s="116"/>
      <c r="C465" s="108"/>
      <c r="D465" s="108"/>
      <c r="E465" s="108"/>
      <c r="F465" s="108"/>
      <c r="G465" s="108"/>
      <c r="H465" s="108"/>
      <c r="I465" s="108"/>
      <c r="J465" s="108"/>
      <c r="K465" s="108"/>
    </row>
    <row r="466">
      <c r="A466" s="11"/>
      <c r="B466" s="116"/>
      <c r="C466" s="108"/>
      <c r="D466" s="108"/>
      <c r="E466" s="108"/>
      <c r="F466" s="108"/>
      <c r="G466" s="108"/>
      <c r="H466" s="108"/>
      <c r="I466" s="108"/>
      <c r="J466" s="108"/>
      <c r="K466" s="108"/>
    </row>
    <row r="467">
      <c r="A467" s="11"/>
      <c r="B467" s="116"/>
      <c r="C467" s="108"/>
      <c r="D467" s="108"/>
      <c r="E467" s="108"/>
      <c r="F467" s="108"/>
      <c r="G467" s="108"/>
      <c r="H467" s="108"/>
      <c r="I467" s="108"/>
      <c r="J467" s="108"/>
      <c r="K467" s="108"/>
    </row>
    <row r="468">
      <c r="A468" s="11"/>
      <c r="B468" s="116"/>
      <c r="C468" s="108"/>
      <c r="D468" s="108"/>
      <c r="E468" s="108"/>
      <c r="F468" s="108"/>
      <c r="G468" s="108"/>
      <c r="H468" s="108"/>
      <c r="I468" s="108"/>
      <c r="J468" s="108"/>
      <c r="K468" s="108"/>
    </row>
    <row r="469">
      <c r="A469" s="11"/>
      <c r="B469" s="116"/>
      <c r="C469" s="108"/>
      <c r="D469" s="108"/>
      <c r="E469" s="108"/>
      <c r="F469" s="108"/>
      <c r="G469" s="108"/>
      <c r="H469" s="108"/>
      <c r="I469" s="108"/>
      <c r="J469" s="108"/>
      <c r="K469" s="108"/>
    </row>
    <row r="470">
      <c r="A470" s="11"/>
      <c r="B470" s="116"/>
      <c r="C470" s="108"/>
      <c r="D470" s="108"/>
      <c r="E470" s="108"/>
      <c r="F470" s="108"/>
      <c r="G470" s="108"/>
      <c r="H470" s="108"/>
      <c r="I470" s="108"/>
      <c r="J470" s="108"/>
      <c r="K470" s="108"/>
    </row>
    <row r="471">
      <c r="A471" s="11"/>
      <c r="B471" s="116"/>
      <c r="C471" s="108"/>
      <c r="D471" s="108"/>
      <c r="E471" s="108"/>
      <c r="F471" s="108"/>
      <c r="G471" s="108"/>
      <c r="H471" s="108"/>
      <c r="I471" s="108"/>
      <c r="J471" s="108"/>
      <c r="K471" s="108"/>
    </row>
    <row r="472">
      <c r="A472" s="11"/>
      <c r="B472" s="116"/>
      <c r="C472" s="108"/>
      <c r="D472" s="108"/>
      <c r="E472" s="108"/>
      <c r="F472" s="108"/>
      <c r="G472" s="108"/>
      <c r="H472" s="108"/>
      <c r="I472" s="108"/>
      <c r="J472" s="108"/>
      <c r="K472" s="108"/>
    </row>
    <row r="473">
      <c r="A473" s="11"/>
      <c r="B473" s="116"/>
      <c r="C473" s="108"/>
      <c r="D473" s="108"/>
      <c r="E473" s="108"/>
      <c r="F473" s="108"/>
      <c r="G473" s="108"/>
      <c r="H473" s="108"/>
      <c r="I473" s="108"/>
      <c r="J473" s="108"/>
      <c r="K473" s="108"/>
    </row>
    <row r="474">
      <c r="A474" s="11"/>
      <c r="B474" s="116"/>
      <c r="C474" s="108"/>
      <c r="D474" s="108"/>
      <c r="E474" s="108"/>
      <c r="F474" s="108"/>
      <c r="G474" s="108"/>
      <c r="H474" s="108"/>
      <c r="I474" s="108"/>
      <c r="J474" s="108"/>
      <c r="K474" s="108"/>
    </row>
    <row r="475">
      <c r="A475" s="11"/>
      <c r="B475" s="116"/>
      <c r="C475" s="108"/>
      <c r="D475" s="108"/>
      <c r="E475" s="108"/>
      <c r="F475" s="108"/>
      <c r="G475" s="108"/>
      <c r="H475" s="108"/>
      <c r="I475" s="108"/>
      <c r="J475" s="108"/>
      <c r="K475" s="108"/>
    </row>
    <row r="476">
      <c r="A476" s="11"/>
      <c r="B476" s="116"/>
      <c r="C476" s="108"/>
      <c r="D476" s="108"/>
      <c r="E476" s="108"/>
      <c r="F476" s="108"/>
      <c r="G476" s="108"/>
      <c r="H476" s="108"/>
      <c r="I476" s="108"/>
      <c r="J476" s="108"/>
      <c r="K476" s="108"/>
    </row>
    <row r="477">
      <c r="A477" s="11"/>
      <c r="B477" s="116"/>
      <c r="C477" s="108"/>
      <c r="D477" s="108"/>
      <c r="E477" s="108"/>
      <c r="F477" s="108"/>
      <c r="G477" s="108"/>
      <c r="H477" s="108"/>
      <c r="I477" s="108"/>
      <c r="J477" s="108"/>
      <c r="K477" s="108"/>
    </row>
    <row r="478">
      <c r="A478" s="11"/>
      <c r="B478" s="116"/>
      <c r="C478" s="108"/>
      <c r="D478" s="108"/>
      <c r="E478" s="108"/>
      <c r="F478" s="108"/>
      <c r="G478" s="108"/>
      <c r="H478" s="108"/>
      <c r="I478" s="108"/>
      <c r="J478" s="108"/>
      <c r="K478" s="108"/>
    </row>
    <row r="479">
      <c r="A479" s="11"/>
      <c r="B479" s="116"/>
      <c r="C479" s="108"/>
      <c r="D479" s="108"/>
      <c r="E479" s="108"/>
      <c r="F479" s="108"/>
      <c r="G479" s="108"/>
      <c r="H479" s="108"/>
      <c r="I479" s="108"/>
      <c r="J479" s="108"/>
      <c r="K479" s="108"/>
    </row>
    <row r="480">
      <c r="A480" s="11"/>
      <c r="B480" s="116"/>
      <c r="C480" s="108"/>
      <c r="D480" s="108"/>
      <c r="E480" s="108"/>
      <c r="F480" s="108"/>
      <c r="G480" s="108"/>
      <c r="H480" s="108"/>
      <c r="I480" s="108"/>
      <c r="J480" s="108"/>
      <c r="K480" s="108"/>
    </row>
    <row r="481">
      <c r="A481" s="11"/>
      <c r="B481" s="116"/>
      <c r="C481" s="108"/>
      <c r="D481" s="108"/>
      <c r="E481" s="108"/>
      <c r="F481" s="108"/>
      <c r="G481" s="108"/>
      <c r="H481" s="108"/>
      <c r="I481" s="108"/>
      <c r="J481" s="108"/>
      <c r="K481" s="108"/>
    </row>
    <row r="482">
      <c r="A482" s="11"/>
      <c r="B482" s="116"/>
      <c r="C482" s="108"/>
      <c r="D482" s="108"/>
      <c r="E482" s="108"/>
      <c r="F482" s="108"/>
      <c r="G482" s="108"/>
      <c r="H482" s="108"/>
      <c r="I482" s="108"/>
      <c r="J482" s="108"/>
      <c r="K482" s="108"/>
    </row>
    <row r="483">
      <c r="A483" s="11"/>
      <c r="B483" s="116"/>
      <c r="C483" s="108"/>
      <c r="D483" s="108"/>
      <c r="E483" s="108"/>
      <c r="F483" s="108"/>
      <c r="G483" s="108"/>
      <c r="H483" s="108"/>
      <c r="I483" s="108"/>
      <c r="J483" s="108"/>
      <c r="K483" s="108"/>
    </row>
    <row r="484">
      <c r="A484" s="11"/>
      <c r="B484" s="116"/>
      <c r="C484" s="108"/>
      <c r="D484" s="108"/>
      <c r="E484" s="108"/>
      <c r="F484" s="108"/>
      <c r="G484" s="108"/>
      <c r="H484" s="108"/>
      <c r="I484" s="108"/>
      <c r="J484" s="108"/>
      <c r="K484" s="108"/>
    </row>
    <row r="485">
      <c r="A485" s="11"/>
      <c r="B485" s="116"/>
      <c r="C485" s="108"/>
      <c r="D485" s="108"/>
      <c r="E485" s="108"/>
      <c r="F485" s="108"/>
      <c r="G485" s="108"/>
      <c r="H485" s="108"/>
      <c r="I485" s="108"/>
      <c r="J485" s="108"/>
      <c r="K485" s="108"/>
    </row>
    <row r="486">
      <c r="A486" s="11"/>
      <c r="B486" s="116"/>
      <c r="C486" s="108"/>
      <c r="D486" s="108"/>
      <c r="E486" s="108"/>
      <c r="F486" s="108"/>
      <c r="G486" s="108"/>
      <c r="H486" s="108"/>
      <c r="I486" s="108"/>
      <c r="J486" s="108"/>
      <c r="K486" s="108"/>
    </row>
    <row r="487">
      <c r="A487" s="11"/>
      <c r="B487" s="116"/>
      <c r="C487" s="108"/>
      <c r="D487" s="108"/>
      <c r="E487" s="108"/>
      <c r="F487" s="108"/>
      <c r="G487" s="108"/>
      <c r="H487" s="108"/>
      <c r="I487" s="108"/>
      <c r="J487" s="108"/>
      <c r="K487" s="108"/>
    </row>
    <row r="488">
      <c r="A488" s="11"/>
      <c r="B488" s="116"/>
      <c r="C488" s="108"/>
      <c r="D488" s="108"/>
      <c r="E488" s="108"/>
      <c r="F488" s="108"/>
      <c r="G488" s="108"/>
      <c r="H488" s="108"/>
      <c r="I488" s="108"/>
      <c r="J488" s="108"/>
      <c r="K488" s="108"/>
    </row>
    <row r="489">
      <c r="A489" s="11"/>
      <c r="B489" s="116"/>
      <c r="C489" s="108"/>
      <c r="D489" s="108"/>
      <c r="E489" s="108"/>
      <c r="F489" s="108"/>
      <c r="G489" s="108"/>
      <c r="H489" s="108"/>
      <c r="I489" s="108"/>
      <c r="J489" s="108"/>
      <c r="K489" s="108"/>
    </row>
    <row r="490">
      <c r="A490" s="11"/>
      <c r="B490" s="116"/>
      <c r="C490" s="108"/>
      <c r="D490" s="108"/>
      <c r="E490" s="108"/>
      <c r="F490" s="108"/>
      <c r="G490" s="108"/>
      <c r="H490" s="108"/>
      <c r="I490" s="108"/>
      <c r="J490" s="108"/>
      <c r="K490" s="108"/>
    </row>
    <row r="491">
      <c r="A491" s="11"/>
      <c r="B491" s="116"/>
      <c r="C491" s="108"/>
      <c r="D491" s="108"/>
      <c r="E491" s="108"/>
      <c r="F491" s="108"/>
      <c r="G491" s="108"/>
      <c r="H491" s="108"/>
      <c r="I491" s="108"/>
      <c r="J491" s="108"/>
      <c r="K491" s="108"/>
    </row>
    <row r="492">
      <c r="A492" s="11"/>
      <c r="B492" s="116"/>
      <c r="C492" s="108"/>
      <c r="D492" s="108"/>
      <c r="E492" s="108"/>
      <c r="F492" s="108"/>
      <c r="G492" s="108"/>
      <c r="H492" s="108"/>
      <c r="I492" s="108"/>
      <c r="J492" s="108"/>
      <c r="K492" s="108"/>
    </row>
    <row r="493">
      <c r="A493" s="11"/>
      <c r="B493" s="116"/>
      <c r="C493" s="108"/>
      <c r="D493" s="108"/>
      <c r="E493" s="108"/>
      <c r="F493" s="108"/>
      <c r="G493" s="108"/>
      <c r="H493" s="108"/>
      <c r="I493" s="108"/>
      <c r="J493" s="108"/>
      <c r="K493" s="108"/>
    </row>
    <row r="494">
      <c r="A494" s="11"/>
      <c r="B494" s="116"/>
      <c r="C494" s="108"/>
      <c r="D494" s="108"/>
      <c r="E494" s="108"/>
      <c r="F494" s="108"/>
      <c r="G494" s="108"/>
      <c r="H494" s="108"/>
      <c r="I494" s="108"/>
      <c r="J494" s="108"/>
      <c r="K494" s="108"/>
    </row>
    <row r="495">
      <c r="A495" s="11"/>
      <c r="B495" s="116"/>
      <c r="C495" s="108"/>
      <c r="D495" s="108"/>
      <c r="E495" s="108"/>
      <c r="F495" s="108"/>
      <c r="G495" s="108"/>
      <c r="H495" s="108"/>
      <c r="I495" s="108"/>
      <c r="J495" s="108"/>
      <c r="K495" s="108"/>
    </row>
    <row r="496">
      <c r="A496" s="11"/>
      <c r="B496" s="116"/>
      <c r="C496" s="108"/>
      <c r="D496" s="108"/>
      <c r="E496" s="108"/>
      <c r="F496" s="108"/>
      <c r="G496" s="108"/>
      <c r="H496" s="108"/>
      <c r="I496" s="108"/>
      <c r="J496" s="108"/>
      <c r="K496" s="108"/>
    </row>
    <row r="497">
      <c r="A497" s="11"/>
      <c r="B497" s="116"/>
      <c r="C497" s="108"/>
      <c r="D497" s="108"/>
      <c r="E497" s="108"/>
      <c r="F497" s="108"/>
      <c r="G497" s="108"/>
      <c r="H497" s="108"/>
      <c r="I497" s="108"/>
      <c r="J497" s="108"/>
      <c r="K497" s="108"/>
    </row>
    <row r="498">
      <c r="A498" s="11"/>
      <c r="B498" s="116"/>
      <c r="C498" s="108"/>
      <c r="D498" s="108"/>
      <c r="E498" s="108"/>
      <c r="F498" s="108"/>
      <c r="G498" s="108"/>
      <c r="H498" s="108"/>
      <c r="I498" s="108"/>
      <c r="J498" s="108"/>
      <c r="K498" s="108"/>
    </row>
    <row r="499">
      <c r="A499" s="11"/>
      <c r="B499" s="116"/>
      <c r="C499" s="108"/>
      <c r="D499" s="108"/>
      <c r="E499" s="108"/>
      <c r="F499" s="108"/>
      <c r="G499" s="108"/>
      <c r="H499" s="108"/>
      <c r="I499" s="108"/>
      <c r="J499" s="108"/>
      <c r="K499" s="108"/>
    </row>
    <row r="500">
      <c r="A500" s="11"/>
      <c r="B500" s="116"/>
      <c r="C500" s="108"/>
      <c r="D500" s="108"/>
      <c r="E500" s="108"/>
      <c r="F500" s="108"/>
      <c r="G500" s="108"/>
      <c r="H500" s="108"/>
      <c r="I500" s="108"/>
      <c r="J500" s="108"/>
      <c r="K500" s="108"/>
    </row>
    <row r="501">
      <c r="A501" s="11"/>
      <c r="B501" s="116"/>
      <c r="C501" s="108"/>
      <c r="D501" s="108"/>
      <c r="E501" s="108"/>
      <c r="F501" s="108"/>
      <c r="G501" s="108"/>
      <c r="H501" s="108"/>
      <c r="I501" s="108"/>
      <c r="J501" s="108"/>
      <c r="K501" s="108"/>
    </row>
    <row r="502">
      <c r="A502" s="11"/>
      <c r="B502" s="116"/>
      <c r="C502" s="108"/>
      <c r="D502" s="108"/>
      <c r="E502" s="108"/>
      <c r="F502" s="108"/>
      <c r="G502" s="108"/>
      <c r="H502" s="108"/>
      <c r="I502" s="108"/>
      <c r="J502" s="108"/>
      <c r="K502" s="108"/>
    </row>
    <row r="503">
      <c r="A503" s="11"/>
      <c r="B503" s="116"/>
      <c r="C503" s="108"/>
      <c r="D503" s="108"/>
      <c r="E503" s="108"/>
      <c r="F503" s="108"/>
      <c r="G503" s="108"/>
      <c r="H503" s="108"/>
      <c r="I503" s="108"/>
      <c r="J503" s="108"/>
      <c r="K503" s="108"/>
    </row>
    <row r="504">
      <c r="A504" s="11"/>
      <c r="B504" s="116"/>
      <c r="C504" s="108"/>
      <c r="D504" s="108"/>
      <c r="E504" s="108"/>
      <c r="F504" s="108"/>
      <c r="G504" s="108"/>
      <c r="H504" s="108"/>
      <c r="I504" s="108"/>
      <c r="J504" s="108"/>
      <c r="K504" s="108"/>
    </row>
    <row r="505">
      <c r="A505" s="11"/>
      <c r="B505" s="116"/>
      <c r="C505" s="108"/>
      <c r="D505" s="108"/>
      <c r="E505" s="108"/>
      <c r="F505" s="108"/>
      <c r="G505" s="108"/>
      <c r="H505" s="108"/>
      <c r="I505" s="108"/>
      <c r="J505" s="108"/>
      <c r="K505" s="108"/>
    </row>
    <row r="506">
      <c r="A506" s="11"/>
      <c r="B506" s="116"/>
      <c r="C506" s="108"/>
      <c r="D506" s="108"/>
      <c r="E506" s="108"/>
      <c r="F506" s="108"/>
      <c r="G506" s="108"/>
      <c r="H506" s="108"/>
      <c r="I506" s="108"/>
      <c r="J506" s="108"/>
      <c r="K506" s="108"/>
    </row>
    <row r="507">
      <c r="A507" s="11"/>
      <c r="B507" s="116"/>
      <c r="C507" s="108"/>
      <c r="D507" s="108"/>
      <c r="E507" s="108"/>
      <c r="F507" s="108"/>
      <c r="G507" s="108"/>
      <c r="H507" s="108"/>
      <c r="I507" s="108"/>
      <c r="J507" s="108"/>
      <c r="K507" s="108"/>
    </row>
    <row r="508">
      <c r="A508" s="11"/>
      <c r="B508" s="116"/>
      <c r="C508" s="108"/>
      <c r="D508" s="108"/>
      <c r="E508" s="108"/>
      <c r="F508" s="108"/>
      <c r="G508" s="108"/>
      <c r="H508" s="108"/>
      <c r="I508" s="108"/>
      <c r="J508" s="108"/>
      <c r="K508" s="108"/>
    </row>
    <row r="509">
      <c r="A509" s="11"/>
      <c r="B509" s="116"/>
      <c r="C509" s="108"/>
      <c r="D509" s="108"/>
      <c r="E509" s="108"/>
      <c r="F509" s="108"/>
      <c r="G509" s="108"/>
      <c r="H509" s="108"/>
      <c r="I509" s="108"/>
      <c r="J509" s="108"/>
      <c r="K509" s="108"/>
    </row>
    <row r="510">
      <c r="A510" s="11"/>
      <c r="B510" s="116"/>
      <c r="C510" s="108"/>
      <c r="D510" s="108"/>
      <c r="E510" s="108"/>
      <c r="F510" s="108"/>
      <c r="G510" s="108"/>
      <c r="H510" s="108"/>
      <c r="I510" s="108"/>
      <c r="J510" s="108"/>
      <c r="K510" s="108"/>
    </row>
    <row r="511">
      <c r="A511" s="11"/>
      <c r="B511" s="116"/>
      <c r="C511" s="108"/>
      <c r="D511" s="108"/>
      <c r="E511" s="108"/>
      <c r="F511" s="108"/>
      <c r="G511" s="108"/>
      <c r="H511" s="108"/>
      <c r="I511" s="108"/>
      <c r="J511" s="108"/>
      <c r="K511" s="108"/>
    </row>
    <row r="512">
      <c r="A512" s="11"/>
      <c r="B512" s="116"/>
      <c r="C512" s="108"/>
      <c r="D512" s="108"/>
      <c r="E512" s="108"/>
      <c r="F512" s="108"/>
      <c r="G512" s="108"/>
      <c r="H512" s="108"/>
      <c r="I512" s="108"/>
      <c r="J512" s="108"/>
      <c r="K512" s="108"/>
    </row>
    <row r="513">
      <c r="A513" s="11"/>
      <c r="B513" s="116"/>
      <c r="C513" s="108"/>
      <c r="D513" s="108"/>
      <c r="E513" s="108"/>
      <c r="F513" s="108"/>
      <c r="G513" s="108"/>
      <c r="H513" s="108"/>
      <c r="I513" s="108"/>
      <c r="J513" s="108"/>
      <c r="K513" s="108"/>
    </row>
    <row r="514">
      <c r="A514" s="11"/>
      <c r="B514" s="116"/>
      <c r="C514" s="108"/>
      <c r="D514" s="108"/>
      <c r="E514" s="108"/>
      <c r="F514" s="108"/>
      <c r="G514" s="108"/>
      <c r="H514" s="108"/>
      <c r="I514" s="108"/>
      <c r="J514" s="108"/>
      <c r="K514" s="108"/>
    </row>
    <row r="515">
      <c r="A515" s="11"/>
      <c r="B515" s="116"/>
      <c r="C515" s="108"/>
      <c r="D515" s="108"/>
      <c r="E515" s="108"/>
      <c r="F515" s="108"/>
      <c r="G515" s="108"/>
      <c r="H515" s="108"/>
      <c r="I515" s="108"/>
      <c r="J515" s="108"/>
      <c r="K515" s="108"/>
    </row>
    <row r="516">
      <c r="A516" s="11"/>
      <c r="B516" s="116"/>
      <c r="C516" s="108"/>
      <c r="D516" s="108"/>
      <c r="E516" s="108"/>
      <c r="F516" s="108"/>
      <c r="G516" s="108"/>
      <c r="H516" s="108"/>
      <c r="I516" s="108"/>
      <c r="J516" s="108"/>
      <c r="K516" s="108"/>
    </row>
    <row r="517">
      <c r="A517" s="11"/>
      <c r="B517" s="116"/>
      <c r="C517" s="108"/>
      <c r="D517" s="108"/>
      <c r="E517" s="108"/>
      <c r="F517" s="108"/>
      <c r="G517" s="108"/>
      <c r="H517" s="108"/>
      <c r="I517" s="108"/>
      <c r="J517" s="108"/>
      <c r="K517" s="108"/>
    </row>
    <row r="518">
      <c r="A518" s="11"/>
      <c r="B518" s="116"/>
      <c r="C518" s="108"/>
      <c r="D518" s="108"/>
      <c r="E518" s="108"/>
      <c r="F518" s="108"/>
      <c r="G518" s="108"/>
      <c r="H518" s="108"/>
      <c r="I518" s="108"/>
      <c r="J518" s="108"/>
      <c r="K518" s="108"/>
    </row>
    <row r="519">
      <c r="A519" s="11"/>
      <c r="B519" s="116"/>
      <c r="C519" s="108"/>
      <c r="D519" s="108"/>
      <c r="E519" s="108"/>
      <c r="F519" s="108"/>
      <c r="G519" s="108"/>
      <c r="H519" s="108"/>
      <c r="I519" s="108"/>
      <c r="J519" s="108"/>
      <c r="K519" s="108"/>
    </row>
    <row r="520">
      <c r="A520" s="11"/>
      <c r="B520" s="116"/>
      <c r="C520" s="108"/>
      <c r="D520" s="108"/>
      <c r="E520" s="108"/>
      <c r="F520" s="108"/>
      <c r="G520" s="108"/>
      <c r="H520" s="108"/>
      <c r="I520" s="108"/>
      <c r="J520" s="108"/>
      <c r="K520" s="108"/>
    </row>
    <row r="521">
      <c r="A521" s="11"/>
      <c r="B521" s="116"/>
      <c r="C521" s="108"/>
      <c r="D521" s="108"/>
      <c r="E521" s="108"/>
      <c r="F521" s="108"/>
      <c r="G521" s="108"/>
      <c r="H521" s="108"/>
      <c r="I521" s="108"/>
      <c r="J521" s="108"/>
      <c r="K521" s="108"/>
    </row>
    <row r="522">
      <c r="A522" s="11"/>
      <c r="B522" s="116"/>
      <c r="C522" s="108"/>
      <c r="D522" s="108"/>
      <c r="E522" s="108"/>
      <c r="F522" s="108"/>
      <c r="G522" s="108"/>
      <c r="H522" s="108"/>
      <c r="I522" s="108"/>
      <c r="J522" s="108"/>
      <c r="K522" s="108"/>
    </row>
    <row r="523">
      <c r="A523" s="11"/>
      <c r="B523" s="116"/>
      <c r="C523" s="108"/>
      <c r="D523" s="108"/>
      <c r="E523" s="108"/>
      <c r="F523" s="108"/>
      <c r="G523" s="108"/>
      <c r="H523" s="108"/>
      <c r="I523" s="108"/>
      <c r="J523" s="108"/>
      <c r="K523" s="108"/>
    </row>
    <row r="524">
      <c r="A524" s="11"/>
      <c r="B524" s="116"/>
      <c r="C524" s="108"/>
      <c r="D524" s="108"/>
      <c r="E524" s="108"/>
      <c r="F524" s="108"/>
      <c r="G524" s="108"/>
      <c r="H524" s="108"/>
      <c r="I524" s="108"/>
      <c r="J524" s="108"/>
      <c r="K524" s="108"/>
    </row>
    <row r="525">
      <c r="A525" s="11"/>
      <c r="B525" s="116"/>
      <c r="C525" s="108"/>
      <c r="D525" s="108"/>
      <c r="E525" s="108"/>
      <c r="F525" s="108"/>
      <c r="G525" s="108"/>
      <c r="H525" s="108"/>
      <c r="I525" s="108"/>
      <c r="J525" s="108"/>
      <c r="K525" s="108"/>
    </row>
    <row r="526">
      <c r="A526" s="11"/>
      <c r="B526" s="116"/>
      <c r="C526" s="108"/>
      <c r="D526" s="108"/>
      <c r="E526" s="108"/>
      <c r="F526" s="108"/>
      <c r="G526" s="108"/>
      <c r="H526" s="108"/>
      <c r="I526" s="108"/>
      <c r="J526" s="108"/>
      <c r="K526" s="108"/>
    </row>
    <row r="527">
      <c r="A527" s="11"/>
      <c r="B527" s="116"/>
      <c r="C527" s="108"/>
      <c r="D527" s="108"/>
      <c r="E527" s="108"/>
      <c r="F527" s="108"/>
      <c r="G527" s="108"/>
      <c r="H527" s="108"/>
      <c r="I527" s="108"/>
      <c r="J527" s="108"/>
      <c r="K527" s="108"/>
    </row>
    <row r="528">
      <c r="A528" s="11"/>
      <c r="B528" s="116"/>
      <c r="C528" s="108"/>
      <c r="D528" s="108"/>
      <c r="E528" s="108"/>
      <c r="F528" s="108"/>
      <c r="G528" s="108"/>
      <c r="H528" s="108"/>
      <c r="I528" s="108"/>
      <c r="J528" s="108"/>
      <c r="K528" s="108"/>
    </row>
    <row r="529">
      <c r="A529" s="11"/>
      <c r="B529" s="116"/>
      <c r="C529" s="108"/>
      <c r="D529" s="108"/>
      <c r="E529" s="108"/>
      <c r="F529" s="108"/>
      <c r="G529" s="108"/>
      <c r="H529" s="108"/>
      <c r="I529" s="108"/>
      <c r="J529" s="108"/>
      <c r="K529" s="108"/>
    </row>
    <row r="530">
      <c r="A530" s="11"/>
      <c r="B530" s="116"/>
      <c r="C530" s="108"/>
      <c r="D530" s="108"/>
      <c r="E530" s="108"/>
      <c r="F530" s="108"/>
      <c r="G530" s="108"/>
      <c r="H530" s="108"/>
      <c r="I530" s="108"/>
      <c r="J530" s="108"/>
      <c r="K530" s="108"/>
    </row>
    <row r="531">
      <c r="A531" s="11"/>
      <c r="B531" s="116"/>
      <c r="C531" s="108"/>
      <c r="D531" s="108"/>
      <c r="E531" s="108"/>
      <c r="F531" s="108"/>
      <c r="G531" s="108"/>
      <c r="H531" s="108"/>
      <c r="I531" s="108"/>
      <c r="J531" s="108"/>
      <c r="K531" s="108"/>
    </row>
    <row r="532">
      <c r="A532" s="11"/>
      <c r="B532" s="116"/>
      <c r="C532" s="108"/>
      <c r="D532" s="108"/>
      <c r="E532" s="108"/>
      <c r="F532" s="108"/>
      <c r="G532" s="108"/>
      <c r="H532" s="108"/>
      <c r="I532" s="108"/>
      <c r="J532" s="108"/>
      <c r="K532" s="108"/>
    </row>
    <row r="533">
      <c r="A533" s="11"/>
      <c r="B533" s="116"/>
      <c r="C533" s="108"/>
      <c r="D533" s="108"/>
      <c r="E533" s="108"/>
      <c r="F533" s="108"/>
      <c r="G533" s="108"/>
      <c r="H533" s="108"/>
      <c r="I533" s="108"/>
      <c r="J533" s="108"/>
      <c r="K533" s="108"/>
    </row>
    <row r="534">
      <c r="A534" s="11"/>
      <c r="B534" s="116"/>
      <c r="C534" s="108"/>
      <c r="D534" s="108"/>
      <c r="E534" s="108"/>
      <c r="F534" s="108"/>
      <c r="G534" s="108"/>
      <c r="H534" s="108"/>
      <c r="I534" s="108"/>
      <c r="J534" s="108"/>
      <c r="K534" s="108"/>
    </row>
    <row r="535">
      <c r="A535" s="11"/>
      <c r="B535" s="116"/>
      <c r="C535" s="108"/>
      <c r="D535" s="108"/>
      <c r="E535" s="108"/>
      <c r="F535" s="108"/>
      <c r="G535" s="108"/>
      <c r="H535" s="108"/>
      <c r="I535" s="108"/>
      <c r="J535" s="108"/>
      <c r="K535" s="108"/>
    </row>
    <row r="536">
      <c r="A536" s="11"/>
      <c r="B536" s="116"/>
      <c r="C536" s="108"/>
      <c r="D536" s="108"/>
      <c r="E536" s="108"/>
      <c r="F536" s="108"/>
      <c r="G536" s="108"/>
      <c r="H536" s="108"/>
      <c r="I536" s="108"/>
      <c r="J536" s="108"/>
      <c r="K536" s="108"/>
    </row>
    <row r="537">
      <c r="A537" s="11"/>
      <c r="B537" s="116"/>
      <c r="C537" s="108"/>
      <c r="D537" s="108"/>
      <c r="E537" s="108"/>
      <c r="F537" s="108"/>
      <c r="G537" s="108"/>
      <c r="H537" s="108"/>
      <c r="I537" s="108"/>
      <c r="J537" s="108"/>
      <c r="K537" s="108"/>
    </row>
    <row r="538">
      <c r="A538" s="11"/>
      <c r="B538" s="116"/>
      <c r="C538" s="108"/>
      <c r="D538" s="108"/>
      <c r="E538" s="108"/>
      <c r="F538" s="108"/>
      <c r="G538" s="108"/>
      <c r="H538" s="108"/>
      <c r="I538" s="108"/>
      <c r="J538" s="108"/>
      <c r="K538" s="108"/>
    </row>
    <row r="539">
      <c r="A539" s="11"/>
      <c r="B539" s="116"/>
      <c r="C539" s="108"/>
      <c r="D539" s="108"/>
      <c r="E539" s="108"/>
      <c r="F539" s="108"/>
      <c r="G539" s="108"/>
      <c r="H539" s="108"/>
      <c r="I539" s="108"/>
      <c r="J539" s="108"/>
      <c r="K539" s="108"/>
    </row>
    <row r="540">
      <c r="A540" s="11"/>
      <c r="B540" s="116"/>
      <c r="C540" s="108"/>
      <c r="D540" s="108"/>
      <c r="E540" s="108"/>
      <c r="F540" s="108"/>
      <c r="G540" s="108"/>
      <c r="H540" s="108"/>
      <c r="I540" s="108"/>
      <c r="J540" s="108"/>
      <c r="K540" s="108"/>
    </row>
    <row r="541">
      <c r="A541" s="11"/>
      <c r="B541" s="116"/>
      <c r="C541" s="108"/>
      <c r="D541" s="108"/>
      <c r="E541" s="108"/>
      <c r="F541" s="108"/>
      <c r="G541" s="108"/>
      <c r="H541" s="108"/>
      <c r="I541" s="108"/>
      <c r="J541" s="108"/>
      <c r="K541" s="108"/>
    </row>
    <row r="542">
      <c r="A542" s="11"/>
      <c r="B542" s="116"/>
      <c r="C542" s="108"/>
      <c r="D542" s="108"/>
      <c r="E542" s="108"/>
      <c r="F542" s="108"/>
      <c r="G542" s="108"/>
      <c r="H542" s="108"/>
      <c r="I542" s="108"/>
      <c r="J542" s="108"/>
      <c r="K542" s="108"/>
    </row>
    <row r="543">
      <c r="A543" s="11"/>
      <c r="B543" s="116"/>
      <c r="C543" s="108"/>
      <c r="D543" s="108"/>
      <c r="E543" s="108"/>
      <c r="F543" s="108"/>
      <c r="G543" s="108"/>
      <c r="H543" s="108"/>
      <c r="I543" s="108"/>
      <c r="J543" s="108"/>
      <c r="K543" s="108"/>
    </row>
    <row r="544">
      <c r="A544" s="11"/>
      <c r="B544" s="116"/>
      <c r="C544" s="108"/>
      <c r="D544" s="108"/>
      <c r="E544" s="108"/>
      <c r="F544" s="108"/>
      <c r="G544" s="108"/>
      <c r="H544" s="108"/>
      <c r="I544" s="108"/>
      <c r="J544" s="108"/>
      <c r="K544" s="108"/>
    </row>
    <row r="545">
      <c r="A545" s="11"/>
      <c r="B545" s="116"/>
      <c r="C545" s="108"/>
      <c r="D545" s="108"/>
      <c r="E545" s="108"/>
      <c r="F545" s="108"/>
      <c r="G545" s="108"/>
      <c r="H545" s="108"/>
      <c r="I545" s="108"/>
      <c r="J545" s="108"/>
      <c r="K545" s="108"/>
    </row>
    <row r="546">
      <c r="A546" s="11"/>
      <c r="B546" s="116"/>
      <c r="C546" s="108"/>
      <c r="D546" s="108"/>
      <c r="E546" s="108"/>
      <c r="F546" s="108"/>
      <c r="G546" s="108"/>
      <c r="H546" s="108"/>
      <c r="I546" s="108"/>
      <c r="J546" s="108"/>
      <c r="K546" s="108"/>
    </row>
    <row r="547">
      <c r="A547" s="11"/>
      <c r="B547" s="116"/>
      <c r="C547" s="108"/>
      <c r="D547" s="108"/>
      <c r="E547" s="108"/>
      <c r="F547" s="108"/>
      <c r="G547" s="108"/>
      <c r="H547" s="108"/>
      <c r="I547" s="108"/>
      <c r="J547" s="108"/>
      <c r="K547" s="108"/>
    </row>
    <row r="548">
      <c r="A548" s="11"/>
      <c r="B548" s="116"/>
      <c r="C548" s="108"/>
      <c r="D548" s="108"/>
      <c r="E548" s="108"/>
      <c r="F548" s="108"/>
      <c r="G548" s="108"/>
      <c r="H548" s="108"/>
      <c r="I548" s="108"/>
      <c r="J548" s="108"/>
      <c r="K548" s="108"/>
    </row>
    <row r="549">
      <c r="A549" s="11"/>
      <c r="B549" s="116"/>
      <c r="C549" s="108"/>
      <c r="D549" s="108"/>
      <c r="E549" s="108"/>
      <c r="F549" s="108"/>
      <c r="G549" s="108"/>
      <c r="H549" s="108"/>
      <c r="I549" s="108"/>
      <c r="J549" s="108"/>
      <c r="K549" s="108"/>
    </row>
    <row r="550">
      <c r="A550" s="11"/>
      <c r="B550" s="116"/>
      <c r="C550" s="108"/>
      <c r="D550" s="108"/>
      <c r="E550" s="108"/>
      <c r="F550" s="108"/>
      <c r="G550" s="108"/>
      <c r="H550" s="108"/>
      <c r="I550" s="108"/>
      <c r="J550" s="108"/>
      <c r="K550" s="108"/>
    </row>
    <row r="551">
      <c r="A551" s="11"/>
      <c r="B551" s="116"/>
      <c r="C551" s="108"/>
      <c r="D551" s="108"/>
      <c r="E551" s="108"/>
      <c r="F551" s="108"/>
      <c r="G551" s="108"/>
      <c r="H551" s="108"/>
      <c r="I551" s="108"/>
      <c r="J551" s="108"/>
      <c r="K551" s="108"/>
    </row>
    <row r="552">
      <c r="A552" s="11"/>
      <c r="B552" s="116"/>
      <c r="C552" s="108"/>
      <c r="D552" s="108"/>
      <c r="E552" s="108"/>
      <c r="F552" s="108"/>
      <c r="G552" s="108"/>
      <c r="H552" s="108"/>
      <c r="I552" s="108"/>
      <c r="J552" s="108"/>
      <c r="K552" s="108"/>
    </row>
    <row r="553">
      <c r="A553" s="11"/>
      <c r="B553" s="116"/>
      <c r="C553" s="108"/>
      <c r="D553" s="108"/>
      <c r="E553" s="108"/>
      <c r="F553" s="108"/>
      <c r="G553" s="108"/>
      <c r="H553" s="108"/>
      <c r="I553" s="108"/>
      <c r="J553" s="108"/>
      <c r="K553" s="108"/>
    </row>
    <row r="554">
      <c r="A554" s="11"/>
      <c r="B554" s="116"/>
      <c r="C554" s="108"/>
      <c r="D554" s="108"/>
      <c r="E554" s="108"/>
      <c r="F554" s="108"/>
      <c r="G554" s="108"/>
      <c r="H554" s="108"/>
      <c r="I554" s="108"/>
      <c r="J554" s="108"/>
      <c r="K554" s="108"/>
    </row>
    <row r="555">
      <c r="A555" s="11"/>
      <c r="B555" s="116"/>
      <c r="C555" s="108"/>
      <c r="D555" s="108"/>
      <c r="E555" s="108"/>
      <c r="F555" s="108"/>
      <c r="G555" s="108"/>
      <c r="H555" s="108"/>
      <c r="I555" s="108"/>
      <c r="J555" s="108"/>
      <c r="K555" s="108"/>
    </row>
    <row r="556">
      <c r="A556" s="11"/>
      <c r="B556" s="116"/>
      <c r="C556" s="108"/>
      <c r="D556" s="108"/>
      <c r="E556" s="108"/>
      <c r="F556" s="108"/>
      <c r="G556" s="108"/>
      <c r="H556" s="108"/>
      <c r="I556" s="108"/>
      <c r="J556" s="108"/>
      <c r="K556" s="108"/>
    </row>
    <row r="557">
      <c r="A557" s="11"/>
      <c r="B557" s="116"/>
      <c r="C557" s="108"/>
      <c r="D557" s="108"/>
      <c r="E557" s="108"/>
      <c r="F557" s="108"/>
      <c r="G557" s="108"/>
      <c r="H557" s="108"/>
      <c r="I557" s="108"/>
      <c r="J557" s="108"/>
      <c r="K557" s="108"/>
    </row>
    <row r="558">
      <c r="A558" s="11"/>
      <c r="B558" s="116"/>
      <c r="C558" s="108"/>
      <c r="D558" s="108"/>
      <c r="E558" s="108"/>
      <c r="F558" s="108"/>
      <c r="G558" s="108"/>
      <c r="H558" s="108"/>
      <c r="I558" s="108"/>
      <c r="J558" s="108"/>
      <c r="K558" s="108"/>
    </row>
    <row r="559">
      <c r="A559" s="11"/>
      <c r="B559" s="116"/>
      <c r="C559" s="108"/>
      <c r="D559" s="108"/>
      <c r="E559" s="108"/>
      <c r="F559" s="108"/>
      <c r="G559" s="108"/>
      <c r="H559" s="108"/>
      <c r="I559" s="108"/>
      <c r="J559" s="108"/>
      <c r="K559" s="108"/>
    </row>
    <row r="560">
      <c r="A560" s="11"/>
      <c r="B560" s="116"/>
      <c r="C560" s="108"/>
      <c r="D560" s="108"/>
      <c r="E560" s="108"/>
      <c r="F560" s="108"/>
      <c r="G560" s="108"/>
      <c r="H560" s="108"/>
      <c r="I560" s="108"/>
      <c r="J560" s="108"/>
      <c r="K560" s="108"/>
    </row>
    <row r="561">
      <c r="A561" s="11"/>
      <c r="B561" s="116"/>
      <c r="C561" s="108"/>
      <c r="D561" s="108"/>
      <c r="E561" s="108"/>
      <c r="F561" s="108"/>
      <c r="G561" s="108"/>
      <c r="H561" s="108"/>
      <c r="I561" s="108"/>
      <c r="J561" s="108"/>
      <c r="K561" s="108"/>
    </row>
    <row r="562">
      <c r="A562" s="11"/>
      <c r="B562" s="116"/>
      <c r="C562" s="108"/>
      <c r="D562" s="108"/>
      <c r="E562" s="108"/>
      <c r="F562" s="108"/>
      <c r="G562" s="108"/>
      <c r="H562" s="108"/>
      <c r="I562" s="108"/>
      <c r="J562" s="108"/>
      <c r="K562" s="108"/>
    </row>
    <row r="563">
      <c r="A563" s="11"/>
      <c r="B563" s="116"/>
      <c r="C563" s="108"/>
      <c r="D563" s="108"/>
      <c r="E563" s="108"/>
      <c r="F563" s="108"/>
      <c r="G563" s="108"/>
      <c r="H563" s="108"/>
      <c r="I563" s="108"/>
      <c r="J563" s="108"/>
      <c r="K563" s="108"/>
    </row>
    <row r="564">
      <c r="A564" s="11"/>
      <c r="B564" s="116"/>
      <c r="C564" s="108"/>
      <c r="D564" s="108"/>
      <c r="E564" s="108"/>
      <c r="F564" s="108"/>
      <c r="G564" s="108"/>
      <c r="H564" s="108"/>
      <c r="I564" s="108"/>
      <c r="J564" s="108"/>
      <c r="K564" s="108"/>
    </row>
    <row r="565">
      <c r="A565" s="11"/>
      <c r="B565" s="116"/>
      <c r="C565" s="108"/>
      <c r="D565" s="108"/>
      <c r="E565" s="108"/>
      <c r="F565" s="108"/>
      <c r="G565" s="108"/>
      <c r="H565" s="108"/>
      <c r="I565" s="108"/>
      <c r="J565" s="108"/>
      <c r="K565" s="108"/>
    </row>
    <row r="566">
      <c r="A566" s="11"/>
      <c r="B566" s="116"/>
      <c r="C566" s="108"/>
      <c r="D566" s="108"/>
      <c r="E566" s="108"/>
      <c r="F566" s="108"/>
      <c r="G566" s="108"/>
      <c r="H566" s="108"/>
      <c r="I566" s="108"/>
      <c r="J566" s="108"/>
      <c r="K566" s="108"/>
    </row>
    <row r="567">
      <c r="A567" s="11"/>
      <c r="B567" s="116"/>
      <c r="C567" s="108"/>
      <c r="D567" s="108"/>
      <c r="E567" s="108"/>
      <c r="F567" s="108"/>
      <c r="G567" s="108"/>
      <c r="H567" s="108"/>
      <c r="I567" s="108"/>
      <c r="J567" s="108"/>
      <c r="K567" s="108"/>
    </row>
    <row r="568">
      <c r="A568" s="11"/>
      <c r="B568" s="116"/>
      <c r="C568" s="108"/>
      <c r="D568" s="108"/>
      <c r="E568" s="108"/>
      <c r="F568" s="108"/>
      <c r="G568" s="108"/>
      <c r="H568" s="108"/>
      <c r="I568" s="108"/>
      <c r="J568" s="108"/>
      <c r="K568" s="108"/>
    </row>
    <row r="569">
      <c r="A569" s="11"/>
      <c r="B569" s="116"/>
      <c r="C569" s="108"/>
      <c r="D569" s="108"/>
      <c r="E569" s="108"/>
      <c r="F569" s="108"/>
      <c r="G569" s="108"/>
      <c r="H569" s="108"/>
      <c r="I569" s="108"/>
      <c r="J569" s="108"/>
      <c r="K569" s="108"/>
    </row>
    <row r="570">
      <c r="A570" s="11"/>
      <c r="B570" s="116"/>
      <c r="C570" s="108"/>
      <c r="D570" s="108"/>
      <c r="E570" s="108"/>
      <c r="F570" s="108"/>
      <c r="G570" s="108"/>
      <c r="H570" s="108"/>
      <c r="I570" s="108"/>
      <c r="J570" s="108"/>
      <c r="K570" s="108"/>
    </row>
    <row r="571">
      <c r="A571" s="11"/>
      <c r="B571" s="116"/>
      <c r="C571" s="108"/>
      <c r="D571" s="108"/>
      <c r="E571" s="108"/>
      <c r="F571" s="108"/>
      <c r="G571" s="108"/>
      <c r="H571" s="108"/>
      <c r="I571" s="108"/>
      <c r="J571" s="108"/>
      <c r="K571" s="108"/>
    </row>
    <row r="572">
      <c r="A572" s="11"/>
      <c r="B572" s="116"/>
      <c r="C572" s="108"/>
      <c r="D572" s="108"/>
      <c r="E572" s="108"/>
      <c r="F572" s="108"/>
      <c r="G572" s="108"/>
      <c r="H572" s="108"/>
      <c r="I572" s="108"/>
      <c r="J572" s="108"/>
      <c r="K572" s="108"/>
    </row>
    <row r="573">
      <c r="A573" s="11"/>
      <c r="B573" s="116"/>
      <c r="C573" s="108"/>
      <c r="D573" s="108"/>
      <c r="E573" s="108"/>
      <c r="F573" s="108"/>
      <c r="G573" s="108"/>
      <c r="H573" s="108"/>
      <c r="I573" s="108"/>
      <c r="J573" s="108"/>
      <c r="K573" s="108"/>
    </row>
    <row r="574">
      <c r="A574" s="11"/>
      <c r="B574" s="116"/>
      <c r="C574" s="108"/>
      <c r="D574" s="108"/>
      <c r="E574" s="108"/>
      <c r="F574" s="108"/>
      <c r="G574" s="108"/>
      <c r="H574" s="108"/>
      <c r="I574" s="108"/>
      <c r="J574" s="108"/>
      <c r="K574" s="108"/>
    </row>
    <row r="575">
      <c r="A575" s="11"/>
      <c r="B575" s="116"/>
      <c r="C575" s="108"/>
      <c r="D575" s="108"/>
      <c r="E575" s="108"/>
      <c r="F575" s="108"/>
      <c r="G575" s="108"/>
      <c r="H575" s="108"/>
      <c r="I575" s="108"/>
      <c r="J575" s="108"/>
      <c r="K575" s="108"/>
    </row>
    <row r="576">
      <c r="A576" s="11"/>
      <c r="B576" s="116"/>
      <c r="C576" s="108"/>
      <c r="D576" s="108"/>
      <c r="E576" s="108"/>
      <c r="F576" s="108"/>
      <c r="G576" s="108"/>
      <c r="H576" s="108"/>
      <c r="I576" s="108"/>
      <c r="J576" s="108"/>
      <c r="K576" s="108"/>
    </row>
    <row r="577">
      <c r="A577" s="11"/>
      <c r="B577" s="116"/>
      <c r="C577" s="108"/>
      <c r="D577" s="108"/>
      <c r="E577" s="108"/>
      <c r="F577" s="108"/>
      <c r="G577" s="108"/>
      <c r="H577" s="108"/>
      <c r="I577" s="108"/>
      <c r="J577" s="108"/>
      <c r="K577" s="108"/>
    </row>
    <row r="578">
      <c r="A578" s="11"/>
      <c r="B578" s="116"/>
      <c r="C578" s="108"/>
      <c r="D578" s="108"/>
      <c r="E578" s="108"/>
      <c r="F578" s="108"/>
      <c r="G578" s="108"/>
      <c r="H578" s="108"/>
      <c r="I578" s="108"/>
      <c r="J578" s="108"/>
      <c r="K578" s="108"/>
    </row>
    <row r="579">
      <c r="A579" s="11"/>
      <c r="B579" s="116"/>
      <c r="C579" s="108"/>
      <c r="D579" s="108"/>
      <c r="E579" s="108"/>
      <c r="F579" s="108"/>
      <c r="G579" s="108"/>
      <c r="H579" s="108"/>
      <c r="I579" s="108"/>
      <c r="J579" s="108"/>
      <c r="K579" s="108"/>
    </row>
    <row r="580">
      <c r="A580" s="11"/>
      <c r="B580" s="116"/>
      <c r="C580" s="108"/>
      <c r="D580" s="108"/>
      <c r="E580" s="108"/>
      <c r="F580" s="108"/>
      <c r="G580" s="108"/>
      <c r="H580" s="108"/>
      <c r="I580" s="108"/>
      <c r="J580" s="108"/>
      <c r="K580" s="108"/>
    </row>
    <row r="581">
      <c r="A581" s="11"/>
      <c r="B581" s="116"/>
      <c r="C581" s="108"/>
      <c r="D581" s="108"/>
      <c r="E581" s="108"/>
      <c r="F581" s="108"/>
      <c r="G581" s="108"/>
      <c r="H581" s="108"/>
      <c r="I581" s="108"/>
      <c r="J581" s="108"/>
      <c r="K581" s="108"/>
    </row>
    <row r="582">
      <c r="A582" s="11"/>
      <c r="B582" s="116"/>
      <c r="C582" s="108"/>
      <c r="D582" s="108"/>
      <c r="E582" s="108"/>
      <c r="F582" s="108"/>
      <c r="G582" s="108"/>
      <c r="H582" s="108"/>
      <c r="I582" s="108"/>
      <c r="J582" s="108"/>
      <c r="K582" s="108"/>
    </row>
    <row r="583">
      <c r="A583" s="11"/>
      <c r="B583" s="116"/>
      <c r="C583" s="108"/>
      <c r="D583" s="108"/>
      <c r="E583" s="108"/>
      <c r="F583" s="108"/>
      <c r="G583" s="108"/>
      <c r="H583" s="108"/>
      <c r="I583" s="108"/>
      <c r="J583" s="108"/>
      <c r="K583" s="108"/>
    </row>
    <row r="584">
      <c r="A584" s="11"/>
      <c r="B584" s="116"/>
      <c r="C584" s="108"/>
      <c r="D584" s="108"/>
      <c r="E584" s="108"/>
      <c r="F584" s="108"/>
      <c r="G584" s="108"/>
      <c r="H584" s="108"/>
      <c r="I584" s="108"/>
      <c r="J584" s="108"/>
      <c r="K584" s="108"/>
    </row>
    <row r="585">
      <c r="A585" s="11"/>
      <c r="B585" s="116"/>
      <c r="C585" s="108"/>
      <c r="D585" s="108"/>
      <c r="E585" s="108"/>
      <c r="F585" s="108"/>
      <c r="G585" s="108"/>
      <c r="H585" s="108"/>
      <c r="I585" s="108"/>
      <c r="J585" s="108"/>
      <c r="K585" s="108"/>
    </row>
    <row r="586">
      <c r="A586" s="11"/>
      <c r="B586" s="116"/>
      <c r="C586" s="108"/>
      <c r="D586" s="108"/>
      <c r="E586" s="108"/>
      <c r="F586" s="108"/>
      <c r="G586" s="108"/>
      <c r="H586" s="108"/>
      <c r="I586" s="108"/>
      <c r="J586" s="108"/>
      <c r="K586" s="108"/>
    </row>
    <row r="587">
      <c r="A587" s="11"/>
      <c r="B587" s="116"/>
      <c r="C587" s="108"/>
      <c r="D587" s="108"/>
      <c r="E587" s="108"/>
      <c r="F587" s="108"/>
      <c r="G587" s="108"/>
      <c r="H587" s="108"/>
      <c r="I587" s="108"/>
      <c r="J587" s="108"/>
      <c r="K587" s="108"/>
    </row>
    <row r="588">
      <c r="A588" s="11"/>
      <c r="B588" s="116"/>
      <c r="C588" s="108"/>
      <c r="D588" s="108"/>
      <c r="E588" s="108"/>
      <c r="F588" s="108"/>
      <c r="G588" s="108"/>
      <c r="H588" s="108"/>
      <c r="I588" s="108"/>
      <c r="J588" s="108"/>
      <c r="K588" s="108"/>
    </row>
    <row r="589">
      <c r="A589" s="11"/>
      <c r="B589" s="116"/>
      <c r="C589" s="108"/>
      <c r="D589" s="108"/>
      <c r="E589" s="108"/>
      <c r="F589" s="108"/>
      <c r="G589" s="108"/>
      <c r="H589" s="108"/>
      <c r="I589" s="108"/>
      <c r="J589" s="108"/>
      <c r="K589" s="108"/>
    </row>
    <row r="590">
      <c r="A590" s="11"/>
      <c r="B590" s="116"/>
      <c r="C590" s="108"/>
      <c r="D590" s="108"/>
      <c r="E590" s="108"/>
      <c r="F590" s="108"/>
      <c r="G590" s="108"/>
      <c r="H590" s="108"/>
      <c r="I590" s="108"/>
      <c r="J590" s="108"/>
      <c r="K590" s="108"/>
    </row>
    <row r="591">
      <c r="A591" s="11"/>
      <c r="B591" s="116"/>
      <c r="C591" s="108"/>
      <c r="D591" s="108"/>
      <c r="E591" s="108"/>
      <c r="F591" s="108"/>
      <c r="G591" s="108"/>
      <c r="H591" s="108"/>
      <c r="I591" s="108"/>
      <c r="J591" s="108"/>
      <c r="K591" s="108"/>
    </row>
    <row r="592">
      <c r="A592" s="11"/>
      <c r="B592" s="116"/>
      <c r="C592" s="108"/>
      <c r="D592" s="108"/>
      <c r="E592" s="108"/>
      <c r="F592" s="108"/>
      <c r="G592" s="108"/>
      <c r="H592" s="108"/>
      <c r="I592" s="108"/>
      <c r="J592" s="108"/>
      <c r="K592" s="108"/>
    </row>
    <row r="593">
      <c r="A593" s="11"/>
      <c r="B593" s="116"/>
      <c r="C593" s="108"/>
      <c r="D593" s="108"/>
      <c r="E593" s="108"/>
      <c r="F593" s="108"/>
      <c r="G593" s="108"/>
      <c r="H593" s="108"/>
      <c r="I593" s="108"/>
      <c r="J593" s="108"/>
      <c r="K593" s="108"/>
    </row>
    <row r="594">
      <c r="A594" s="11"/>
      <c r="B594" s="116"/>
      <c r="C594" s="108"/>
      <c r="D594" s="108"/>
      <c r="E594" s="108"/>
      <c r="F594" s="108"/>
      <c r="G594" s="108"/>
      <c r="H594" s="108"/>
      <c r="I594" s="108"/>
      <c r="J594" s="108"/>
      <c r="K594" s="108"/>
    </row>
    <row r="595">
      <c r="A595" s="11"/>
      <c r="B595" s="116"/>
      <c r="C595" s="108"/>
      <c r="D595" s="108"/>
      <c r="E595" s="108"/>
      <c r="F595" s="108"/>
      <c r="G595" s="108"/>
      <c r="H595" s="108"/>
      <c r="I595" s="108"/>
      <c r="J595" s="108"/>
      <c r="K595" s="108"/>
    </row>
    <row r="596">
      <c r="A596" s="11"/>
      <c r="B596" s="116"/>
      <c r="C596" s="108"/>
      <c r="D596" s="108"/>
      <c r="E596" s="108"/>
      <c r="F596" s="108"/>
      <c r="G596" s="108"/>
      <c r="H596" s="108"/>
      <c r="I596" s="108"/>
      <c r="J596" s="108"/>
      <c r="K596" s="108"/>
    </row>
    <row r="597">
      <c r="A597" s="11"/>
      <c r="B597" s="116"/>
      <c r="C597" s="108"/>
      <c r="D597" s="108"/>
      <c r="E597" s="108"/>
      <c r="F597" s="108"/>
      <c r="G597" s="108"/>
      <c r="H597" s="108"/>
      <c r="I597" s="108"/>
      <c r="J597" s="108"/>
      <c r="K597" s="108"/>
    </row>
    <row r="598">
      <c r="A598" s="11"/>
      <c r="B598" s="116"/>
      <c r="C598" s="108"/>
      <c r="D598" s="108"/>
      <c r="E598" s="108"/>
      <c r="F598" s="108"/>
      <c r="G598" s="108"/>
      <c r="H598" s="108"/>
      <c r="I598" s="108"/>
      <c r="J598" s="108"/>
      <c r="K598" s="108"/>
    </row>
    <row r="599">
      <c r="A599" s="11"/>
      <c r="B599" s="116"/>
      <c r="C599" s="108"/>
      <c r="D599" s="108"/>
      <c r="E599" s="108"/>
      <c r="F599" s="108"/>
      <c r="G599" s="108"/>
      <c r="H599" s="108"/>
      <c r="I599" s="108"/>
      <c r="J599" s="108"/>
      <c r="K599" s="108"/>
    </row>
    <row r="600">
      <c r="A600" s="11"/>
      <c r="B600" s="116"/>
      <c r="C600" s="108"/>
      <c r="D600" s="108"/>
      <c r="E600" s="108"/>
      <c r="F600" s="108"/>
      <c r="G600" s="108"/>
      <c r="H600" s="108"/>
      <c r="I600" s="108"/>
      <c r="J600" s="108"/>
      <c r="K600" s="108"/>
    </row>
    <row r="601">
      <c r="A601" s="11"/>
      <c r="B601" s="116"/>
      <c r="C601" s="108"/>
      <c r="D601" s="108"/>
      <c r="E601" s="108"/>
      <c r="F601" s="108"/>
      <c r="G601" s="108"/>
      <c r="H601" s="108"/>
      <c r="I601" s="108"/>
      <c r="J601" s="108"/>
      <c r="K601" s="108"/>
    </row>
    <row r="602">
      <c r="A602" s="11"/>
      <c r="B602" s="116"/>
      <c r="C602" s="108"/>
      <c r="D602" s="108"/>
      <c r="E602" s="108"/>
      <c r="F602" s="108"/>
      <c r="G602" s="108"/>
      <c r="H602" s="108"/>
      <c r="I602" s="108"/>
      <c r="J602" s="108"/>
      <c r="K602" s="108"/>
    </row>
    <row r="603">
      <c r="A603" s="11"/>
      <c r="B603" s="116"/>
      <c r="C603" s="108"/>
      <c r="D603" s="108"/>
      <c r="E603" s="108"/>
      <c r="F603" s="108"/>
      <c r="G603" s="108"/>
      <c r="H603" s="108"/>
      <c r="I603" s="108"/>
      <c r="J603" s="108"/>
      <c r="K603" s="108"/>
    </row>
    <row r="604">
      <c r="A604" s="11"/>
      <c r="B604" s="116"/>
      <c r="C604" s="108"/>
      <c r="D604" s="108"/>
      <c r="E604" s="108"/>
      <c r="F604" s="108"/>
      <c r="G604" s="108"/>
      <c r="H604" s="108"/>
      <c r="I604" s="108"/>
      <c r="J604" s="108"/>
      <c r="K604" s="108"/>
    </row>
    <row r="605">
      <c r="A605" s="11"/>
      <c r="B605" s="116"/>
      <c r="C605" s="108"/>
      <c r="D605" s="108"/>
      <c r="E605" s="108"/>
      <c r="F605" s="108"/>
      <c r="G605" s="108"/>
      <c r="H605" s="108"/>
      <c r="I605" s="108"/>
      <c r="J605" s="108"/>
      <c r="K605" s="108"/>
    </row>
    <row r="606">
      <c r="A606" s="11"/>
      <c r="B606" s="116"/>
      <c r="C606" s="108"/>
      <c r="D606" s="108"/>
      <c r="E606" s="108"/>
      <c r="F606" s="108"/>
      <c r="G606" s="108"/>
      <c r="H606" s="108"/>
      <c r="I606" s="108"/>
      <c r="J606" s="108"/>
      <c r="K606" s="108"/>
    </row>
    <row r="607">
      <c r="A607" s="11"/>
      <c r="B607" s="116"/>
      <c r="C607" s="108"/>
      <c r="D607" s="108"/>
      <c r="E607" s="108"/>
      <c r="F607" s="108"/>
      <c r="G607" s="108"/>
      <c r="H607" s="108"/>
      <c r="I607" s="108"/>
      <c r="J607" s="108"/>
      <c r="K607" s="108"/>
    </row>
    <row r="608">
      <c r="A608" s="11"/>
      <c r="B608" s="116"/>
      <c r="C608" s="108"/>
      <c r="D608" s="108"/>
      <c r="E608" s="108"/>
      <c r="F608" s="108"/>
      <c r="G608" s="108"/>
      <c r="H608" s="108"/>
      <c r="I608" s="108"/>
      <c r="J608" s="108"/>
      <c r="K608" s="108"/>
    </row>
    <row r="609">
      <c r="A609" s="11"/>
      <c r="B609" s="116"/>
      <c r="C609" s="108"/>
      <c r="D609" s="108"/>
      <c r="E609" s="108"/>
      <c r="F609" s="108"/>
      <c r="G609" s="108"/>
      <c r="H609" s="108"/>
      <c r="I609" s="108"/>
      <c r="J609" s="108"/>
      <c r="K609" s="108"/>
    </row>
    <row r="610">
      <c r="A610" s="11"/>
      <c r="B610" s="116"/>
      <c r="C610" s="108"/>
      <c r="D610" s="108"/>
      <c r="E610" s="108"/>
      <c r="F610" s="108"/>
      <c r="G610" s="108"/>
      <c r="H610" s="108"/>
      <c r="I610" s="108"/>
      <c r="J610" s="108"/>
      <c r="K610" s="108"/>
    </row>
    <row r="611">
      <c r="A611" s="11"/>
      <c r="B611" s="116"/>
      <c r="C611" s="108"/>
      <c r="D611" s="108"/>
      <c r="E611" s="108"/>
      <c r="F611" s="108"/>
      <c r="G611" s="108"/>
      <c r="H611" s="108"/>
      <c r="I611" s="108"/>
      <c r="J611" s="108"/>
      <c r="K611" s="108"/>
    </row>
    <row r="612">
      <c r="A612" s="11"/>
      <c r="B612" s="116"/>
      <c r="C612" s="108"/>
      <c r="D612" s="108"/>
      <c r="E612" s="108"/>
      <c r="F612" s="108"/>
      <c r="G612" s="108"/>
      <c r="H612" s="108"/>
      <c r="I612" s="108"/>
      <c r="J612" s="108"/>
      <c r="K612" s="108"/>
    </row>
    <row r="613">
      <c r="A613" s="11"/>
      <c r="B613" s="116"/>
      <c r="C613" s="108"/>
      <c r="D613" s="108"/>
      <c r="E613" s="108"/>
      <c r="F613" s="108"/>
      <c r="G613" s="108"/>
      <c r="H613" s="108"/>
      <c r="I613" s="108"/>
      <c r="J613" s="108"/>
      <c r="K613" s="108"/>
    </row>
    <row r="614">
      <c r="A614" s="11"/>
      <c r="B614" s="116"/>
      <c r="C614" s="108"/>
      <c r="D614" s="108"/>
      <c r="E614" s="108"/>
      <c r="F614" s="108"/>
      <c r="G614" s="108"/>
      <c r="H614" s="108"/>
      <c r="I614" s="108"/>
      <c r="J614" s="108"/>
      <c r="K614" s="108"/>
    </row>
    <row r="615">
      <c r="A615" s="11"/>
      <c r="B615" s="116"/>
      <c r="C615" s="108"/>
      <c r="D615" s="108"/>
      <c r="E615" s="108"/>
      <c r="F615" s="108"/>
      <c r="G615" s="108"/>
      <c r="H615" s="108"/>
      <c r="I615" s="108"/>
      <c r="J615" s="108"/>
      <c r="K615" s="108"/>
    </row>
    <row r="616">
      <c r="A616" s="11"/>
      <c r="B616" s="116"/>
      <c r="C616" s="108"/>
      <c r="D616" s="108"/>
      <c r="E616" s="108"/>
      <c r="F616" s="108"/>
      <c r="G616" s="108"/>
      <c r="H616" s="108"/>
      <c r="I616" s="108"/>
      <c r="J616" s="108"/>
      <c r="K616" s="108"/>
    </row>
    <row r="617">
      <c r="A617" s="11"/>
      <c r="B617" s="116"/>
      <c r="C617" s="108"/>
      <c r="D617" s="108"/>
      <c r="E617" s="108"/>
      <c r="F617" s="108"/>
      <c r="G617" s="108"/>
      <c r="H617" s="108"/>
      <c r="I617" s="108"/>
      <c r="J617" s="108"/>
      <c r="K617" s="108"/>
    </row>
    <row r="618">
      <c r="A618" s="11"/>
      <c r="B618" s="116"/>
      <c r="C618" s="108"/>
      <c r="D618" s="108"/>
      <c r="E618" s="108"/>
      <c r="F618" s="108"/>
      <c r="G618" s="108"/>
      <c r="H618" s="108"/>
      <c r="I618" s="108"/>
      <c r="J618" s="108"/>
      <c r="K618" s="108"/>
    </row>
    <row r="619">
      <c r="A619" s="11"/>
      <c r="B619" s="116"/>
      <c r="C619" s="108"/>
      <c r="D619" s="108"/>
      <c r="E619" s="108"/>
      <c r="F619" s="108"/>
      <c r="G619" s="108"/>
      <c r="H619" s="108"/>
      <c r="I619" s="108"/>
      <c r="J619" s="108"/>
      <c r="K619" s="108"/>
    </row>
    <row r="620">
      <c r="A620" s="11"/>
      <c r="B620" s="116"/>
      <c r="C620" s="108"/>
      <c r="D620" s="108"/>
      <c r="E620" s="108"/>
      <c r="F620" s="108"/>
      <c r="G620" s="108"/>
      <c r="H620" s="108"/>
      <c r="I620" s="108"/>
      <c r="J620" s="108"/>
      <c r="K620" s="108"/>
    </row>
    <row r="621">
      <c r="A621" s="11"/>
      <c r="B621" s="116"/>
      <c r="C621" s="108"/>
      <c r="D621" s="108"/>
      <c r="E621" s="108"/>
      <c r="F621" s="108"/>
      <c r="G621" s="108"/>
      <c r="H621" s="108"/>
      <c r="I621" s="108"/>
      <c r="J621" s="108"/>
      <c r="K621" s="108"/>
    </row>
    <row r="622">
      <c r="A622" s="11"/>
      <c r="B622" s="116"/>
      <c r="C622" s="108"/>
      <c r="D622" s="108"/>
      <c r="E622" s="108"/>
      <c r="F622" s="108"/>
      <c r="G622" s="108"/>
      <c r="H622" s="108"/>
      <c r="I622" s="108"/>
      <c r="J622" s="108"/>
      <c r="K622" s="108"/>
    </row>
    <row r="623">
      <c r="A623" s="11"/>
      <c r="B623" s="116"/>
      <c r="C623" s="108"/>
      <c r="D623" s="108"/>
      <c r="E623" s="108"/>
      <c r="F623" s="108"/>
      <c r="G623" s="108"/>
      <c r="H623" s="108"/>
      <c r="I623" s="108"/>
      <c r="J623" s="108"/>
      <c r="K623" s="108"/>
    </row>
    <row r="624">
      <c r="A624" s="11"/>
      <c r="B624" s="116"/>
      <c r="C624" s="108"/>
      <c r="D624" s="108"/>
      <c r="E624" s="108"/>
      <c r="F624" s="108"/>
      <c r="G624" s="108"/>
      <c r="H624" s="108"/>
      <c r="I624" s="108"/>
      <c r="J624" s="108"/>
      <c r="K624" s="108"/>
    </row>
    <row r="625">
      <c r="A625" s="11"/>
      <c r="B625" s="116"/>
      <c r="C625" s="108"/>
      <c r="D625" s="108"/>
      <c r="E625" s="108"/>
      <c r="F625" s="108"/>
      <c r="G625" s="108"/>
      <c r="H625" s="108"/>
      <c r="I625" s="108"/>
      <c r="J625" s="108"/>
      <c r="K625" s="108"/>
    </row>
    <row r="626">
      <c r="A626" s="11"/>
      <c r="B626" s="116"/>
      <c r="C626" s="108"/>
      <c r="D626" s="108"/>
      <c r="E626" s="108"/>
      <c r="F626" s="108"/>
      <c r="G626" s="108"/>
      <c r="H626" s="108"/>
      <c r="I626" s="108"/>
      <c r="J626" s="108"/>
      <c r="K626" s="108"/>
    </row>
    <row r="627">
      <c r="A627" s="11"/>
      <c r="B627" s="116"/>
      <c r="C627" s="108"/>
      <c r="D627" s="108"/>
      <c r="E627" s="108"/>
      <c r="F627" s="108"/>
      <c r="G627" s="108"/>
      <c r="H627" s="108"/>
      <c r="I627" s="108"/>
      <c r="J627" s="108"/>
      <c r="K627" s="108"/>
    </row>
    <row r="628">
      <c r="A628" s="11"/>
      <c r="B628" s="116"/>
      <c r="C628" s="108"/>
      <c r="D628" s="108"/>
      <c r="E628" s="108"/>
      <c r="F628" s="108"/>
      <c r="G628" s="108"/>
      <c r="H628" s="108"/>
      <c r="I628" s="108"/>
      <c r="J628" s="108"/>
      <c r="K628" s="108"/>
    </row>
    <row r="629">
      <c r="A629" s="11"/>
      <c r="B629" s="116"/>
      <c r="C629" s="108"/>
      <c r="D629" s="108"/>
      <c r="E629" s="108"/>
      <c r="F629" s="108"/>
      <c r="G629" s="108"/>
      <c r="H629" s="108"/>
      <c r="I629" s="108"/>
      <c r="J629" s="108"/>
      <c r="K629" s="108"/>
    </row>
    <row r="630">
      <c r="A630" s="11"/>
      <c r="B630" s="116"/>
      <c r="C630" s="108"/>
      <c r="D630" s="108"/>
      <c r="E630" s="108"/>
      <c r="F630" s="108"/>
      <c r="G630" s="108"/>
      <c r="H630" s="108"/>
      <c r="I630" s="108"/>
      <c r="J630" s="108"/>
      <c r="K630" s="108"/>
    </row>
    <row r="631">
      <c r="A631" s="11"/>
      <c r="B631" s="116"/>
      <c r="C631" s="108"/>
      <c r="D631" s="108"/>
      <c r="E631" s="108"/>
      <c r="F631" s="108"/>
      <c r="G631" s="108"/>
      <c r="H631" s="108"/>
      <c r="I631" s="108"/>
      <c r="J631" s="108"/>
      <c r="K631" s="108"/>
    </row>
    <row r="632">
      <c r="A632" s="11"/>
      <c r="B632" s="116"/>
      <c r="C632" s="108"/>
      <c r="D632" s="108"/>
      <c r="E632" s="108"/>
      <c r="F632" s="108"/>
      <c r="G632" s="108"/>
      <c r="H632" s="108"/>
      <c r="I632" s="108"/>
      <c r="J632" s="108"/>
      <c r="K632" s="108"/>
    </row>
    <row r="633">
      <c r="A633" s="11"/>
      <c r="B633" s="116"/>
      <c r="C633" s="108"/>
      <c r="D633" s="108"/>
      <c r="E633" s="108"/>
      <c r="F633" s="108"/>
      <c r="G633" s="108"/>
      <c r="H633" s="108"/>
      <c r="I633" s="108"/>
      <c r="J633" s="108"/>
      <c r="K633" s="108"/>
    </row>
    <row r="634">
      <c r="A634" s="11"/>
      <c r="B634" s="116"/>
      <c r="C634" s="108"/>
      <c r="D634" s="108"/>
      <c r="E634" s="108"/>
      <c r="F634" s="108"/>
      <c r="G634" s="108"/>
      <c r="H634" s="108"/>
      <c r="I634" s="108"/>
      <c r="J634" s="108"/>
      <c r="K634" s="108"/>
    </row>
    <row r="635">
      <c r="A635" s="11"/>
      <c r="B635" s="116"/>
      <c r="C635" s="108"/>
      <c r="D635" s="108"/>
      <c r="E635" s="108"/>
      <c r="F635" s="108"/>
      <c r="G635" s="108"/>
      <c r="H635" s="108"/>
      <c r="I635" s="108"/>
      <c r="J635" s="108"/>
      <c r="K635" s="108"/>
    </row>
    <row r="636">
      <c r="A636" s="11"/>
      <c r="B636" s="116"/>
      <c r="C636" s="108"/>
      <c r="D636" s="108"/>
      <c r="E636" s="108"/>
      <c r="F636" s="108"/>
      <c r="G636" s="108"/>
      <c r="H636" s="108"/>
      <c r="I636" s="108"/>
      <c r="J636" s="108"/>
      <c r="K636" s="108"/>
    </row>
    <row r="637">
      <c r="A637" s="11"/>
      <c r="B637" s="116"/>
      <c r="C637" s="108"/>
      <c r="D637" s="108"/>
      <c r="E637" s="108"/>
      <c r="F637" s="108"/>
      <c r="G637" s="108"/>
      <c r="H637" s="108"/>
      <c r="I637" s="108"/>
      <c r="J637" s="108"/>
      <c r="K637" s="108"/>
    </row>
    <row r="638">
      <c r="A638" s="11"/>
      <c r="B638" s="116"/>
      <c r="C638" s="108"/>
      <c r="D638" s="108"/>
      <c r="E638" s="108"/>
      <c r="F638" s="108"/>
      <c r="G638" s="108"/>
      <c r="H638" s="108"/>
      <c r="I638" s="108"/>
      <c r="J638" s="108"/>
      <c r="K638" s="108"/>
    </row>
    <row r="639">
      <c r="A639" s="11"/>
      <c r="B639" s="116"/>
      <c r="C639" s="108"/>
      <c r="D639" s="108"/>
      <c r="E639" s="108"/>
      <c r="F639" s="108"/>
      <c r="G639" s="108"/>
      <c r="H639" s="108"/>
      <c r="I639" s="108"/>
      <c r="J639" s="108"/>
      <c r="K639" s="108"/>
    </row>
    <row r="640">
      <c r="A640" s="11"/>
      <c r="B640" s="116"/>
      <c r="C640" s="108"/>
      <c r="D640" s="108"/>
      <c r="E640" s="108"/>
      <c r="F640" s="108"/>
      <c r="G640" s="108"/>
      <c r="H640" s="108"/>
      <c r="I640" s="108"/>
      <c r="J640" s="108"/>
      <c r="K640" s="108"/>
    </row>
    <row r="641">
      <c r="A641" s="11"/>
      <c r="B641" s="116"/>
      <c r="C641" s="108"/>
      <c r="D641" s="108"/>
      <c r="E641" s="108"/>
      <c r="F641" s="108"/>
      <c r="G641" s="108"/>
      <c r="H641" s="108"/>
      <c r="I641" s="108"/>
      <c r="J641" s="108"/>
      <c r="K641" s="108"/>
    </row>
    <row r="642">
      <c r="A642" s="11"/>
      <c r="B642" s="116"/>
      <c r="C642" s="108"/>
      <c r="D642" s="108"/>
      <c r="E642" s="108"/>
      <c r="F642" s="108"/>
      <c r="G642" s="108"/>
      <c r="H642" s="108"/>
      <c r="I642" s="108"/>
      <c r="J642" s="108"/>
      <c r="K642" s="108"/>
    </row>
    <row r="643">
      <c r="A643" s="11"/>
      <c r="B643" s="116"/>
      <c r="C643" s="108"/>
      <c r="D643" s="108"/>
      <c r="E643" s="108"/>
      <c r="F643" s="108"/>
      <c r="G643" s="108"/>
      <c r="H643" s="108"/>
      <c r="I643" s="108"/>
      <c r="J643" s="108"/>
      <c r="K643" s="108"/>
    </row>
    <row r="644">
      <c r="A644" s="11"/>
      <c r="B644" s="116"/>
      <c r="C644" s="108"/>
      <c r="D644" s="108"/>
      <c r="E644" s="108"/>
      <c r="F644" s="108"/>
      <c r="G644" s="108"/>
      <c r="H644" s="108"/>
      <c r="I644" s="108"/>
      <c r="J644" s="108"/>
      <c r="K644" s="108"/>
    </row>
    <row r="645">
      <c r="A645" s="11"/>
      <c r="B645" s="116"/>
      <c r="C645" s="108"/>
      <c r="D645" s="108"/>
      <c r="E645" s="108"/>
      <c r="F645" s="108"/>
      <c r="G645" s="108"/>
      <c r="H645" s="108"/>
      <c r="I645" s="108"/>
      <c r="J645" s="108"/>
      <c r="K645" s="108"/>
    </row>
    <row r="646">
      <c r="A646" s="11"/>
      <c r="B646" s="116"/>
      <c r="C646" s="108"/>
      <c r="D646" s="108"/>
      <c r="E646" s="108"/>
      <c r="F646" s="108"/>
      <c r="G646" s="108"/>
      <c r="H646" s="108"/>
      <c r="I646" s="108"/>
      <c r="J646" s="108"/>
      <c r="K646" s="108"/>
    </row>
    <row r="647">
      <c r="A647" s="11"/>
      <c r="B647" s="116"/>
      <c r="C647" s="108"/>
      <c r="D647" s="108"/>
      <c r="E647" s="108"/>
      <c r="F647" s="108"/>
      <c r="G647" s="108"/>
      <c r="H647" s="108"/>
      <c r="I647" s="108"/>
      <c r="J647" s="108"/>
      <c r="K647" s="108"/>
    </row>
    <row r="648">
      <c r="A648" s="11"/>
      <c r="B648" s="116"/>
      <c r="C648" s="108"/>
      <c r="D648" s="108"/>
      <c r="E648" s="108"/>
      <c r="F648" s="108"/>
      <c r="G648" s="108"/>
      <c r="H648" s="108"/>
      <c r="I648" s="108"/>
      <c r="J648" s="108"/>
      <c r="K648" s="108"/>
    </row>
    <row r="649">
      <c r="A649" s="11"/>
      <c r="B649" s="116"/>
      <c r="C649" s="108"/>
      <c r="D649" s="108"/>
      <c r="E649" s="108"/>
      <c r="F649" s="108"/>
      <c r="G649" s="108"/>
      <c r="H649" s="108"/>
      <c r="I649" s="108"/>
      <c r="J649" s="108"/>
      <c r="K649" s="108"/>
    </row>
    <row r="650">
      <c r="A650" s="11"/>
      <c r="B650" s="116"/>
      <c r="C650" s="108"/>
      <c r="D650" s="108"/>
      <c r="E650" s="108"/>
      <c r="F650" s="108"/>
      <c r="G650" s="108"/>
      <c r="H650" s="108"/>
      <c r="I650" s="108"/>
      <c r="J650" s="108"/>
      <c r="K650" s="108"/>
    </row>
    <row r="651">
      <c r="A651" s="11"/>
      <c r="B651" s="116"/>
      <c r="C651" s="108"/>
      <c r="D651" s="108"/>
      <c r="E651" s="108"/>
      <c r="F651" s="108"/>
      <c r="G651" s="108"/>
      <c r="H651" s="108"/>
      <c r="I651" s="108"/>
      <c r="J651" s="108"/>
      <c r="K651" s="108"/>
    </row>
    <row r="652">
      <c r="A652" s="11"/>
      <c r="B652" s="116"/>
      <c r="C652" s="108"/>
      <c r="D652" s="108"/>
      <c r="E652" s="108"/>
      <c r="F652" s="108"/>
      <c r="G652" s="108"/>
      <c r="H652" s="108"/>
      <c r="I652" s="108"/>
      <c r="J652" s="108"/>
      <c r="K652" s="108"/>
    </row>
    <row r="653">
      <c r="A653" s="11"/>
      <c r="B653" s="116"/>
      <c r="C653" s="108"/>
      <c r="D653" s="108"/>
      <c r="E653" s="108"/>
      <c r="F653" s="108"/>
      <c r="G653" s="108"/>
      <c r="H653" s="108"/>
      <c r="I653" s="108"/>
      <c r="J653" s="108"/>
      <c r="K653" s="108"/>
    </row>
    <row r="654">
      <c r="A654" s="11"/>
      <c r="B654" s="116"/>
      <c r="C654" s="108"/>
      <c r="D654" s="108"/>
      <c r="E654" s="108"/>
      <c r="F654" s="108"/>
      <c r="G654" s="108"/>
      <c r="H654" s="108"/>
      <c r="I654" s="108"/>
      <c r="J654" s="108"/>
      <c r="K654" s="108"/>
    </row>
    <row r="655">
      <c r="A655" s="11"/>
      <c r="B655" s="116"/>
      <c r="C655" s="108"/>
      <c r="D655" s="108"/>
      <c r="E655" s="108"/>
      <c r="F655" s="108"/>
      <c r="G655" s="108"/>
      <c r="H655" s="108"/>
      <c r="I655" s="108"/>
      <c r="J655" s="108"/>
      <c r="K655" s="108"/>
    </row>
    <row r="656">
      <c r="A656" s="11"/>
      <c r="B656" s="116"/>
      <c r="C656" s="108"/>
      <c r="D656" s="108"/>
      <c r="E656" s="108"/>
      <c r="F656" s="108"/>
      <c r="G656" s="108"/>
      <c r="H656" s="108"/>
      <c r="I656" s="108"/>
      <c r="J656" s="108"/>
      <c r="K656" s="108"/>
    </row>
    <row r="657">
      <c r="A657" s="11"/>
      <c r="B657" s="116"/>
      <c r="C657" s="108"/>
      <c r="D657" s="108"/>
      <c r="E657" s="108"/>
      <c r="F657" s="108"/>
      <c r="G657" s="108"/>
      <c r="H657" s="108"/>
      <c r="I657" s="108"/>
      <c r="J657" s="108"/>
      <c r="K657" s="108"/>
    </row>
    <row r="658">
      <c r="A658" s="11"/>
      <c r="B658" s="116"/>
      <c r="C658" s="108"/>
      <c r="D658" s="108"/>
      <c r="E658" s="108"/>
      <c r="F658" s="108"/>
      <c r="G658" s="108"/>
      <c r="H658" s="108"/>
      <c r="I658" s="108"/>
      <c r="J658" s="108"/>
      <c r="K658" s="108"/>
    </row>
    <row r="659">
      <c r="A659" s="11"/>
      <c r="B659" s="116"/>
      <c r="C659" s="108"/>
      <c r="D659" s="108"/>
      <c r="E659" s="108"/>
      <c r="F659" s="108"/>
      <c r="G659" s="108"/>
      <c r="H659" s="108"/>
      <c r="I659" s="108"/>
      <c r="J659" s="108"/>
      <c r="K659" s="108"/>
    </row>
    <row r="660">
      <c r="A660" s="11"/>
      <c r="B660" s="116"/>
      <c r="C660" s="108"/>
      <c r="D660" s="108"/>
      <c r="E660" s="108"/>
      <c r="F660" s="108"/>
      <c r="G660" s="108"/>
      <c r="H660" s="108"/>
      <c r="I660" s="108"/>
      <c r="J660" s="108"/>
      <c r="K660" s="108"/>
    </row>
    <row r="661">
      <c r="A661" s="11"/>
      <c r="B661" s="116"/>
      <c r="C661" s="108"/>
      <c r="D661" s="108"/>
      <c r="E661" s="108"/>
      <c r="F661" s="108"/>
      <c r="G661" s="108"/>
      <c r="H661" s="108"/>
      <c r="I661" s="108"/>
      <c r="J661" s="108"/>
      <c r="K661" s="108"/>
    </row>
    <row r="662">
      <c r="A662" s="11"/>
      <c r="B662" s="116"/>
      <c r="C662" s="108"/>
      <c r="D662" s="108"/>
      <c r="E662" s="108"/>
      <c r="F662" s="108"/>
      <c r="G662" s="108"/>
      <c r="H662" s="108"/>
      <c r="I662" s="108"/>
      <c r="J662" s="108"/>
      <c r="K662" s="108"/>
    </row>
    <row r="663">
      <c r="A663" s="11"/>
      <c r="B663" s="116"/>
      <c r="C663" s="108"/>
      <c r="D663" s="108"/>
      <c r="E663" s="108"/>
      <c r="F663" s="108"/>
      <c r="G663" s="108"/>
      <c r="H663" s="108"/>
      <c r="I663" s="108"/>
      <c r="J663" s="108"/>
      <c r="K663" s="108"/>
    </row>
    <row r="664">
      <c r="A664" s="11"/>
      <c r="B664" s="116"/>
      <c r="C664" s="108"/>
      <c r="D664" s="108"/>
      <c r="E664" s="108"/>
      <c r="F664" s="108"/>
      <c r="G664" s="108"/>
      <c r="H664" s="108"/>
      <c r="I664" s="108"/>
      <c r="J664" s="108"/>
      <c r="K664" s="108"/>
    </row>
    <row r="665">
      <c r="A665" s="11"/>
      <c r="B665" s="116"/>
      <c r="C665" s="108"/>
      <c r="D665" s="108"/>
      <c r="E665" s="108"/>
      <c r="F665" s="108"/>
      <c r="G665" s="108"/>
      <c r="H665" s="108"/>
      <c r="I665" s="108"/>
      <c r="J665" s="108"/>
      <c r="K665" s="108"/>
    </row>
    <row r="666">
      <c r="A666" s="11"/>
      <c r="B666" s="116"/>
      <c r="C666" s="108"/>
      <c r="D666" s="108"/>
      <c r="E666" s="108"/>
      <c r="F666" s="108"/>
      <c r="G666" s="108"/>
      <c r="H666" s="108"/>
      <c r="I666" s="108"/>
      <c r="J666" s="108"/>
      <c r="K666" s="108"/>
    </row>
    <row r="667">
      <c r="A667" s="11"/>
      <c r="B667" s="116"/>
      <c r="C667" s="108"/>
      <c r="D667" s="108"/>
      <c r="E667" s="108"/>
      <c r="F667" s="108"/>
      <c r="G667" s="108"/>
      <c r="H667" s="108"/>
      <c r="I667" s="108"/>
      <c r="J667" s="108"/>
      <c r="K667" s="108"/>
    </row>
    <row r="668">
      <c r="A668" s="11"/>
      <c r="B668" s="116"/>
      <c r="C668" s="108"/>
      <c r="D668" s="108"/>
      <c r="E668" s="108"/>
      <c r="F668" s="108"/>
      <c r="G668" s="108"/>
      <c r="H668" s="108"/>
      <c r="I668" s="108"/>
      <c r="J668" s="108"/>
      <c r="K668" s="108"/>
    </row>
    <row r="669">
      <c r="A669" s="11"/>
      <c r="B669" s="116"/>
      <c r="C669" s="108"/>
      <c r="D669" s="108"/>
      <c r="E669" s="108"/>
      <c r="F669" s="108"/>
      <c r="G669" s="108"/>
      <c r="H669" s="108"/>
      <c r="I669" s="108"/>
      <c r="J669" s="108"/>
      <c r="K669" s="108"/>
    </row>
    <row r="670">
      <c r="A670" s="11"/>
      <c r="B670" s="116"/>
      <c r="C670" s="108"/>
      <c r="D670" s="108"/>
      <c r="E670" s="108"/>
      <c r="F670" s="108"/>
      <c r="G670" s="108"/>
      <c r="H670" s="108"/>
      <c r="I670" s="108"/>
      <c r="J670" s="108"/>
      <c r="K670" s="108"/>
    </row>
    <row r="671">
      <c r="A671" s="11"/>
      <c r="B671" s="116"/>
      <c r="C671" s="108"/>
      <c r="D671" s="108"/>
      <c r="E671" s="108"/>
      <c r="F671" s="108"/>
      <c r="G671" s="108"/>
      <c r="H671" s="108"/>
      <c r="I671" s="108"/>
      <c r="J671" s="108"/>
      <c r="K671" s="108"/>
    </row>
    <row r="672">
      <c r="A672" s="11"/>
      <c r="B672" s="116"/>
      <c r="C672" s="108"/>
      <c r="D672" s="108"/>
      <c r="E672" s="108"/>
      <c r="F672" s="108"/>
      <c r="G672" s="108"/>
      <c r="H672" s="108"/>
      <c r="I672" s="108"/>
      <c r="J672" s="108"/>
      <c r="K672" s="108"/>
    </row>
    <row r="673">
      <c r="A673" s="11"/>
      <c r="B673" s="116"/>
      <c r="C673" s="108"/>
      <c r="D673" s="108"/>
      <c r="E673" s="108"/>
      <c r="F673" s="108"/>
      <c r="G673" s="108"/>
      <c r="H673" s="108"/>
      <c r="I673" s="108"/>
      <c r="J673" s="108"/>
      <c r="K673" s="108"/>
    </row>
    <row r="674">
      <c r="A674" s="11"/>
      <c r="B674" s="116"/>
      <c r="C674" s="108"/>
      <c r="D674" s="108"/>
      <c r="E674" s="108"/>
      <c r="F674" s="108"/>
      <c r="G674" s="108"/>
      <c r="H674" s="108"/>
      <c r="I674" s="108"/>
      <c r="J674" s="108"/>
      <c r="K674" s="108"/>
    </row>
    <row r="675">
      <c r="A675" s="11"/>
      <c r="B675" s="116"/>
      <c r="C675" s="108"/>
      <c r="D675" s="108"/>
      <c r="E675" s="108"/>
      <c r="F675" s="108"/>
      <c r="G675" s="108"/>
      <c r="H675" s="108"/>
      <c r="I675" s="108"/>
      <c r="J675" s="108"/>
      <c r="K675" s="108"/>
    </row>
    <row r="676">
      <c r="A676" s="11"/>
      <c r="B676" s="116"/>
      <c r="C676" s="108"/>
      <c r="D676" s="108"/>
      <c r="E676" s="108"/>
      <c r="F676" s="108"/>
      <c r="G676" s="108"/>
      <c r="H676" s="108"/>
      <c r="I676" s="108"/>
      <c r="J676" s="108"/>
      <c r="K676" s="108"/>
    </row>
    <row r="677">
      <c r="A677" s="11"/>
      <c r="B677" s="116"/>
      <c r="C677" s="108"/>
      <c r="D677" s="108"/>
      <c r="E677" s="108"/>
      <c r="F677" s="108"/>
      <c r="G677" s="108"/>
      <c r="H677" s="108"/>
      <c r="I677" s="108"/>
      <c r="J677" s="108"/>
      <c r="K677" s="108"/>
    </row>
    <row r="678">
      <c r="A678" s="11"/>
      <c r="B678" s="116"/>
      <c r="C678" s="108"/>
      <c r="D678" s="108"/>
      <c r="E678" s="108"/>
      <c r="F678" s="108"/>
      <c r="G678" s="108"/>
      <c r="H678" s="108"/>
      <c r="I678" s="108"/>
      <c r="J678" s="108"/>
      <c r="K678" s="108"/>
    </row>
    <row r="679">
      <c r="A679" s="11"/>
      <c r="B679" s="116"/>
      <c r="C679" s="108"/>
      <c r="D679" s="108"/>
      <c r="E679" s="108"/>
      <c r="F679" s="108"/>
      <c r="G679" s="108"/>
      <c r="H679" s="108"/>
      <c r="I679" s="108"/>
      <c r="J679" s="108"/>
      <c r="K679" s="108"/>
    </row>
    <row r="680">
      <c r="A680" s="11"/>
      <c r="B680" s="116"/>
      <c r="C680" s="108"/>
      <c r="D680" s="108"/>
      <c r="E680" s="108"/>
      <c r="F680" s="108"/>
      <c r="G680" s="108"/>
      <c r="H680" s="108"/>
      <c r="I680" s="108"/>
      <c r="J680" s="108"/>
      <c r="K680" s="108"/>
    </row>
    <row r="681">
      <c r="A681" s="11"/>
      <c r="B681" s="116"/>
      <c r="C681" s="108"/>
      <c r="D681" s="108"/>
      <c r="E681" s="108"/>
      <c r="F681" s="108"/>
      <c r="G681" s="108"/>
      <c r="H681" s="108"/>
      <c r="I681" s="108"/>
      <c r="J681" s="108"/>
      <c r="K681" s="108"/>
    </row>
    <row r="682">
      <c r="A682" s="11"/>
      <c r="B682" s="116"/>
      <c r="C682" s="108"/>
      <c r="D682" s="108"/>
      <c r="E682" s="108"/>
      <c r="F682" s="108"/>
      <c r="G682" s="108"/>
      <c r="H682" s="108"/>
      <c r="I682" s="108"/>
      <c r="J682" s="108"/>
      <c r="K682" s="108"/>
    </row>
    <row r="683">
      <c r="A683" s="11"/>
      <c r="B683" s="116"/>
      <c r="C683" s="108"/>
      <c r="D683" s="108"/>
      <c r="E683" s="108"/>
      <c r="F683" s="108"/>
      <c r="G683" s="108"/>
      <c r="H683" s="108"/>
      <c r="I683" s="108"/>
      <c r="J683" s="108"/>
      <c r="K683" s="108"/>
    </row>
    <row r="684">
      <c r="A684" s="11"/>
      <c r="B684" s="116"/>
      <c r="C684" s="108"/>
      <c r="D684" s="108"/>
      <c r="E684" s="108"/>
      <c r="F684" s="108"/>
      <c r="G684" s="108"/>
      <c r="H684" s="108"/>
      <c r="I684" s="108"/>
      <c r="J684" s="108"/>
      <c r="K684" s="108"/>
    </row>
    <row r="685">
      <c r="A685" s="11"/>
      <c r="B685" s="116"/>
      <c r="C685" s="108"/>
      <c r="D685" s="108"/>
      <c r="E685" s="108"/>
      <c r="F685" s="108"/>
      <c r="G685" s="108"/>
      <c r="H685" s="108"/>
      <c r="I685" s="108"/>
      <c r="J685" s="108"/>
      <c r="K685" s="108"/>
    </row>
    <row r="686">
      <c r="A686" s="11"/>
      <c r="B686" s="116"/>
      <c r="C686" s="108"/>
      <c r="D686" s="108"/>
      <c r="E686" s="108"/>
      <c r="F686" s="108"/>
      <c r="G686" s="108"/>
      <c r="H686" s="108"/>
      <c r="I686" s="108"/>
      <c r="J686" s="108"/>
      <c r="K686" s="108"/>
    </row>
    <row r="687">
      <c r="A687" s="11"/>
      <c r="B687" s="116"/>
      <c r="C687" s="108"/>
      <c r="D687" s="108"/>
      <c r="E687" s="108"/>
      <c r="F687" s="108"/>
      <c r="G687" s="108"/>
      <c r="H687" s="108"/>
      <c r="I687" s="108"/>
      <c r="J687" s="108"/>
      <c r="K687" s="108"/>
    </row>
    <row r="688">
      <c r="A688" s="11"/>
      <c r="B688" s="116"/>
      <c r="C688" s="108"/>
      <c r="D688" s="108"/>
      <c r="E688" s="108"/>
      <c r="F688" s="108"/>
      <c r="G688" s="108"/>
      <c r="H688" s="108"/>
      <c r="I688" s="108"/>
      <c r="J688" s="108"/>
      <c r="K688" s="108"/>
    </row>
    <row r="689">
      <c r="A689" s="11"/>
      <c r="B689" s="116"/>
      <c r="C689" s="108"/>
      <c r="D689" s="108"/>
      <c r="E689" s="108"/>
      <c r="F689" s="108"/>
      <c r="G689" s="108"/>
      <c r="H689" s="108"/>
      <c r="I689" s="108"/>
      <c r="J689" s="108"/>
      <c r="K689" s="108"/>
    </row>
    <row r="690">
      <c r="A690" s="11"/>
      <c r="B690" s="116"/>
      <c r="C690" s="108"/>
      <c r="D690" s="108"/>
      <c r="E690" s="108"/>
      <c r="F690" s="108"/>
      <c r="G690" s="108"/>
      <c r="H690" s="108"/>
      <c r="I690" s="108"/>
      <c r="J690" s="108"/>
      <c r="K690" s="108"/>
    </row>
    <row r="691">
      <c r="A691" s="11"/>
      <c r="B691" s="116"/>
      <c r="C691" s="108"/>
      <c r="D691" s="108"/>
      <c r="E691" s="108"/>
      <c r="F691" s="108"/>
      <c r="G691" s="108"/>
      <c r="H691" s="108"/>
      <c r="I691" s="108"/>
      <c r="J691" s="108"/>
      <c r="K691" s="108"/>
    </row>
    <row r="692">
      <c r="A692" s="11"/>
      <c r="B692" s="116"/>
      <c r="C692" s="108"/>
      <c r="D692" s="108"/>
      <c r="E692" s="108"/>
      <c r="F692" s="108"/>
      <c r="G692" s="108"/>
      <c r="H692" s="108"/>
      <c r="I692" s="108"/>
      <c r="J692" s="108"/>
      <c r="K692" s="108"/>
    </row>
    <row r="693">
      <c r="A693" s="11"/>
      <c r="B693" s="116"/>
      <c r="C693" s="108"/>
      <c r="D693" s="108"/>
      <c r="E693" s="108"/>
      <c r="F693" s="108"/>
      <c r="G693" s="108"/>
      <c r="H693" s="108"/>
      <c r="I693" s="108"/>
      <c r="J693" s="108"/>
      <c r="K693" s="108"/>
    </row>
    <row r="694">
      <c r="A694" s="11"/>
      <c r="B694" s="116"/>
      <c r="C694" s="108"/>
      <c r="D694" s="108"/>
      <c r="E694" s="108"/>
      <c r="F694" s="108"/>
      <c r="G694" s="108"/>
      <c r="H694" s="108"/>
      <c r="I694" s="108"/>
      <c r="J694" s="108"/>
      <c r="K694" s="108"/>
    </row>
    <row r="695">
      <c r="A695" s="11"/>
      <c r="B695" s="116"/>
      <c r="C695" s="108"/>
      <c r="D695" s="108"/>
      <c r="E695" s="108"/>
      <c r="F695" s="108"/>
      <c r="G695" s="108"/>
      <c r="H695" s="108"/>
      <c r="I695" s="108"/>
      <c r="J695" s="108"/>
      <c r="K695" s="108"/>
    </row>
    <row r="696">
      <c r="A696" s="11"/>
      <c r="B696" s="116"/>
      <c r="C696" s="108"/>
      <c r="D696" s="108"/>
      <c r="E696" s="108"/>
      <c r="F696" s="108"/>
      <c r="G696" s="108"/>
      <c r="H696" s="108"/>
      <c r="I696" s="108"/>
      <c r="J696" s="108"/>
      <c r="K696" s="108"/>
    </row>
    <row r="697">
      <c r="A697" s="11"/>
      <c r="B697" s="116"/>
      <c r="C697" s="108"/>
      <c r="D697" s="108"/>
      <c r="E697" s="108"/>
      <c r="F697" s="108"/>
      <c r="G697" s="108"/>
      <c r="H697" s="108"/>
      <c r="I697" s="108"/>
      <c r="J697" s="108"/>
      <c r="K697" s="108"/>
    </row>
    <row r="698">
      <c r="A698" s="11"/>
      <c r="B698" s="116"/>
      <c r="C698" s="108"/>
      <c r="D698" s="108"/>
      <c r="E698" s="108"/>
      <c r="F698" s="108"/>
      <c r="G698" s="108"/>
      <c r="H698" s="108"/>
      <c r="I698" s="108"/>
      <c r="J698" s="108"/>
      <c r="K698" s="108"/>
    </row>
    <row r="699">
      <c r="A699" s="11"/>
      <c r="B699" s="116"/>
      <c r="C699" s="108"/>
      <c r="D699" s="108"/>
      <c r="E699" s="108"/>
      <c r="F699" s="108"/>
      <c r="G699" s="108"/>
      <c r="H699" s="108"/>
      <c r="I699" s="108"/>
      <c r="J699" s="108"/>
      <c r="K699" s="108"/>
    </row>
    <row r="700">
      <c r="A700" s="11"/>
      <c r="B700" s="116"/>
      <c r="C700" s="108"/>
      <c r="D700" s="108"/>
      <c r="E700" s="108"/>
      <c r="F700" s="108"/>
      <c r="G700" s="108"/>
      <c r="H700" s="108"/>
      <c r="I700" s="108"/>
      <c r="J700" s="108"/>
      <c r="K700" s="108"/>
    </row>
    <row r="701">
      <c r="A701" s="11"/>
      <c r="B701" s="116"/>
      <c r="C701" s="108"/>
      <c r="D701" s="108"/>
      <c r="E701" s="108"/>
      <c r="F701" s="108"/>
      <c r="G701" s="108"/>
      <c r="H701" s="108"/>
      <c r="I701" s="108"/>
      <c r="J701" s="108"/>
      <c r="K701" s="108"/>
    </row>
    <row r="702">
      <c r="A702" s="11"/>
      <c r="B702" s="116"/>
      <c r="C702" s="108"/>
      <c r="D702" s="108"/>
      <c r="E702" s="108"/>
      <c r="F702" s="108"/>
      <c r="G702" s="108"/>
      <c r="H702" s="108"/>
      <c r="I702" s="108"/>
      <c r="J702" s="108"/>
      <c r="K702" s="108"/>
    </row>
    <row r="703">
      <c r="A703" s="11"/>
      <c r="B703" s="116"/>
      <c r="C703" s="108"/>
      <c r="D703" s="108"/>
      <c r="E703" s="108"/>
      <c r="F703" s="108"/>
      <c r="G703" s="108"/>
      <c r="H703" s="108"/>
      <c r="I703" s="108"/>
      <c r="J703" s="108"/>
      <c r="K703" s="108"/>
    </row>
    <row r="704">
      <c r="A704" s="11"/>
      <c r="B704" s="116"/>
      <c r="C704" s="108"/>
      <c r="D704" s="108"/>
      <c r="E704" s="108"/>
      <c r="F704" s="108"/>
      <c r="G704" s="108"/>
      <c r="H704" s="108"/>
      <c r="I704" s="108"/>
      <c r="J704" s="108"/>
      <c r="K704" s="108"/>
    </row>
    <row r="705">
      <c r="A705" s="11"/>
      <c r="B705" s="116"/>
      <c r="C705" s="108"/>
      <c r="D705" s="108"/>
      <c r="E705" s="108"/>
      <c r="F705" s="108"/>
      <c r="G705" s="108"/>
      <c r="H705" s="108"/>
      <c r="I705" s="108"/>
      <c r="J705" s="108"/>
      <c r="K705" s="108"/>
    </row>
    <row r="706">
      <c r="A706" s="11"/>
      <c r="B706" s="116"/>
      <c r="C706" s="108"/>
      <c r="D706" s="108"/>
      <c r="E706" s="108"/>
      <c r="F706" s="108"/>
      <c r="G706" s="108"/>
      <c r="H706" s="108"/>
      <c r="I706" s="108"/>
      <c r="J706" s="108"/>
      <c r="K706" s="108"/>
    </row>
    <row r="707">
      <c r="A707" s="11"/>
      <c r="B707" s="116"/>
      <c r="C707" s="108"/>
      <c r="D707" s="108"/>
      <c r="E707" s="108"/>
      <c r="F707" s="108"/>
      <c r="G707" s="108"/>
      <c r="H707" s="108"/>
      <c r="I707" s="108"/>
      <c r="J707" s="108"/>
      <c r="K707" s="108"/>
    </row>
    <row r="708">
      <c r="A708" s="11"/>
      <c r="B708" s="116"/>
      <c r="C708" s="108"/>
      <c r="D708" s="108"/>
      <c r="E708" s="108"/>
      <c r="F708" s="108"/>
      <c r="G708" s="108"/>
      <c r="H708" s="108"/>
      <c r="I708" s="108"/>
      <c r="J708" s="108"/>
      <c r="K708" s="108"/>
    </row>
    <row r="709">
      <c r="A709" s="11"/>
      <c r="B709" s="116"/>
      <c r="C709" s="108"/>
      <c r="D709" s="108"/>
      <c r="E709" s="108"/>
      <c r="F709" s="108"/>
      <c r="G709" s="108"/>
      <c r="H709" s="108"/>
      <c r="I709" s="108"/>
      <c r="J709" s="108"/>
      <c r="K709" s="108"/>
    </row>
    <row r="710">
      <c r="A710" s="11"/>
      <c r="B710" s="116"/>
      <c r="C710" s="108"/>
      <c r="D710" s="108"/>
      <c r="E710" s="108"/>
      <c r="F710" s="108"/>
      <c r="G710" s="108"/>
      <c r="H710" s="108"/>
      <c r="I710" s="108"/>
      <c r="J710" s="108"/>
      <c r="K710" s="108"/>
    </row>
    <row r="711">
      <c r="A711" s="11"/>
      <c r="B711" s="116"/>
      <c r="C711" s="108"/>
      <c r="D711" s="108"/>
      <c r="E711" s="108"/>
      <c r="F711" s="108"/>
      <c r="G711" s="108"/>
      <c r="H711" s="108"/>
      <c r="I711" s="108"/>
      <c r="J711" s="108"/>
      <c r="K711" s="108"/>
    </row>
    <row r="712">
      <c r="A712" s="11"/>
      <c r="B712" s="116"/>
      <c r="C712" s="108"/>
      <c r="D712" s="108"/>
      <c r="E712" s="108"/>
      <c r="F712" s="108"/>
      <c r="G712" s="108"/>
      <c r="H712" s="108"/>
      <c r="I712" s="108"/>
      <c r="J712" s="108"/>
      <c r="K712" s="108"/>
    </row>
    <row r="713">
      <c r="A713" s="11"/>
      <c r="B713" s="116"/>
      <c r="C713" s="108"/>
      <c r="D713" s="108"/>
      <c r="E713" s="108"/>
      <c r="F713" s="108"/>
      <c r="G713" s="108"/>
      <c r="H713" s="108"/>
      <c r="I713" s="108"/>
      <c r="J713" s="108"/>
      <c r="K713" s="108"/>
    </row>
    <row r="714">
      <c r="A714" s="11"/>
      <c r="B714" s="116"/>
      <c r="C714" s="108"/>
      <c r="D714" s="108"/>
      <c r="E714" s="108"/>
      <c r="F714" s="108"/>
      <c r="G714" s="108"/>
      <c r="H714" s="108"/>
      <c r="I714" s="108"/>
      <c r="J714" s="108"/>
      <c r="K714" s="108"/>
    </row>
    <row r="715">
      <c r="A715" s="11"/>
      <c r="B715" s="116"/>
      <c r="C715" s="108"/>
      <c r="D715" s="108"/>
      <c r="E715" s="108"/>
      <c r="F715" s="108"/>
      <c r="G715" s="108"/>
      <c r="H715" s="108"/>
      <c r="I715" s="108"/>
      <c r="J715" s="108"/>
      <c r="K715" s="108"/>
    </row>
    <row r="716">
      <c r="A716" s="11"/>
      <c r="B716" s="116"/>
      <c r="C716" s="108"/>
      <c r="D716" s="108"/>
      <c r="E716" s="108"/>
      <c r="F716" s="108"/>
      <c r="G716" s="108"/>
      <c r="H716" s="108"/>
      <c r="I716" s="108"/>
      <c r="J716" s="108"/>
      <c r="K716" s="108"/>
    </row>
    <row r="717">
      <c r="A717" s="11"/>
      <c r="B717" s="116"/>
      <c r="C717" s="108"/>
      <c r="D717" s="108"/>
      <c r="E717" s="108"/>
      <c r="F717" s="108"/>
      <c r="G717" s="108"/>
      <c r="H717" s="108"/>
      <c r="I717" s="108"/>
      <c r="J717" s="108"/>
      <c r="K717" s="108"/>
    </row>
    <row r="718">
      <c r="A718" s="11"/>
      <c r="B718" s="116"/>
      <c r="C718" s="108"/>
      <c r="D718" s="108"/>
      <c r="E718" s="108"/>
      <c r="F718" s="108"/>
      <c r="G718" s="108"/>
      <c r="H718" s="108"/>
      <c r="I718" s="108"/>
      <c r="J718" s="108"/>
      <c r="K718" s="108"/>
    </row>
    <row r="719">
      <c r="A719" s="11"/>
      <c r="B719" s="116"/>
      <c r="C719" s="108"/>
      <c r="D719" s="108"/>
      <c r="E719" s="108"/>
      <c r="F719" s="108"/>
      <c r="G719" s="108"/>
      <c r="H719" s="108"/>
      <c r="I719" s="108"/>
      <c r="J719" s="108"/>
      <c r="K719" s="108"/>
    </row>
    <row r="720">
      <c r="A720" s="11"/>
      <c r="B720" s="116"/>
      <c r="C720" s="108"/>
      <c r="D720" s="108"/>
      <c r="E720" s="108"/>
      <c r="F720" s="108"/>
      <c r="G720" s="108"/>
      <c r="H720" s="108"/>
      <c r="I720" s="108"/>
      <c r="J720" s="108"/>
      <c r="K720" s="108"/>
    </row>
    <row r="721">
      <c r="A721" s="11"/>
      <c r="B721" s="116"/>
      <c r="C721" s="108"/>
      <c r="D721" s="108"/>
      <c r="E721" s="108"/>
      <c r="F721" s="108"/>
      <c r="G721" s="108"/>
      <c r="H721" s="108"/>
      <c r="I721" s="108"/>
      <c r="J721" s="108"/>
      <c r="K721" s="108"/>
    </row>
    <row r="722">
      <c r="A722" s="11"/>
      <c r="B722" s="116"/>
      <c r="C722" s="108"/>
      <c r="D722" s="108"/>
      <c r="E722" s="108"/>
      <c r="F722" s="108"/>
      <c r="G722" s="108"/>
      <c r="H722" s="108"/>
      <c r="I722" s="108"/>
      <c r="J722" s="108"/>
      <c r="K722" s="108"/>
    </row>
    <row r="723">
      <c r="A723" s="11"/>
      <c r="B723" s="116"/>
      <c r="C723" s="108"/>
      <c r="D723" s="108"/>
      <c r="E723" s="108"/>
      <c r="F723" s="108"/>
      <c r="G723" s="108"/>
      <c r="H723" s="108"/>
      <c r="I723" s="108"/>
      <c r="J723" s="108"/>
      <c r="K723" s="108"/>
    </row>
    <row r="724">
      <c r="A724" s="11"/>
      <c r="B724" s="116"/>
      <c r="C724" s="108"/>
      <c r="D724" s="108"/>
      <c r="E724" s="108"/>
      <c r="F724" s="108"/>
      <c r="G724" s="108"/>
      <c r="H724" s="108"/>
      <c r="I724" s="108"/>
      <c r="J724" s="108"/>
      <c r="K724" s="108"/>
    </row>
    <row r="725">
      <c r="A725" s="11"/>
      <c r="B725" s="116"/>
      <c r="C725" s="108"/>
      <c r="D725" s="108"/>
      <c r="E725" s="108"/>
      <c r="F725" s="108"/>
      <c r="G725" s="108"/>
      <c r="H725" s="108"/>
      <c r="I725" s="108"/>
      <c r="J725" s="108"/>
      <c r="K725" s="108"/>
    </row>
    <row r="726">
      <c r="A726" s="11"/>
      <c r="B726" s="116"/>
      <c r="C726" s="108"/>
      <c r="D726" s="108"/>
      <c r="E726" s="108"/>
      <c r="F726" s="108"/>
      <c r="G726" s="108"/>
      <c r="H726" s="108"/>
      <c r="I726" s="108"/>
      <c r="J726" s="108"/>
      <c r="K726" s="108"/>
    </row>
    <row r="727">
      <c r="A727" s="11"/>
      <c r="B727" s="116"/>
      <c r="C727" s="108"/>
      <c r="D727" s="108"/>
      <c r="E727" s="108"/>
      <c r="F727" s="108"/>
      <c r="G727" s="108"/>
      <c r="H727" s="108"/>
      <c r="I727" s="108"/>
      <c r="J727" s="108"/>
      <c r="K727" s="108"/>
    </row>
    <row r="728">
      <c r="A728" s="11"/>
      <c r="B728" s="116"/>
      <c r="C728" s="108"/>
      <c r="D728" s="108"/>
      <c r="E728" s="108"/>
      <c r="F728" s="108"/>
      <c r="G728" s="108"/>
      <c r="H728" s="108"/>
      <c r="I728" s="108"/>
      <c r="J728" s="108"/>
      <c r="K728" s="108"/>
    </row>
    <row r="729">
      <c r="A729" s="11"/>
      <c r="B729" s="116"/>
      <c r="C729" s="108"/>
      <c r="D729" s="108"/>
      <c r="E729" s="108"/>
      <c r="F729" s="108"/>
      <c r="G729" s="108"/>
      <c r="H729" s="108"/>
      <c r="I729" s="108"/>
      <c r="J729" s="108"/>
      <c r="K729" s="108"/>
    </row>
    <row r="730">
      <c r="A730" s="11"/>
      <c r="B730" s="116"/>
      <c r="C730" s="108"/>
      <c r="D730" s="108"/>
      <c r="E730" s="108"/>
      <c r="F730" s="108"/>
      <c r="G730" s="108"/>
      <c r="H730" s="108"/>
      <c r="I730" s="108"/>
      <c r="J730" s="108"/>
      <c r="K730" s="108"/>
    </row>
    <row r="731">
      <c r="A731" s="11"/>
      <c r="B731" s="116"/>
      <c r="C731" s="108"/>
      <c r="D731" s="108"/>
      <c r="E731" s="108"/>
      <c r="F731" s="108"/>
      <c r="G731" s="108"/>
      <c r="H731" s="108"/>
      <c r="I731" s="108"/>
      <c r="J731" s="108"/>
      <c r="K731" s="108"/>
    </row>
    <row r="732">
      <c r="A732" s="11"/>
      <c r="B732" s="116"/>
      <c r="C732" s="108"/>
      <c r="D732" s="108"/>
      <c r="E732" s="108"/>
      <c r="F732" s="108"/>
      <c r="G732" s="108"/>
      <c r="H732" s="108"/>
      <c r="I732" s="108"/>
      <c r="J732" s="108"/>
      <c r="K732" s="108"/>
    </row>
    <row r="733">
      <c r="A733" s="11"/>
      <c r="B733" s="116"/>
      <c r="C733" s="108"/>
      <c r="D733" s="108"/>
      <c r="E733" s="108"/>
      <c r="F733" s="108"/>
      <c r="G733" s="108"/>
      <c r="H733" s="108"/>
      <c r="I733" s="108"/>
      <c r="J733" s="108"/>
      <c r="K733" s="108"/>
    </row>
    <row r="734">
      <c r="A734" s="11"/>
      <c r="B734" s="116"/>
      <c r="C734" s="108"/>
      <c r="D734" s="108"/>
      <c r="E734" s="108"/>
      <c r="F734" s="108"/>
      <c r="G734" s="108"/>
      <c r="H734" s="108"/>
      <c r="I734" s="108"/>
      <c r="J734" s="108"/>
      <c r="K734" s="108"/>
    </row>
    <row r="735">
      <c r="A735" s="11"/>
      <c r="B735" s="116"/>
      <c r="C735" s="108"/>
      <c r="D735" s="108"/>
      <c r="E735" s="108"/>
      <c r="F735" s="108"/>
      <c r="G735" s="108"/>
      <c r="H735" s="108"/>
      <c r="I735" s="108"/>
      <c r="J735" s="108"/>
      <c r="K735" s="108"/>
    </row>
    <row r="736">
      <c r="A736" s="11"/>
      <c r="B736" s="116"/>
      <c r="C736" s="108"/>
      <c r="D736" s="108"/>
      <c r="E736" s="108"/>
      <c r="F736" s="108"/>
      <c r="G736" s="108"/>
      <c r="H736" s="108"/>
      <c r="I736" s="108"/>
      <c r="J736" s="108"/>
      <c r="K736" s="108"/>
    </row>
    <row r="737">
      <c r="A737" s="11"/>
      <c r="B737" s="116"/>
      <c r="C737" s="108"/>
      <c r="D737" s="108"/>
      <c r="E737" s="108"/>
      <c r="F737" s="108"/>
      <c r="G737" s="108"/>
      <c r="H737" s="108"/>
      <c r="I737" s="108"/>
      <c r="J737" s="108"/>
      <c r="K737" s="108"/>
    </row>
    <row r="738">
      <c r="A738" s="11"/>
      <c r="B738" s="116"/>
      <c r="C738" s="108"/>
      <c r="D738" s="108"/>
      <c r="E738" s="108"/>
      <c r="F738" s="108"/>
      <c r="G738" s="108"/>
      <c r="H738" s="108"/>
      <c r="I738" s="108"/>
      <c r="J738" s="108"/>
      <c r="K738" s="108"/>
    </row>
    <row r="739">
      <c r="A739" s="11"/>
      <c r="B739" s="116"/>
      <c r="C739" s="108"/>
      <c r="D739" s="108"/>
      <c r="E739" s="108"/>
      <c r="F739" s="108"/>
      <c r="G739" s="108"/>
      <c r="H739" s="108"/>
      <c r="I739" s="108"/>
      <c r="J739" s="108"/>
      <c r="K739" s="108"/>
    </row>
    <row r="740">
      <c r="A740" s="11"/>
      <c r="B740" s="116"/>
      <c r="C740" s="108"/>
      <c r="D740" s="108"/>
      <c r="E740" s="108"/>
      <c r="F740" s="108"/>
      <c r="G740" s="108"/>
      <c r="H740" s="108"/>
      <c r="I740" s="108"/>
      <c r="J740" s="108"/>
      <c r="K740" s="108"/>
    </row>
    <row r="741">
      <c r="A741" s="11"/>
      <c r="B741" s="116"/>
      <c r="C741" s="108"/>
      <c r="D741" s="108"/>
      <c r="E741" s="108"/>
      <c r="F741" s="108"/>
      <c r="G741" s="108"/>
      <c r="H741" s="108"/>
      <c r="I741" s="108"/>
      <c r="J741" s="108"/>
      <c r="K741" s="108"/>
    </row>
    <row r="742">
      <c r="A742" s="11"/>
      <c r="B742" s="116"/>
      <c r="C742" s="108"/>
      <c r="D742" s="108"/>
      <c r="E742" s="108"/>
      <c r="F742" s="108"/>
      <c r="G742" s="108"/>
      <c r="H742" s="108"/>
      <c r="I742" s="108"/>
      <c r="J742" s="108"/>
      <c r="K742" s="108"/>
    </row>
    <row r="743">
      <c r="A743" s="11"/>
      <c r="B743" s="116"/>
      <c r="C743" s="108"/>
      <c r="D743" s="108"/>
      <c r="E743" s="108"/>
      <c r="F743" s="108"/>
      <c r="G743" s="108"/>
      <c r="H743" s="108"/>
      <c r="I743" s="108"/>
      <c r="J743" s="108"/>
      <c r="K743" s="108"/>
    </row>
    <row r="744">
      <c r="A744" s="11"/>
      <c r="B744" s="116"/>
      <c r="C744" s="108"/>
      <c r="D744" s="108"/>
      <c r="E744" s="108"/>
      <c r="F744" s="108"/>
      <c r="G744" s="108"/>
      <c r="H744" s="108"/>
      <c r="I744" s="108"/>
      <c r="J744" s="108"/>
      <c r="K744" s="108"/>
    </row>
    <row r="745">
      <c r="A745" s="11"/>
      <c r="B745" s="116"/>
      <c r="C745" s="108"/>
      <c r="D745" s="108"/>
      <c r="E745" s="108"/>
      <c r="F745" s="108"/>
      <c r="G745" s="108"/>
      <c r="H745" s="108"/>
      <c r="I745" s="108"/>
      <c r="J745" s="108"/>
      <c r="K745" s="108"/>
    </row>
    <row r="746">
      <c r="A746" s="11"/>
      <c r="B746" s="116"/>
      <c r="C746" s="108"/>
      <c r="D746" s="108"/>
      <c r="E746" s="108"/>
      <c r="F746" s="108"/>
      <c r="G746" s="108"/>
      <c r="H746" s="108"/>
      <c r="I746" s="108"/>
      <c r="J746" s="108"/>
      <c r="K746" s="108"/>
    </row>
    <row r="747">
      <c r="A747" s="11"/>
      <c r="B747" s="116"/>
      <c r="C747" s="108"/>
      <c r="D747" s="108"/>
      <c r="E747" s="108"/>
      <c r="F747" s="108"/>
      <c r="G747" s="108"/>
      <c r="H747" s="108"/>
      <c r="I747" s="108"/>
      <c r="J747" s="108"/>
      <c r="K747" s="108"/>
    </row>
    <row r="748">
      <c r="A748" s="11"/>
      <c r="B748" s="116"/>
      <c r="C748" s="108"/>
      <c r="D748" s="108"/>
      <c r="E748" s="108"/>
      <c r="F748" s="108"/>
      <c r="G748" s="108"/>
      <c r="H748" s="108"/>
      <c r="I748" s="108"/>
      <c r="J748" s="108"/>
      <c r="K748" s="108"/>
    </row>
    <row r="749">
      <c r="A749" s="11"/>
      <c r="B749" s="116"/>
      <c r="C749" s="108"/>
      <c r="D749" s="108"/>
      <c r="E749" s="108"/>
      <c r="F749" s="108"/>
      <c r="G749" s="108"/>
      <c r="H749" s="108"/>
      <c r="I749" s="108"/>
      <c r="J749" s="108"/>
      <c r="K749" s="108"/>
    </row>
    <row r="750">
      <c r="A750" s="11"/>
      <c r="B750" s="116"/>
      <c r="C750" s="108"/>
      <c r="D750" s="108"/>
      <c r="E750" s="108"/>
      <c r="F750" s="108"/>
      <c r="G750" s="108"/>
      <c r="H750" s="108"/>
      <c r="I750" s="108"/>
      <c r="J750" s="108"/>
      <c r="K750" s="108"/>
    </row>
    <row r="751">
      <c r="A751" s="11"/>
      <c r="B751" s="116"/>
      <c r="C751" s="108"/>
      <c r="D751" s="108"/>
      <c r="E751" s="108"/>
      <c r="F751" s="108"/>
      <c r="G751" s="108"/>
      <c r="H751" s="108"/>
      <c r="I751" s="108"/>
      <c r="J751" s="108"/>
      <c r="K751" s="108"/>
    </row>
    <row r="752">
      <c r="A752" s="11"/>
      <c r="B752" s="116"/>
      <c r="C752" s="108"/>
      <c r="D752" s="108"/>
      <c r="E752" s="108"/>
      <c r="F752" s="108"/>
      <c r="G752" s="108"/>
      <c r="H752" s="108"/>
      <c r="I752" s="108"/>
      <c r="J752" s="108"/>
      <c r="K752" s="108"/>
    </row>
    <row r="753">
      <c r="A753" s="11"/>
      <c r="B753" s="116"/>
      <c r="C753" s="108"/>
      <c r="D753" s="108"/>
      <c r="E753" s="108"/>
      <c r="F753" s="108"/>
      <c r="G753" s="108"/>
      <c r="H753" s="108"/>
      <c r="I753" s="108"/>
      <c r="J753" s="108"/>
      <c r="K753" s="108"/>
    </row>
    <row r="754">
      <c r="A754" s="11"/>
      <c r="B754" s="116"/>
      <c r="C754" s="108"/>
      <c r="D754" s="108"/>
      <c r="E754" s="108"/>
      <c r="F754" s="108"/>
      <c r="G754" s="108"/>
      <c r="H754" s="108"/>
      <c r="I754" s="108"/>
      <c r="J754" s="108"/>
      <c r="K754" s="108"/>
    </row>
    <row r="755">
      <c r="A755" s="11"/>
      <c r="B755" s="116"/>
      <c r="C755" s="108"/>
      <c r="D755" s="108"/>
      <c r="E755" s="108"/>
      <c r="F755" s="108"/>
      <c r="G755" s="108"/>
      <c r="H755" s="108"/>
      <c r="I755" s="108"/>
      <c r="J755" s="108"/>
      <c r="K755" s="108"/>
    </row>
    <row r="756">
      <c r="A756" s="11"/>
      <c r="B756" s="116"/>
      <c r="C756" s="108"/>
      <c r="D756" s="108"/>
      <c r="E756" s="108"/>
      <c r="F756" s="108"/>
      <c r="G756" s="108"/>
      <c r="H756" s="108"/>
      <c r="I756" s="108"/>
      <c r="J756" s="108"/>
      <c r="K756" s="108"/>
    </row>
    <row r="757">
      <c r="A757" s="11"/>
      <c r="B757" s="116"/>
      <c r="C757" s="108"/>
      <c r="D757" s="108"/>
      <c r="E757" s="108"/>
      <c r="F757" s="108"/>
      <c r="G757" s="108"/>
      <c r="H757" s="108"/>
      <c r="I757" s="108"/>
      <c r="J757" s="108"/>
      <c r="K757" s="108"/>
    </row>
    <row r="758">
      <c r="A758" s="11"/>
      <c r="B758" s="116"/>
      <c r="C758" s="108"/>
      <c r="D758" s="108"/>
      <c r="E758" s="108"/>
      <c r="F758" s="108"/>
      <c r="G758" s="108"/>
      <c r="H758" s="108"/>
      <c r="I758" s="108"/>
      <c r="J758" s="108"/>
      <c r="K758" s="108"/>
    </row>
    <row r="759">
      <c r="A759" s="11"/>
      <c r="B759" s="116"/>
      <c r="C759" s="108"/>
      <c r="D759" s="108"/>
      <c r="E759" s="108"/>
      <c r="F759" s="108"/>
      <c r="G759" s="108"/>
      <c r="H759" s="108"/>
      <c r="I759" s="108"/>
      <c r="J759" s="108"/>
      <c r="K759" s="108"/>
    </row>
    <row r="760">
      <c r="A760" s="11"/>
      <c r="B760" s="116"/>
      <c r="C760" s="108"/>
      <c r="D760" s="108"/>
      <c r="E760" s="108"/>
      <c r="F760" s="108"/>
      <c r="G760" s="108"/>
      <c r="H760" s="108"/>
      <c r="I760" s="108"/>
      <c r="J760" s="108"/>
      <c r="K760" s="108"/>
    </row>
    <row r="761">
      <c r="A761" s="11"/>
      <c r="B761" s="116"/>
      <c r="C761" s="108"/>
      <c r="D761" s="108"/>
      <c r="E761" s="108"/>
      <c r="F761" s="108"/>
      <c r="G761" s="108"/>
      <c r="H761" s="108"/>
      <c r="I761" s="108"/>
      <c r="J761" s="108"/>
      <c r="K761" s="108"/>
    </row>
    <row r="762">
      <c r="A762" s="11"/>
      <c r="B762" s="116"/>
      <c r="C762" s="108"/>
      <c r="D762" s="108"/>
      <c r="E762" s="108"/>
      <c r="F762" s="108"/>
      <c r="G762" s="108"/>
      <c r="H762" s="108"/>
      <c r="I762" s="108"/>
      <c r="J762" s="108"/>
      <c r="K762" s="108"/>
    </row>
    <row r="763">
      <c r="A763" s="11"/>
      <c r="B763" s="116"/>
      <c r="C763" s="108"/>
      <c r="D763" s="108"/>
      <c r="E763" s="108"/>
      <c r="F763" s="108"/>
      <c r="G763" s="108"/>
      <c r="H763" s="108"/>
      <c r="I763" s="108"/>
      <c r="J763" s="108"/>
      <c r="K763" s="108"/>
    </row>
    <row r="764">
      <c r="A764" s="11"/>
      <c r="B764" s="116"/>
      <c r="C764" s="108"/>
      <c r="D764" s="108"/>
      <c r="E764" s="108"/>
      <c r="F764" s="108"/>
      <c r="G764" s="108"/>
      <c r="H764" s="108"/>
      <c r="I764" s="108"/>
      <c r="J764" s="108"/>
      <c r="K764" s="108"/>
    </row>
    <row r="765">
      <c r="A765" s="11"/>
      <c r="B765" s="116"/>
      <c r="C765" s="108"/>
      <c r="D765" s="108"/>
      <c r="E765" s="108"/>
      <c r="F765" s="108"/>
      <c r="G765" s="108"/>
      <c r="H765" s="108"/>
      <c r="I765" s="108"/>
      <c r="J765" s="108"/>
      <c r="K765" s="108"/>
    </row>
    <row r="766">
      <c r="A766" s="11"/>
      <c r="B766" s="116"/>
      <c r="C766" s="108"/>
      <c r="D766" s="108"/>
      <c r="E766" s="108"/>
      <c r="F766" s="108"/>
      <c r="G766" s="108"/>
      <c r="H766" s="108"/>
      <c r="I766" s="108"/>
      <c r="J766" s="108"/>
      <c r="K766" s="108"/>
    </row>
    <row r="767">
      <c r="A767" s="11"/>
      <c r="B767" s="116"/>
      <c r="C767" s="108"/>
      <c r="D767" s="108"/>
      <c r="E767" s="108"/>
      <c r="F767" s="108"/>
      <c r="G767" s="108"/>
      <c r="H767" s="108"/>
      <c r="I767" s="108"/>
      <c r="J767" s="108"/>
      <c r="K767" s="108"/>
    </row>
    <row r="768">
      <c r="A768" s="11"/>
      <c r="B768" s="116"/>
      <c r="C768" s="108"/>
      <c r="D768" s="108"/>
      <c r="E768" s="108"/>
      <c r="F768" s="108"/>
      <c r="G768" s="108"/>
      <c r="H768" s="108"/>
      <c r="I768" s="108"/>
      <c r="J768" s="108"/>
      <c r="K768" s="108"/>
    </row>
    <row r="769">
      <c r="A769" s="11"/>
      <c r="B769" s="116"/>
      <c r="C769" s="108"/>
      <c r="D769" s="108"/>
      <c r="E769" s="108"/>
      <c r="F769" s="108"/>
      <c r="G769" s="108"/>
      <c r="H769" s="108"/>
      <c r="I769" s="108"/>
      <c r="J769" s="108"/>
      <c r="K769" s="108"/>
    </row>
    <row r="770">
      <c r="A770" s="11"/>
      <c r="B770" s="116"/>
      <c r="C770" s="108"/>
      <c r="D770" s="108"/>
      <c r="E770" s="108"/>
      <c r="F770" s="108"/>
      <c r="G770" s="108"/>
      <c r="H770" s="108"/>
      <c r="I770" s="108"/>
      <c r="J770" s="108"/>
      <c r="K770" s="108"/>
    </row>
    <row r="771">
      <c r="A771" s="11"/>
      <c r="B771" s="116"/>
      <c r="C771" s="108"/>
      <c r="D771" s="108"/>
      <c r="E771" s="108"/>
      <c r="F771" s="108"/>
      <c r="G771" s="108"/>
      <c r="H771" s="108"/>
      <c r="I771" s="108"/>
      <c r="J771" s="108"/>
      <c r="K771" s="108"/>
    </row>
    <row r="772">
      <c r="A772" s="11"/>
      <c r="B772" s="116"/>
      <c r="C772" s="108"/>
      <c r="D772" s="108"/>
      <c r="E772" s="108"/>
      <c r="F772" s="108"/>
      <c r="G772" s="108"/>
      <c r="H772" s="108"/>
      <c r="I772" s="108"/>
      <c r="J772" s="108"/>
      <c r="K772" s="108"/>
    </row>
    <row r="773">
      <c r="A773" s="11"/>
      <c r="B773" s="116"/>
      <c r="C773" s="108"/>
      <c r="D773" s="108"/>
      <c r="E773" s="108"/>
      <c r="F773" s="108"/>
      <c r="G773" s="108"/>
      <c r="H773" s="108"/>
      <c r="I773" s="108"/>
      <c r="J773" s="108"/>
      <c r="K773" s="108"/>
    </row>
    <row r="774">
      <c r="A774" s="11"/>
      <c r="B774" s="116"/>
      <c r="C774" s="108"/>
      <c r="D774" s="108"/>
      <c r="E774" s="108"/>
      <c r="F774" s="108"/>
      <c r="G774" s="108"/>
      <c r="H774" s="108"/>
      <c r="I774" s="108"/>
      <c r="J774" s="108"/>
      <c r="K774" s="108"/>
    </row>
    <row r="775">
      <c r="A775" s="11"/>
      <c r="B775" s="116"/>
      <c r="C775" s="108"/>
      <c r="D775" s="108"/>
      <c r="E775" s="108"/>
      <c r="F775" s="108"/>
      <c r="G775" s="108"/>
      <c r="H775" s="108"/>
      <c r="I775" s="108"/>
      <c r="J775" s="108"/>
      <c r="K775" s="108"/>
    </row>
    <row r="776">
      <c r="A776" s="11"/>
      <c r="B776" s="116"/>
      <c r="C776" s="108"/>
      <c r="D776" s="108"/>
      <c r="E776" s="108"/>
      <c r="F776" s="108"/>
      <c r="G776" s="108"/>
      <c r="H776" s="108"/>
      <c r="I776" s="108"/>
      <c r="J776" s="108"/>
      <c r="K776" s="108"/>
    </row>
    <row r="777">
      <c r="A777" s="11"/>
      <c r="B777" s="116"/>
      <c r="C777" s="108"/>
      <c r="D777" s="108"/>
      <c r="E777" s="108"/>
      <c r="F777" s="108"/>
      <c r="G777" s="108"/>
      <c r="H777" s="108"/>
      <c r="I777" s="108"/>
      <c r="J777" s="108"/>
      <c r="K777" s="108"/>
    </row>
    <row r="778">
      <c r="A778" s="11"/>
      <c r="B778" s="116"/>
      <c r="C778" s="108"/>
      <c r="D778" s="108"/>
      <c r="E778" s="108"/>
      <c r="F778" s="108"/>
      <c r="G778" s="108"/>
      <c r="H778" s="108"/>
      <c r="I778" s="108"/>
      <c r="J778" s="108"/>
      <c r="K778" s="108"/>
    </row>
    <row r="779">
      <c r="A779" s="11"/>
      <c r="B779" s="116"/>
      <c r="C779" s="108"/>
      <c r="D779" s="108"/>
      <c r="E779" s="108"/>
      <c r="F779" s="108"/>
      <c r="G779" s="108"/>
      <c r="H779" s="108"/>
      <c r="I779" s="108"/>
      <c r="J779" s="108"/>
      <c r="K779" s="108"/>
    </row>
    <row r="780">
      <c r="A780" s="11"/>
      <c r="B780" s="116"/>
      <c r="C780" s="108"/>
      <c r="D780" s="108"/>
      <c r="E780" s="108"/>
      <c r="F780" s="108"/>
      <c r="G780" s="108"/>
      <c r="H780" s="108"/>
      <c r="I780" s="108"/>
      <c r="J780" s="108"/>
      <c r="K780" s="108"/>
    </row>
    <row r="781">
      <c r="A781" s="11"/>
      <c r="B781" s="116"/>
      <c r="C781" s="108"/>
      <c r="D781" s="108"/>
      <c r="E781" s="108"/>
      <c r="F781" s="108"/>
      <c r="G781" s="108"/>
      <c r="H781" s="108"/>
      <c r="I781" s="108"/>
      <c r="J781" s="108"/>
      <c r="K781" s="108"/>
    </row>
    <row r="782">
      <c r="A782" s="11"/>
      <c r="B782" s="116"/>
      <c r="C782" s="108"/>
      <c r="D782" s="108"/>
      <c r="E782" s="108"/>
      <c r="F782" s="108"/>
      <c r="G782" s="108"/>
      <c r="H782" s="108"/>
      <c r="I782" s="108"/>
      <c r="J782" s="108"/>
      <c r="K782" s="108"/>
    </row>
    <row r="783">
      <c r="A783" s="11"/>
      <c r="B783" s="116"/>
      <c r="C783" s="108"/>
      <c r="D783" s="108"/>
      <c r="E783" s="108"/>
      <c r="F783" s="108"/>
      <c r="G783" s="108"/>
      <c r="H783" s="108"/>
      <c r="I783" s="108"/>
      <c r="J783" s="108"/>
      <c r="K783" s="108"/>
    </row>
    <row r="784">
      <c r="A784" s="11"/>
      <c r="B784" s="116"/>
      <c r="C784" s="108"/>
      <c r="D784" s="108"/>
      <c r="E784" s="108"/>
      <c r="F784" s="108"/>
      <c r="G784" s="108"/>
      <c r="H784" s="108"/>
      <c r="I784" s="108"/>
      <c r="J784" s="108"/>
      <c r="K784" s="108"/>
    </row>
    <row r="785">
      <c r="A785" s="11"/>
      <c r="B785" s="116"/>
      <c r="C785" s="108"/>
      <c r="D785" s="108"/>
      <c r="E785" s="108"/>
      <c r="F785" s="108"/>
      <c r="G785" s="108"/>
      <c r="H785" s="108"/>
      <c r="I785" s="108"/>
      <c r="J785" s="108"/>
      <c r="K785" s="108"/>
    </row>
    <row r="786">
      <c r="A786" s="11"/>
      <c r="B786" s="116"/>
      <c r="C786" s="108"/>
      <c r="D786" s="108"/>
      <c r="E786" s="108"/>
      <c r="F786" s="108"/>
      <c r="G786" s="108"/>
      <c r="H786" s="108"/>
      <c r="I786" s="108"/>
      <c r="J786" s="108"/>
      <c r="K786" s="108"/>
    </row>
    <row r="787">
      <c r="A787" s="11"/>
      <c r="B787" s="116"/>
      <c r="C787" s="108"/>
      <c r="D787" s="108"/>
      <c r="E787" s="108"/>
      <c r="F787" s="108"/>
      <c r="G787" s="108"/>
      <c r="H787" s="108"/>
      <c r="I787" s="108"/>
      <c r="J787" s="108"/>
      <c r="K787" s="108"/>
    </row>
    <row r="788">
      <c r="A788" s="11"/>
      <c r="B788" s="116"/>
      <c r="C788" s="108"/>
      <c r="D788" s="108"/>
      <c r="E788" s="108"/>
      <c r="F788" s="108"/>
      <c r="G788" s="108"/>
      <c r="H788" s="108"/>
      <c r="I788" s="108"/>
      <c r="J788" s="108"/>
      <c r="K788" s="108"/>
    </row>
    <row r="789">
      <c r="A789" s="11"/>
      <c r="B789" s="116"/>
      <c r="C789" s="108"/>
      <c r="D789" s="108"/>
      <c r="E789" s="108"/>
      <c r="F789" s="108"/>
      <c r="G789" s="108"/>
      <c r="H789" s="108"/>
      <c r="I789" s="108"/>
      <c r="J789" s="108"/>
      <c r="K789" s="108"/>
    </row>
    <row r="790">
      <c r="A790" s="11"/>
      <c r="B790" s="116"/>
      <c r="C790" s="108"/>
      <c r="D790" s="108"/>
      <c r="E790" s="108"/>
      <c r="F790" s="108"/>
      <c r="G790" s="108"/>
      <c r="H790" s="108"/>
      <c r="I790" s="108"/>
      <c r="J790" s="108"/>
      <c r="K790" s="108"/>
    </row>
    <row r="791">
      <c r="A791" s="11"/>
      <c r="B791" s="116"/>
      <c r="C791" s="108"/>
      <c r="D791" s="108"/>
      <c r="E791" s="108"/>
      <c r="F791" s="108"/>
      <c r="G791" s="108"/>
      <c r="H791" s="108"/>
      <c r="I791" s="108"/>
      <c r="J791" s="108"/>
      <c r="K791" s="108"/>
    </row>
    <row r="792">
      <c r="A792" s="11"/>
      <c r="B792" s="116"/>
      <c r="C792" s="108"/>
      <c r="D792" s="108"/>
      <c r="E792" s="108"/>
      <c r="F792" s="108"/>
      <c r="G792" s="108"/>
      <c r="H792" s="108"/>
      <c r="I792" s="108"/>
      <c r="J792" s="108"/>
      <c r="K792" s="108"/>
    </row>
    <row r="793">
      <c r="A793" s="11"/>
      <c r="B793" s="116"/>
      <c r="C793" s="108"/>
      <c r="D793" s="108"/>
      <c r="E793" s="108"/>
      <c r="F793" s="108"/>
      <c r="G793" s="108"/>
      <c r="H793" s="108"/>
      <c r="I793" s="108"/>
      <c r="J793" s="108"/>
      <c r="K793" s="108"/>
    </row>
    <row r="794">
      <c r="A794" s="11"/>
      <c r="B794" s="116"/>
      <c r="C794" s="108"/>
      <c r="D794" s="108"/>
      <c r="E794" s="108"/>
      <c r="F794" s="108"/>
      <c r="G794" s="108"/>
      <c r="H794" s="108"/>
      <c r="I794" s="108"/>
      <c r="J794" s="108"/>
      <c r="K794" s="108"/>
    </row>
    <row r="795">
      <c r="A795" s="11"/>
      <c r="B795" s="116"/>
      <c r="C795" s="108"/>
      <c r="D795" s="108"/>
      <c r="E795" s="108"/>
      <c r="F795" s="108"/>
      <c r="G795" s="108"/>
      <c r="H795" s="108"/>
      <c r="I795" s="108"/>
      <c r="J795" s="108"/>
      <c r="K795" s="108"/>
    </row>
    <row r="796">
      <c r="A796" s="11"/>
      <c r="B796" s="116"/>
      <c r="C796" s="108"/>
      <c r="D796" s="108"/>
      <c r="E796" s="108"/>
      <c r="F796" s="108"/>
      <c r="G796" s="108"/>
      <c r="H796" s="108"/>
      <c r="I796" s="108"/>
      <c r="J796" s="108"/>
      <c r="K796" s="108"/>
    </row>
    <row r="797">
      <c r="A797" s="11"/>
      <c r="B797" s="116"/>
      <c r="C797" s="108"/>
      <c r="D797" s="108"/>
      <c r="E797" s="108"/>
      <c r="F797" s="108"/>
      <c r="G797" s="108"/>
      <c r="H797" s="108"/>
      <c r="I797" s="108"/>
      <c r="J797" s="108"/>
      <c r="K797" s="108"/>
    </row>
    <row r="798">
      <c r="A798" s="11"/>
      <c r="B798" s="116"/>
      <c r="C798" s="108"/>
      <c r="D798" s="108"/>
      <c r="E798" s="108"/>
      <c r="F798" s="108"/>
      <c r="G798" s="108"/>
      <c r="H798" s="108"/>
      <c r="I798" s="108"/>
      <c r="J798" s="108"/>
      <c r="K798" s="108"/>
    </row>
    <row r="799">
      <c r="A799" s="11"/>
      <c r="B799" s="116"/>
      <c r="C799" s="108"/>
      <c r="D799" s="108"/>
      <c r="E799" s="108"/>
      <c r="F799" s="108"/>
      <c r="G799" s="108"/>
      <c r="H799" s="108"/>
      <c r="I799" s="108"/>
      <c r="J799" s="108"/>
      <c r="K799" s="108"/>
    </row>
    <row r="800">
      <c r="A800" s="11"/>
      <c r="B800" s="116"/>
      <c r="C800" s="108"/>
      <c r="D800" s="108"/>
      <c r="E800" s="108"/>
      <c r="F800" s="108"/>
      <c r="G800" s="108"/>
      <c r="H800" s="108"/>
      <c r="I800" s="108"/>
      <c r="J800" s="108"/>
      <c r="K800" s="108"/>
    </row>
    <row r="801">
      <c r="A801" s="11"/>
      <c r="B801" s="116"/>
      <c r="C801" s="108"/>
      <c r="D801" s="108"/>
      <c r="E801" s="108"/>
      <c r="F801" s="108"/>
      <c r="G801" s="108"/>
      <c r="H801" s="108"/>
      <c r="I801" s="108"/>
      <c r="J801" s="108"/>
      <c r="K801" s="108"/>
    </row>
    <row r="802">
      <c r="A802" s="11"/>
      <c r="B802" s="116"/>
      <c r="C802" s="108"/>
      <c r="D802" s="108"/>
      <c r="E802" s="108"/>
      <c r="F802" s="108"/>
      <c r="G802" s="108"/>
      <c r="H802" s="108"/>
      <c r="I802" s="108"/>
      <c r="J802" s="108"/>
      <c r="K802" s="108"/>
    </row>
    <row r="803">
      <c r="A803" s="11"/>
      <c r="B803" s="116"/>
      <c r="C803" s="108"/>
      <c r="D803" s="108"/>
      <c r="E803" s="108"/>
      <c r="F803" s="108"/>
      <c r="G803" s="108"/>
      <c r="H803" s="108"/>
      <c r="I803" s="108"/>
      <c r="J803" s="108"/>
      <c r="K803" s="108"/>
    </row>
    <row r="804">
      <c r="A804" s="11"/>
      <c r="B804" s="116"/>
      <c r="C804" s="108"/>
      <c r="D804" s="108"/>
      <c r="E804" s="108"/>
      <c r="F804" s="108"/>
      <c r="G804" s="108"/>
      <c r="H804" s="108"/>
      <c r="I804" s="108"/>
      <c r="J804" s="108"/>
      <c r="K804" s="108"/>
    </row>
    <row r="805">
      <c r="A805" s="11"/>
      <c r="B805" s="116"/>
      <c r="C805" s="108"/>
      <c r="D805" s="108"/>
      <c r="E805" s="108"/>
      <c r="F805" s="108"/>
      <c r="G805" s="108"/>
      <c r="H805" s="108"/>
      <c r="I805" s="108"/>
      <c r="J805" s="108"/>
      <c r="K805" s="108"/>
    </row>
    <row r="806">
      <c r="A806" s="11"/>
      <c r="B806" s="116"/>
      <c r="C806" s="108"/>
      <c r="D806" s="108"/>
      <c r="E806" s="108"/>
      <c r="F806" s="108"/>
      <c r="G806" s="108"/>
      <c r="H806" s="108"/>
      <c r="I806" s="108"/>
      <c r="J806" s="108"/>
      <c r="K806" s="108"/>
    </row>
    <row r="807">
      <c r="A807" s="11"/>
      <c r="B807" s="116"/>
      <c r="C807" s="108"/>
      <c r="D807" s="108"/>
      <c r="E807" s="108"/>
      <c r="F807" s="108"/>
      <c r="G807" s="108"/>
      <c r="H807" s="108"/>
      <c r="I807" s="108"/>
      <c r="J807" s="108"/>
      <c r="K807" s="108"/>
    </row>
    <row r="808">
      <c r="A808" s="11"/>
      <c r="B808" s="116"/>
      <c r="C808" s="108"/>
      <c r="D808" s="108"/>
      <c r="E808" s="108"/>
      <c r="F808" s="108"/>
      <c r="G808" s="108"/>
      <c r="H808" s="108"/>
      <c r="I808" s="108"/>
      <c r="J808" s="108"/>
      <c r="K808" s="108"/>
    </row>
    <row r="809">
      <c r="A809" s="11"/>
      <c r="B809" s="116"/>
      <c r="C809" s="108"/>
      <c r="D809" s="108"/>
      <c r="E809" s="108"/>
      <c r="F809" s="108"/>
      <c r="G809" s="108"/>
      <c r="H809" s="108"/>
      <c r="I809" s="108"/>
      <c r="J809" s="108"/>
      <c r="K809" s="108"/>
    </row>
    <row r="810">
      <c r="A810" s="11"/>
      <c r="B810" s="116"/>
      <c r="C810" s="108"/>
      <c r="D810" s="108"/>
      <c r="E810" s="108"/>
      <c r="F810" s="108"/>
      <c r="G810" s="108"/>
      <c r="H810" s="108"/>
      <c r="I810" s="108"/>
      <c r="J810" s="108"/>
      <c r="K810" s="108"/>
    </row>
    <row r="811">
      <c r="A811" s="11"/>
      <c r="B811" s="116"/>
      <c r="C811" s="108"/>
      <c r="D811" s="108"/>
      <c r="E811" s="108"/>
      <c r="F811" s="108"/>
      <c r="G811" s="108"/>
      <c r="H811" s="108"/>
      <c r="I811" s="108"/>
      <c r="J811" s="108"/>
      <c r="K811" s="108"/>
    </row>
    <row r="812">
      <c r="A812" s="11"/>
      <c r="B812" s="116"/>
      <c r="C812" s="108"/>
      <c r="D812" s="108"/>
      <c r="E812" s="108"/>
      <c r="F812" s="108"/>
      <c r="G812" s="108"/>
      <c r="H812" s="108"/>
      <c r="I812" s="108"/>
      <c r="J812" s="108"/>
      <c r="K812" s="108"/>
    </row>
    <row r="813">
      <c r="A813" s="11"/>
      <c r="B813" s="116"/>
      <c r="C813" s="108"/>
      <c r="D813" s="108"/>
      <c r="E813" s="108"/>
      <c r="F813" s="108"/>
      <c r="G813" s="108"/>
      <c r="H813" s="108"/>
      <c r="I813" s="108"/>
      <c r="J813" s="108"/>
      <c r="K813" s="108"/>
    </row>
    <row r="814">
      <c r="A814" s="11"/>
      <c r="B814" s="116"/>
      <c r="C814" s="108"/>
      <c r="D814" s="108"/>
      <c r="E814" s="108"/>
      <c r="F814" s="108"/>
      <c r="G814" s="108"/>
      <c r="H814" s="108"/>
      <c r="I814" s="108"/>
      <c r="J814" s="108"/>
      <c r="K814" s="108"/>
    </row>
    <row r="815">
      <c r="A815" s="11"/>
      <c r="B815" s="116"/>
      <c r="C815" s="108"/>
      <c r="D815" s="108"/>
      <c r="E815" s="108"/>
      <c r="F815" s="108"/>
      <c r="G815" s="108"/>
      <c r="H815" s="108"/>
      <c r="I815" s="108"/>
      <c r="J815" s="108"/>
      <c r="K815" s="108"/>
    </row>
    <row r="816">
      <c r="A816" s="11"/>
      <c r="B816" s="116"/>
      <c r="C816" s="108"/>
      <c r="D816" s="108"/>
      <c r="E816" s="108"/>
      <c r="F816" s="108"/>
      <c r="G816" s="108"/>
      <c r="H816" s="108"/>
      <c r="I816" s="108"/>
      <c r="J816" s="108"/>
      <c r="K816" s="108"/>
    </row>
    <row r="817">
      <c r="A817" s="11"/>
      <c r="B817" s="116"/>
      <c r="C817" s="108"/>
      <c r="D817" s="108"/>
      <c r="E817" s="108"/>
      <c r="F817" s="108"/>
      <c r="G817" s="108"/>
      <c r="H817" s="108"/>
      <c r="I817" s="108"/>
      <c r="J817" s="108"/>
      <c r="K817" s="108"/>
    </row>
    <row r="818">
      <c r="A818" s="11"/>
      <c r="B818" s="116"/>
      <c r="C818" s="108"/>
      <c r="D818" s="108"/>
      <c r="E818" s="108"/>
      <c r="F818" s="108"/>
      <c r="G818" s="108"/>
      <c r="H818" s="108"/>
      <c r="I818" s="108"/>
      <c r="J818" s="108"/>
      <c r="K818" s="108"/>
    </row>
    <row r="819">
      <c r="A819" s="11"/>
      <c r="B819" s="116"/>
      <c r="C819" s="108"/>
      <c r="D819" s="108"/>
      <c r="E819" s="108"/>
      <c r="F819" s="108"/>
      <c r="G819" s="108"/>
      <c r="H819" s="108"/>
      <c r="I819" s="108"/>
      <c r="J819" s="108"/>
      <c r="K819" s="108"/>
    </row>
    <row r="820">
      <c r="A820" s="11"/>
      <c r="B820" s="116"/>
      <c r="C820" s="108"/>
      <c r="D820" s="108"/>
      <c r="E820" s="108"/>
      <c r="F820" s="108"/>
      <c r="G820" s="108"/>
      <c r="H820" s="108"/>
      <c r="I820" s="108"/>
      <c r="J820" s="108"/>
      <c r="K820" s="108"/>
    </row>
    <row r="821">
      <c r="A821" s="11"/>
      <c r="B821" s="116"/>
      <c r="C821" s="108"/>
      <c r="D821" s="108"/>
      <c r="E821" s="108"/>
      <c r="F821" s="108"/>
      <c r="G821" s="108"/>
      <c r="H821" s="108"/>
      <c r="I821" s="108"/>
      <c r="J821" s="108"/>
      <c r="K821" s="108"/>
    </row>
    <row r="822">
      <c r="A822" s="11"/>
      <c r="B822" s="116"/>
      <c r="C822" s="108"/>
      <c r="D822" s="108"/>
      <c r="E822" s="108"/>
      <c r="F822" s="108"/>
      <c r="G822" s="108"/>
      <c r="H822" s="108"/>
      <c r="I822" s="108"/>
      <c r="J822" s="108"/>
      <c r="K822" s="108"/>
    </row>
    <row r="823">
      <c r="A823" s="11"/>
      <c r="B823" s="116"/>
      <c r="C823" s="108"/>
      <c r="D823" s="108"/>
      <c r="E823" s="108"/>
      <c r="F823" s="108"/>
      <c r="G823" s="108"/>
      <c r="H823" s="108"/>
      <c r="I823" s="108"/>
      <c r="J823" s="108"/>
      <c r="K823" s="108"/>
    </row>
    <row r="824">
      <c r="A824" s="11"/>
      <c r="B824" s="116"/>
      <c r="C824" s="108"/>
      <c r="D824" s="108"/>
      <c r="E824" s="108"/>
      <c r="F824" s="108"/>
      <c r="G824" s="108"/>
      <c r="H824" s="108"/>
      <c r="I824" s="108"/>
      <c r="J824" s="108"/>
      <c r="K824" s="108"/>
    </row>
    <row r="825">
      <c r="A825" s="11"/>
      <c r="B825" s="116"/>
      <c r="C825" s="108"/>
      <c r="D825" s="108"/>
      <c r="E825" s="108"/>
      <c r="F825" s="108"/>
      <c r="G825" s="108"/>
      <c r="H825" s="108"/>
      <c r="I825" s="108"/>
      <c r="J825" s="108"/>
      <c r="K825" s="108"/>
    </row>
    <row r="826">
      <c r="A826" s="11"/>
      <c r="B826" s="116"/>
      <c r="C826" s="108"/>
      <c r="D826" s="108"/>
      <c r="E826" s="108"/>
      <c r="F826" s="108"/>
      <c r="G826" s="108"/>
      <c r="H826" s="108"/>
      <c r="I826" s="108"/>
      <c r="J826" s="108"/>
      <c r="K826" s="108"/>
    </row>
    <row r="827">
      <c r="A827" s="11"/>
      <c r="B827" s="116"/>
      <c r="C827" s="108"/>
      <c r="D827" s="108"/>
      <c r="E827" s="108"/>
      <c r="F827" s="108"/>
      <c r="G827" s="108"/>
      <c r="H827" s="108"/>
      <c r="I827" s="108"/>
      <c r="J827" s="108"/>
      <c r="K827" s="108"/>
    </row>
    <row r="828">
      <c r="A828" s="11"/>
      <c r="B828" s="116"/>
      <c r="C828" s="108"/>
      <c r="D828" s="108"/>
      <c r="E828" s="108"/>
      <c r="F828" s="108"/>
      <c r="G828" s="108"/>
      <c r="H828" s="108"/>
      <c r="I828" s="108"/>
      <c r="J828" s="108"/>
      <c r="K828" s="108"/>
    </row>
    <row r="829">
      <c r="A829" s="11"/>
      <c r="B829" s="116"/>
      <c r="C829" s="108"/>
      <c r="D829" s="108"/>
      <c r="E829" s="108"/>
      <c r="F829" s="108"/>
      <c r="G829" s="108"/>
      <c r="H829" s="108"/>
      <c r="I829" s="108"/>
      <c r="J829" s="108"/>
      <c r="K829" s="108"/>
    </row>
    <row r="830">
      <c r="A830" s="11"/>
      <c r="B830" s="116"/>
      <c r="C830" s="108"/>
      <c r="D830" s="108"/>
      <c r="E830" s="108"/>
      <c r="F830" s="108"/>
      <c r="G830" s="108"/>
      <c r="H830" s="108"/>
      <c r="I830" s="108"/>
      <c r="J830" s="108"/>
      <c r="K830" s="108"/>
    </row>
    <row r="831">
      <c r="A831" s="11"/>
      <c r="B831" s="116"/>
      <c r="C831" s="108"/>
      <c r="D831" s="108"/>
      <c r="E831" s="108"/>
      <c r="F831" s="108"/>
      <c r="G831" s="108"/>
      <c r="H831" s="108"/>
      <c r="I831" s="108"/>
      <c r="J831" s="108"/>
      <c r="K831" s="108"/>
    </row>
    <row r="832">
      <c r="A832" s="11"/>
      <c r="B832" s="116"/>
      <c r="C832" s="108"/>
      <c r="D832" s="108"/>
      <c r="E832" s="108"/>
      <c r="F832" s="108"/>
      <c r="G832" s="108"/>
      <c r="H832" s="108"/>
      <c r="I832" s="108"/>
      <c r="J832" s="108"/>
      <c r="K832" s="108"/>
    </row>
    <row r="833">
      <c r="A833" s="11"/>
      <c r="B833" s="116"/>
      <c r="C833" s="108"/>
      <c r="D833" s="108"/>
      <c r="E833" s="108"/>
      <c r="F833" s="108"/>
      <c r="G833" s="108"/>
      <c r="H833" s="108"/>
      <c r="I833" s="108"/>
      <c r="J833" s="108"/>
      <c r="K833" s="108"/>
    </row>
    <row r="834">
      <c r="A834" s="11"/>
      <c r="B834" s="116"/>
      <c r="C834" s="108"/>
      <c r="D834" s="108"/>
      <c r="E834" s="108"/>
      <c r="F834" s="108"/>
      <c r="G834" s="108"/>
      <c r="H834" s="108"/>
      <c r="I834" s="108"/>
      <c r="J834" s="108"/>
      <c r="K834" s="108"/>
    </row>
    <row r="835">
      <c r="A835" s="11"/>
      <c r="B835" s="116"/>
      <c r="C835" s="108"/>
      <c r="D835" s="108"/>
      <c r="E835" s="108"/>
      <c r="F835" s="108"/>
      <c r="G835" s="108"/>
      <c r="H835" s="108"/>
      <c r="I835" s="108"/>
      <c r="J835" s="108"/>
      <c r="K835" s="108"/>
    </row>
    <row r="836">
      <c r="A836" s="11"/>
      <c r="B836" s="116"/>
      <c r="C836" s="108"/>
      <c r="D836" s="108"/>
      <c r="E836" s="108"/>
      <c r="F836" s="108"/>
      <c r="G836" s="108"/>
      <c r="H836" s="108"/>
      <c r="I836" s="108"/>
      <c r="J836" s="108"/>
      <c r="K836" s="108"/>
    </row>
    <row r="837">
      <c r="A837" s="11"/>
      <c r="B837" s="116"/>
      <c r="C837" s="108"/>
      <c r="D837" s="108"/>
      <c r="E837" s="108"/>
      <c r="F837" s="108"/>
      <c r="G837" s="108"/>
      <c r="H837" s="108"/>
      <c r="I837" s="108"/>
      <c r="J837" s="108"/>
      <c r="K837" s="108"/>
    </row>
    <row r="838">
      <c r="A838" s="11"/>
      <c r="B838" s="116"/>
      <c r="C838" s="108"/>
      <c r="D838" s="108"/>
      <c r="E838" s="108"/>
      <c r="F838" s="108"/>
      <c r="G838" s="108"/>
      <c r="H838" s="108"/>
      <c r="I838" s="108"/>
      <c r="J838" s="108"/>
      <c r="K838" s="108"/>
    </row>
    <row r="839">
      <c r="A839" s="11"/>
      <c r="B839" s="116"/>
      <c r="C839" s="108"/>
      <c r="D839" s="108"/>
      <c r="E839" s="108"/>
      <c r="F839" s="108"/>
      <c r="G839" s="108"/>
      <c r="H839" s="108"/>
      <c r="I839" s="108"/>
      <c r="J839" s="108"/>
      <c r="K839" s="108"/>
    </row>
    <row r="840">
      <c r="A840" s="11"/>
      <c r="B840" s="116"/>
      <c r="C840" s="108"/>
      <c r="D840" s="108"/>
      <c r="E840" s="108"/>
      <c r="F840" s="108"/>
      <c r="G840" s="108"/>
      <c r="H840" s="108"/>
      <c r="I840" s="108"/>
      <c r="J840" s="108"/>
      <c r="K840" s="108"/>
    </row>
    <row r="841">
      <c r="A841" s="11"/>
      <c r="B841" s="116"/>
      <c r="C841" s="108"/>
      <c r="D841" s="108"/>
      <c r="E841" s="108"/>
      <c r="F841" s="108"/>
      <c r="G841" s="108"/>
      <c r="H841" s="108"/>
      <c r="I841" s="108"/>
      <c r="J841" s="108"/>
      <c r="K841" s="108"/>
    </row>
    <row r="842">
      <c r="A842" s="11"/>
      <c r="B842" s="116"/>
      <c r="C842" s="108"/>
      <c r="D842" s="108"/>
      <c r="E842" s="108"/>
      <c r="F842" s="108"/>
      <c r="G842" s="108"/>
      <c r="H842" s="108"/>
      <c r="I842" s="108"/>
      <c r="J842" s="108"/>
      <c r="K842" s="108"/>
    </row>
    <row r="843">
      <c r="A843" s="11"/>
      <c r="B843" s="116"/>
      <c r="C843" s="108"/>
      <c r="D843" s="108"/>
      <c r="E843" s="108"/>
      <c r="F843" s="108"/>
      <c r="G843" s="108"/>
      <c r="H843" s="108"/>
      <c r="I843" s="108"/>
      <c r="J843" s="108"/>
      <c r="K843" s="108"/>
    </row>
    <row r="844">
      <c r="A844" s="11"/>
      <c r="B844" s="116"/>
      <c r="C844" s="108"/>
      <c r="D844" s="108"/>
      <c r="E844" s="108"/>
      <c r="F844" s="108"/>
      <c r="G844" s="108"/>
      <c r="H844" s="108"/>
      <c r="I844" s="108"/>
      <c r="J844" s="108"/>
      <c r="K844" s="108"/>
    </row>
    <row r="845">
      <c r="A845" s="11"/>
      <c r="B845" s="116"/>
      <c r="C845" s="108"/>
      <c r="D845" s="108"/>
      <c r="E845" s="108"/>
      <c r="F845" s="108"/>
      <c r="G845" s="108"/>
      <c r="H845" s="108"/>
      <c r="I845" s="108"/>
      <c r="J845" s="108"/>
      <c r="K845" s="108"/>
    </row>
    <row r="846">
      <c r="A846" s="11"/>
      <c r="B846" s="116"/>
      <c r="C846" s="108"/>
      <c r="D846" s="108"/>
      <c r="E846" s="108"/>
      <c r="F846" s="108"/>
      <c r="G846" s="108"/>
      <c r="H846" s="108"/>
      <c r="I846" s="108"/>
      <c r="J846" s="108"/>
      <c r="K846" s="108"/>
    </row>
    <row r="847">
      <c r="A847" s="11"/>
      <c r="B847" s="116"/>
      <c r="C847" s="108"/>
      <c r="D847" s="108"/>
      <c r="E847" s="108"/>
      <c r="F847" s="108"/>
      <c r="G847" s="108"/>
      <c r="H847" s="108"/>
      <c r="I847" s="108"/>
      <c r="J847" s="108"/>
      <c r="K847" s="108"/>
    </row>
    <row r="848">
      <c r="A848" s="11"/>
      <c r="B848" s="116"/>
      <c r="C848" s="108"/>
      <c r="D848" s="108"/>
      <c r="E848" s="108"/>
      <c r="F848" s="108"/>
      <c r="G848" s="108"/>
      <c r="H848" s="108"/>
      <c r="I848" s="108"/>
      <c r="J848" s="108"/>
      <c r="K848" s="108"/>
    </row>
    <row r="849">
      <c r="A849" s="11"/>
      <c r="B849" s="116"/>
      <c r="C849" s="108"/>
      <c r="D849" s="108"/>
      <c r="E849" s="108"/>
      <c r="F849" s="108"/>
      <c r="G849" s="108"/>
      <c r="H849" s="108"/>
      <c r="I849" s="108"/>
      <c r="J849" s="108"/>
      <c r="K849" s="108"/>
    </row>
    <row r="850">
      <c r="A850" s="11"/>
      <c r="B850" s="116"/>
      <c r="C850" s="108"/>
      <c r="D850" s="108"/>
      <c r="E850" s="108"/>
      <c r="F850" s="108"/>
      <c r="G850" s="108"/>
      <c r="H850" s="108"/>
      <c r="I850" s="108"/>
      <c r="J850" s="108"/>
      <c r="K850" s="108"/>
    </row>
    <row r="851">
      <c r="A851" s="11"/>
      <c r="B851" s="116"/>
      <c r="C851" s="108"/>
      <c r="D851" s="108"/>
      <c r="E851" s="108"/>
      <c r="F851" s="108"/>
      <c r="G851" s="108"/>
      <c r="H851" s="108"/>
      <c r="I851" s="108"/>
      <c r="J851" s="108"/>
      <c r="K851" s="108"/>
    </row>
    <row r="852">
      <c r="A852" s="11"/>
      <c r="B852" s="116"/>
      <c r="C852" s="108"/>
      <c r="D852" s="108"/>
      <c r="E852" s="108"/>
      <c r="F852" s="108"/>
      <c r="G852" s="108"/>
      <c r="H852" s="108"/>
      <c r="I852" s="108"/>
      <c r="J852" s="108"/>
      <c r="K852" s="108"/>
    </row>
    <row r="853">
      <c r="A853" s="11"/>
      <c r="B853" s="116"/>
      <c r="C853" s="108"/>
      <c r="D853" s="108"/>
      <c r="E853" s="108"/>
      <c r="F853" s="108"/>
      <c r="G853" s="108"/>
      <c r="H853" s="108"/>
      <c r="I853" s="108"/>
      <c r="J853" s="108"/>
      <c r="K853" s="108"/>
    </row>
    <row r="854">
      <c r="A854" s="11"/>
      <c r="B854" s="116"/>
      <c r="C854" s="108"/>
      <c r="D854" s="108"/>
      <c r="E854" s="108"/>
      <c r="F854" s="108"/>
      <c r="G854" s="108"/>
      <c r="H854" s="108"/>
      <c r="I854" s="108"/>
      <c r="J854" s="108"/>
      <c r="K854" s="108"/>
    </row>
    <row r="855">
      <c r="A855" s="11"/>
      <c r="B855" s="116"/>
      <c r="C855" s="108"/>
      <c r="D855" s="108"/>
      <c r="E855" s="108"/>
      <c r="F855" s="108"/>
      <c r="G855" s="108"/>
      <c r="H855" s="108"/>
      <c r="I855" s="108"/>
      <c r="J855" s="108"/>
      <c r="K855" s="108"/>
    </row>
    <row r="856">
      <c r="A856" s="11"/>
      <c r="B856" s="116"/>
      <c r="C856" s="108"/>
      <c r="D856" s="108"/>
      <c r="E856" s="108"/>
      <c r="F856" s="108"/>
      <c r="G856" s="108"/>
      <c r="H856" s="108"/>
      <c r="I856" s="108"/>
      <c r="J856" s="108"/>
      <c r="K856" s="108"/>
    </row>
    <row r="857">
      <c r="A857" s="11"/>
      <c r="B857" s="116"/>
      <c r="C857" s="108"/>
      <c r="D857" s="108"/>
      <c r="E857" s="108"/>
      <c r="F857" s="108"/>
      <c r="G857" s="108"/>
      <c r="H857" s="108"/>
      <c r="I857" s="108"/>
      <c r="J857" s="108"/>
      <c r="K857" s="108"/>
    </row>
    <row r="858">
      <c r="A858" s="11"/>
      <c r="B858" s="116"/>
      <c r="C858" s="108"/>
      <c r="D858" s="108"/>
      <c r="E858" s="108"/>
      <c r="F858" s="108"/>
      <c r="G858" s="108"/>
      <c r="H858" s="108"/>
      <c r="I858" s="108"/>
      <c r="J858" s="108"/>
      <c r="K858" s="108"/>
    </row>
    <row r="859">
      <c r="A859" s="11"/>
      <c r="B859" s="116"/>
      <c r="C859" s="108"/>
      <c r="D859" s="108"/>
      <c r="E859" s="108"/>
      <c r="F859" s="108"/>
      <c r="G859" s="108"/>
      <c r="H859" s="108"/>
      <c r="I859" s="108"/>
      <c r="J859" s="108"/>
      <c r="K859" s="108"/>
    </row>
    <row r="860">
      <c r="A860" s="11"/>
      <c r="B860" s="116"/>
      <c r="C860" s="108"/>
      <c r="D860" s="108"/>
      <c r="E860" s="108"/>
      <c r="F860" s="108"/>
      <c r="G860" s="108"/>
      <c r="H860" s="108"/>
      <c r="I860" s="108"/>
      <c r="J860" s="108"/>
      <c r="K860" s="108"/>
    </row>
    <row r="861">
      <c r="A861" s="11"/>
      <c r="B861" s="116"/>
      <c r="C861" s="108"/>
      <c r="D861" s="108"/>
      <c r="E861" s="108"/>
      <c r="F861" s="108"/>
      <c r="G861" s="108"/>
      <c r="H861" s="108"/>
      <c r="I861" s="108"/>
      <c r="J861" s="108"/>
      <c r="K861" s="108"/>
    </row>
    <row r="862">
      <c r="A862" s="11"/>
      <c r="B862" s="116"/>
      <c r="C862" s="108"/>
      <c r="D862" s="108"/>
      <c r="E862" s="108"/>
      <c r="F862" s="108"/>
      <c r="G862" s="108"/>
      <c r="H862" s="108"/>
      <c r="I862" s="108"/>
      <c r="J862" s="108"/>
      <c r="K862" s="108"/>
    </row>
    <row r="863">
      <c r="A863" s="11"/>
      <c r="B863" s="116"/>
      <c r="C863" s="108"/>
      <c r="D863" s="108"/>
      <c r="E863" s="108"/>
      <c r="F863" s="108"/>
      <c r="G863" s="108"/>
      <c r="H863" s="108"/>
      <c r="I863" s="108"/>
      <c r="J863" s="108"/>
      <c r="K863" s="108"/>
    </row>
    <row r="864">
      <c r="A864" s="11"/>
      <c r="B864" s="116"/>
      <c r="C864" s="108"/>
      <c r="D864" s="108"/>
      <c r="E864" s="108"/>
      <c r="F864" s="108"/>
      <c r="G864" s="108"/>
      <c r="H864" s="108"/>
      <c r="I864" s="108"/>
      <c r="J864" s="108"/>
      <c r="K864" s="108"/>
    </row>
    <row r="865">
      <c r="A865" s="11"/>
      <c r="B865" s="116"/>
      <c r="C865" s="108"/>
      <c r="D865" s="108"/>
      <c r="E865" s="108"/>
      <c r="F865" s="108"/>
      <c r="G865" s="108"/>
      <c r="H865" s="108"/>
      <c r="I865" s="108"/>
      <c r="J865" s="108"/>
      <c r="K865" s="108"/>
    </row>
    <row r="866">
      <c r="A866" s="11"/>
      <c r="B866" s="116"/>
      <c r="C866" s="108"/>
      <c r="D866" s="108"/>
      <c r="E866" s="108"/>
      <c r="F866" s="108"/>
      <c r="G866" s="108"/>
      <c r="H866" s="108"/>
      <c r="I866" s="108"/>
      <c r="J866" s="108"/>
      <c r="K866" s="108"/>
    </row>
    <row r="867">
      <c r="A867" s="11"/>
      <c r="B867" s="116"/>
      <c r="C867" s="108"/>
      <c r="D867" s="108"/>
      <c r="E867" s="108"/>
      <c r="F867" s="108"/>
      <c r="G867" s="108"/>
      <c r="H867" s="108"/>
      <c r="I867" s="108"/>
      <c r="J867" s="108"/>
      <c r="K867" s="108"/>
    </row>
    <row r="868">
      <c r="A868" s="11"/>
      <c r="B868" s="116"/>
      <c r="C868" s="108"/>
      <c r="D868" s="108"/>
      <c r="E868" s="108"/>
      <c r="F868" s="108"/>
      <c r="G868" s="108"/>
      <c r="H868" s="108"/>
      <c r="I868" s="108"/>
      <c r="J868" s="108"/>
      <c r="K868" s="108"/>
    </row>
    <row r="869">
      <c r="A869" s="11"/>
      <c r="B869" s="116"/>
      <c r="C869" s="108"/>
      <c r="D869" s="108"/>
      <c r="E869" s="108"/>
      <c r="F869" s="108"/>
      <c r="G869" s="108"/>
      <c r="H869" s="108"/>
      <c r="I869" s="108"/>
      <c r="J869" s="108"/>
      <c r="K869" s="108"/>
    </row>
    <row r="870">
      <c r="A870" s="11"/>
      <c r="B870" s="116"/>
      <c r="C870" s="108"/>
      <c r="D870" s="108"/>
      <c r="E870" s="108"/>
      <c r="F870" s="108"/>
      <c r="G870" s="108"/>
      <c r="H870" s="108"/>
      <c r="I870" s="108"/>
      <c r="J870" s="108"/>
      <c r="K870" s="108"/>
    </row>
    <row r="871">
      <c r="A871" s="11"/>
      <c r="B871" s="116"/>
      <c r="C871" s="108"/>
      <c r="D871" s="108"/>
      <c r="E871" s="108"/>
      <c r="F871" s="108"/>
      <c r="G871" s="108"/>
      <c r="H871" s="108"/>
      <c r="I871" s="108"/>
      <c r="J871" s="108"/>
      <c r="K871" s="108"/>
    </row>
    <row r="872">
      <c r="A872" s="11"/>
      <c r="B872" s="116"/>
      <c r="C872" s="108"/>
      <c r="D872" s="108"/>
      <c r="E872" s="108"/>
      <c r="F872" s="108"/>
      <c r="G872" s="108"/>
      <c r="H872" s="108"/>
      <c r="I872" s="108"/>
      <c r="J872" s="108"/>
      <c r="K872" s="108"/>
    </row>
    <row r="873">
      <c r="A873" s="11"/>
      <c r="B873" s="116"/>
      <c r="C873" s="108"/>
      <c r="D873" s="108"/>
      <c r="E873" s="108"/>
      <c r="F873" s="108"/>
      <c r="G873" s="108"/>
      <c r="H873" s="108"/>
      <c r="I873" s="108"/>
      <c r="J873" s="108"/>
      <c r="K873" s="108"/>
    </row>
    <row r="874">
      <c r="A874" s="11"/>
      <c r="B874" s="116"/>
      <c r="C874" s="108"/>
      <c r="D874" s="108"/>
      <c r="E874" s="108"/>
      <c r="F874" s="108"/>
      <c r="G874" s="108"/>
      <c r="H874" s="108"/>
      <c r="I874" s="108"/>
      <c r="J874" s="108"/>
      <c r="K874" s="108"/>
    </row>
    <row r="875">
      <c r="A875" s="11"/>
      <c r="B875" s="116"/>
      <c r="C875" s="108"/>
      <c r="D875" s="108"/>
      <c r="E875" s="108"/>
      <c r="F875" s="108"/>
      <c r="G875" s="108"/>
      <c r="H875" s="108"/>
      <c r="I875" s="108"/>
      <c r="J875" s="108"/>
      <c r="K875" s="108"/>
    </row>
    <row r="876">
      <c r="A876" s="11"/>
      <c r="B876" s="116"/>
      <c r="C876" s="108"/>
      <c r="D876" s="108"/>
      <c r="E876" s="108"/>
      <c r="F876" s="108"/>
      <c r="G876" s="108"/>
      <c r="H876" s="108"/>
      <c r="I876" s="108"/>
      <c r="J876" s="108"/>
      <c r="K876" s="108"/>
    </row>
    <row r="877">
      <c r="A877" s="11"/>
      <c r="B877" s="116"/>
      <c r="C877" s="108"/>
      <c r="D877" s="108"/>
      <c r="E877" s="108"/>
      <c r="F877" s="108"/>
      <c r="G877" s="108"/>
      <c r="H877" s="108"/>
      <c r="I877" s="108"/>
      <c r="J877" s="108"/>
      <c r="K877" s="108"/>
    </row>
    <row r="878">
      <c r="A878" s="11"/>
      <c r="B878" s="116"/>
      <c r="C878" s="108"/>
      <c r="D878" s="108"/>
      <c r="E878" s="108"/>
      <c r="F878" s="108"/>
      <c r="G878" s="108"/>
      <c r="H878" s="108"/>
      <c r="I878" s="108"/>
      <c r="J878" s="108"/>
      <c r="K878" s="108"/>
    </row>
    <row r="879">
      <c r="A879" s="11"/>
      <c r="B879" s="116"/>
      <c r="C879" s="108"/>
      <c r="D879" s="108"/>
      <c r="E879" s="108"/>
      <c r="F879" s="108"/>
      <c r="G879" s="108"/>
      <c r="H879" s="108"/>
      <c r="I879" s="108"/>
      <c r="J879" s="108"/>
      <c r="K879" s="108"/>
    </row>
    <row r="880">
      <c r="A880" s="11"/>
      <c r="B880" s="116"/>
      <c r="C880" s="108"/>
      <c r="D880" s="108"/>
      <c r="E880" s="108"/>
      <c r="F880" s="108"/>
      <c r="G880" s="108"/>
      <c r="H880" s="108"/>
      <c r="I880" s="108"/>
      <c r="J880" s="108"/>
      <c r="K880" s="108"/>
    </row>
    <row r="881">
      <c r="A881" s="11"/>
      <c r="B881" s="116"/>
      <c r="C881" s="108"/>
      <c r="D881" s="108"/>
      <c r="E881" s="108"/>
      <c r="F881" s="108"/>
      <c r="G881" s="108"/>
      <c r="H881" s="108"/>
      <c r="I881" s="108"/>
      <c r="J881" s="108"/>
      <c r="K881" s="108"/>
    </row>
    <row r="882">
      <c r="A882" s="11"/>
      <c r="B882" s="116"/>
      <c r="C882" s="108"/>
      <c r="D882" s="108"/>
      <c r="E882" s="108"/>
      <c r="F882" s="108"/>
      <c r="G882" s="108"/>
      <c r="H882" s="108"/>
      <c r="I882" s="108"/>
      <c r="J882" s="108"/>
      <c r="K882" s="108"/>
    </row>
    <row r="883">
      <c r="A883" s="11"/>
      <c r="B883" s="116"/>
      <c r="C883" s="108"/>
      <c r="D883" s="108"/>
      <c r="E883" s="108"/>
      <c r="F883" s="108"/>
      <c r="G883" s="108"/>
      <c r="H883" s="108"/>
      <c r="I883" s="108"/>
      <c r="J883" s="108"/>
      <c r="K883" s="108"/>
    </row>
    <row r="884">
      <c r="A884" s="11"/>
      <c r="B884" s="116"/>
      <c r="C884" s="108"/>
      <c r="D884" s="108"/>
      <c r="E884" s="108"/>
      <c r="F884" s="108"/>
      <c r="G884" s="108"/>
      <c r="H884" s="108"/>
      <c r="I884" s="108"/>
      <c r="J884" s="108"/>
      <c r="K884" s="108"/>
    </row>
    <row r="885">
      <c r="A885" s="11"/>
      <c r="B885" s="116"/>
      <c r="C885" s="108"/>
      <c r="D885" s="108"/>
      <c r="E885" s="108"/>
      <c r="F885" s="108"/>
      <c r="G885" s="108"/>
      <c r="H885" s="108"/>
      <c r="I885" s="108"/>
      <c r="J885" s="108"/>
      <c r="K885" s="108"/>
    </row>
    <row r="886">
      <c r="A886" s="11"/>
      <c r="B886" s="116"/>
      <c r="C886" s="108"/>
      <c r="D886" s="108"/>
      <c r="E886" s="108"/>
      <c r="F886" s="108"/>
      <c r="G886" s="108"/>
      <c r="H886" s="108"/>
      <c r="I886" s="108"/>
      <c r="J886" s="108"/>
      <c r="K886" s="108"/>
    </row>
    <row r="887">
      <c r="A887" s="11"/>
      <c r="B887" s="116"/>
      <c r="C887" s="108"/>
      <c r="D887" s="108"/>
      <c r="E887" s="108"/>
      <c r="F887" s="108"/>
      <c r="G887" s="108"/>
      <c r="H887" s="108"/>
      <c r="I887" s="108"/>
      <c r="J887" s="108"/>
      <c r="K887" s="108"/>
    </row>
    <row r="888">
      <c r="A888" s="11"/>
      <c r="B888" s="116"/>
      <c r="C888" s="108"/>
      <c r="D888" s="108"/>
      <c r="E888" s="108"/>
      <c r="F888" s="108"/>
      <c r="G888" s="108"/>
      <c r="H888" s="108"/>
      <c r="I888" s="108"/>
      <c r="J888" s="108"/>
      <c r="K888" s="108"/>
    </row>
    <row r="889">
      <c r="A889" s="11"/>
      <c r="B889" s="116"/>
      <c r="C889" s="108"/>
      <c r="D889" s="108"/>
      <c r="E889" s="108"/>
      <c r="F889" s="108"/>
      <c r="G889" s="108"/>
      <c r="H889" s="108"/>
      <c r="I889" s="108"/>
      <c r="J889" s="108"/>
      <c r="K889" s="108"/>
    </row>
    <row r="890">
      <c r="A890" s="11"/>
      <c r="B890" s="116"/>
      <c r="C890" s="108"/>
      <c r="D890" s="108"/>
      <c r="E890" s="108"/>
      <c r="F890" s="108"/>
      <c r="G890" s="108"/>
      <c r="H890" s="108"/>
      <c r="I890" s="108"/>
      <c r="J890" s="108"/>
      <c r="K890" s="108"/>
    </row>
    <row r="891">
      <c r="A891" s="11"/>
      <c r="B891" s="116"/>
      <c r="C891" s="108"/>
      <c r="D891" s="108"/>
      <c r="E891" s="108"/>
      <c r="F891" s="108"/>
      <c r="G891" s="108"/>
      <c r="H891" s="108"/>
      <c r="I891" s="108"/>
      <c r="J891" s="108"/>
      <c r="K891" s="108"/>
    </row>
    <row r="892">
      <c r="A892" s="11"/>
      <c r="B892" s="116"/>
      <c r="C892" s="108"/>
      <c r="D892" s="108"/>
      <c r="E892" s="108"/>
      <c r="F892" s="108"/>
      <c r="G892" s="108"/>
      <c r="H892" s="108"/>
      <c r="I892" s="108"/>
      <c r="J892" s="108"/>
      <c r="K892" s="108"/>
    </row>
    <row r="893">
      <c r="A893" s="11"/>
      <c r="B893" s="116"/>
      <c r="C893" s="108"/>
      <c r="D893" s="108"/>
      <c r="E893" s="108"/>
      <c r="F893" s="108"/>
      <c r="G893" s="108"/>
      <c r="H893" s="108"/>
      <c r="I893" s="108"/>
      <c r="J893" s="108"/>
      <c r="K893" s="108"/>
    </row>
    <row r="894">
      <c r="A894" s="11"/>
      <c r="B894" s="116"/>
      <c r="C894" s="108"/>
      <c r="D894" s="108"/>
      <c r="E894" s="108"/>
      <c r="F894" s="108"/>
      <c r="G894" s="108"/>
      <c r="H894" s="108"/>
      <c r="I894" s="108"/>
      <c r="J894" s="108"/>
      <c r="K894" s="108"/>
    </row>
    <row r="895">
      <c r="A895" s="11"/>
      <c r="B895" s="116"/>
      <c r="C895" s="108"/>
      <c r="D895" s="108"/>
      <c r="E895" s="108"/>
      <c r="F895" s="108"/>
      <c r="G895" s="108"/>
      <c r="H895" s="108"/>
      <c r="I895" s="108"/>
      <c r="J895" s="108"/>
      <c r="K895" s="108"/>
    </row>
    <row r="896">
      <c r="A896" s="11"/>
      <c r="B896" s="116"/>
      <c r="C896" s="108"/>
      <c r="D896" s="108"/>
      <c r="E896" s="108"/>
      <c r="F896" s="108"/>
      <c r="G896" s="108"/>
      <c r="H896" s="108"/>
      <c r="I896" s="108"/>
      <c r="J896" s="108"/>
      <c r="K896" s="108"/>
    </row>
    <row r="897">
      <c r="A897" s="11"/>
      <c r="B897" s="116"/>
      <c r="C897" s="108"/>
      <c r="D897" s="108"/>
      <c r="E897" s="108"/>
      <c r="F897" s="108"/>
      <c r="G897" s="108"/>
      <c r="H897" s="108"/>
      <c r="I897" s="108"/>
      <c r="J897" s="108"/>
      <c r="K897" s="108"/>
    </row>
    <row r="898">
      <c r="A898" s="11"/>
      <c r="B898" s="116"/>
      <c r="C898" s="108"/>
      <c r="D898" s="108"/>
      <c r="E898" s="108"/>
      <c r="F898" s="108"/>
      <c r="G898" s="108"/>
      <c r="H898" s="108"/>
      <c r="I898" s="108"/>
      <c r="J898" s="108"/>
      <c r="K898" s="108"/>
    </row>
    <row r="899">
      <c r="A899" s="11"/>
      <c r="B899" s="116"/>
      <c r="C899" s="108"/>
      <c r="D899" s="108"/>
      <c r="E899" s="108"/>
      <c r="F899" s="108"/>
      <c r="G899" s="108"/>
      <c r="H899" s="108"/>
      <c r="I899" s="108"/>
      <c r="J899" s="108"/>
      <c r="K899" s="108"/>
    </row>
    <row r="900">
      <c r="A900" s="11"/>
      <c r="B900" s="116"/>
      <c r="C900" s="108"/>
      <c r="D900" s="108"/>
      <c r="E900" s="108"/>
      <c r="F900" s="108"/>
      <c r="G900" s="108"/>
      <c r="H900" s="108"/>
      <c r="I900" s="108"/>
      <c r="J900" s="108"/>
      <c r="K900" s="108"/>
    </row>
    <row r="901">
      <c r="A901" s="11"/>
      <c r="B901" s="116"/>
      <c r="C901" s="108"/>
      <c r="D901" s="108"/>
      <c r="E901" s="108"/>
      <c r="F901" s="108"/>
      <c r="G901" s="108"/>
      <c r="H901" s="108"/>
      <c r="I901" s="108"/>
      <c r="J901" s="108"/>
      <c r="K901" s="108"/>
    </row>
    <row r="902">
      <c r="A902" s="11"/>
      <c r="B902" s="116"/>
      <c r="C902" s="108"/>
      <c r="D902" s="108"/>
      <c r="E902" s="108"/>
      <c r="F902" s="108"/>
      <c r="G902" s="108"/>
      <c r="H902" s="108"/>
      <c r="I902" s="108"/>
      <c r="J902" s="108"/>
      <c r="K902" s="108"/>
    </row>
    <row r="903">
      <c r="A903" s="11"/>
      <c r="B903" s="116"/>
      <c r="C903" s="108"/>
      <c r="D903" s="108"/>
      <c r="E903" s="108"/>
      <c r="F903" s="108"/>
      <c r="G903" s="108"/>
      <c r="H903" s="108"/>
      <c r="I903" s="108"/>
      <c r="J903" s="108"/>
      <c r="K903" s="108"/>
    </row>
    <row r="904">
      <c r="A904" s="11"/>
      <c r="B904" s="116"/>
      <c r="C904" s="108"/>
      <c r="D904" s="108"/>
      <c r="E904" s="108"/>
      <c r="F904" s="108"/>
      <c r="G904" s="108"/>
      <c r="H904" s="108"/>
      <c r="I904" s="108"/>
      <c r="J904" s="108"/>
      <c r="K904" s="108"/>
    </row>
    <row r="905">
      <c r="A905" s="11"/>
      <c r="B905" s="116"/>
      <c r="C905" s="108"/>
      <c r="D905" s="108"/>
      <c r="E905" s="108"/>
      <c r="F905" s="108"/>
      <c r="G905" s="108"/>
      <c r="H905" s="108"/>
      <c r="I905" s="108"/>
      <c r="J905" s="108"/>
      <c r="K905" s="108"/>
    </row>
    <row r="906">
      <c r="A906" s="11"/>
      <c r="B906" s="116"/>
      <c r="C906" s="108"/>
      <c r="D906" s="108"/>
      <c r="E906" s="108"/>
      <c r="F906" s="108"/>
      <c r="G906" s="108"/>
      <c r="H906" s="108"/>
      <c r="I906" s="108"/>
      <c r="J906" s="108"/>
      <c r="K906" s="108"/>
    </row>
    <row r="907">
      <c r="A907" s="11"/>
      <c r="B907" s="116"/>
      <c r="C907" s="108"/>
      <c r="D907" s="108"/>
      <c r="E907" s="108"/>
      <c r="F907" s="108"/>
      <c r="G907" s="108"/>
      <c r="H907" s="108"/>
      <c r="I907" s="108"/>
      <c r="J907" s="108"/>
      <c r="K907" s="108"/>
    </row>
    <row r="908">
      <c r="A908" s="11"/>
      <c r="B908" s="116"/>
      <c r="C908" s="108"/>
      <c r="D908" s="108"/>
      <c r="E908" s="108"/>
      <c r="F908" s="108"/>
      <c r="G908" s="108"/>
      <c r="H908" s="108"/>
      <c r="I908" s="108"/>
      <c r="J908" s="108"/>
      <c r="K908" s="108"/>
    </row>
    <row r="909">
      <c r="A909" s="11"/>
      <c r="B909" s="116"/>
      <c r="C909" s="108"/>
      <c r="D909" s="108"/>
      <c r="E909" s="108"/>
      <c r="F909" s="108"/>
      <c r="G909" s="108"/>
      <c r="H909" s="108"/>
      <c r="I909" s="108"/>
      <c r="J909" s="108"/>
      <c r="K909" s="108"/>
    </row>
    <row r="910">
      <c r="A910" s="11"/>
      <c r="B910" s="116"/>
      <c r="C910" s="108"/>
      <c r="D910" s="108"/>
      <c r="E910" s="108"/>
      <c r="F910" s="108"/>
      <c r="G910" s="108"/>
      <c r="H910" s="108"/>
      <c r="I910" s="108"/>
      <c r="J910" s="108"/>
      <c r="K910" s="108"/>
    </row>
    <row r="911">
      <c r="A911" s="11"/>
      <c r="B911" s="116"/>
      <c r="C911" s="108"/>
      <c r="D911" s="108"/>
      <c r="E911" s="108"/>
      <c r="F911" s="108"/>
      <c r="G911" s="108"/>
      <c r="H911" s="108"/>
      <c r="I911" s="108"/>
      <c r="J911" s="108"/>
      <c r="K911" s="108"/>
    </row>
    <row r="912">
      <c r="A912" s="11"/>
      <c r="B912" s="116"/>
      <c r="C912" s="108"/>
      <c r="D912" s="108"/>
      <c r="E912" s="108"/>
      <c r="F912" s="108"/>
      <c r="G912" s="108"/>
      <c r="H912" s="108"/>
      <c r="I912" s="108"/>
      <c r="J912" s="108"/>
      <c r="K912" s="108"/>
    </row>
    <row r="913">
      <c r="A913" s="11"/>
      <c r="B913" s="116"/>
      <c r="C913" s="108"/>
      <c r="D913" s="108"/>
      <c r="E913" s="108"/>
      <c r="F913" s="108"/>
      <c r="G913" s="108"/>
      <c r="H913" s="108"/>
      <c r="I913" s="108"/>
      <c r="J913" s="108"/>
      <c r="K913" s="108"/>
    </row>
    <row r="914">
      <c r="A914" s="11"/>
      <c r="B914" s="116"/>
      <c r="C914" s="108"/>
      <c r="D914" s="108"/>
      <c r="E914" s="108"/>
      <c r="F914" s="108"/>
      <c r="G914" s="108"/>
      <c r="H914" s="108"/>
      <c r="I914" s="108"/>
      <c r="J914" s="108"/>
      <c r="K914" s="108"/>
    </row>
    <row r="915">
      <c r="A915" s="11"/>
      <c r="B915" s="116"/>
      <c r="C915" s="108"/>
      <c r="D915" s="108"/>
      <c r="E915" s="108"/>
      <c r="F915" s="108"/>
      <c r="G915" s="108"/>
      <c r="H915" s="108"/>
      <c r="I915" s="108"/>
      <c r="J915" s="108"/>
      <c r="K915" s="108"/>
    </row>
    <row r="916">
      <c r="A916" s="11"/>
      <c r="B916" s="116"/>
      <c r="C916" s="108"/>
      <c r="D916" s="108"/>
      <c r="E916" s="108"/>
      <c r="F916" s="108"/>
      <c r="G916" s="108"/>
      <c r="H916" s="108"/>
      <c r="I916" s="108"/>
      <c r="J916" s="108"/>
      <c r="K916" s="108"/>
    </row>
    <row r="917">
      <c r="A917" s="11"/>
      <c r="B917" s="116"/>
      <c r="C917" s="108"/>
      <c r="D917" s="108"/>
      <c r="E917" s="108"/>
      <c r="F917" s="108"/>
      <c r="G917" s="108"/>
      <c r="H917" s="108"/>
      <c r="I917" s="108"/>
      <c r="J917" s="108"/>
      <c r="K917" s="108"/>
    </row>
    <row r="918">
      <c r="A918" s="11"/>
      <c r="B918" s="116"/>
      <c r="C918" s="108"/>
      <c r="D918" s="108"/>
      <c r="E918" s="108"/>
      <c r="F918" s="108"/>
      <c r="G918" s="108"/>
      <c r="H918" s="108"/>
      <c r="I918" s="108"/>
      <c r="J918" s="108"/>
      <c r="K918" s="108"/>
    </row>
    <row r="919">
      <c r="A919" s="11"/>
      <c r="B919" s="116"/>
      <c r="C919" s="108"/>
      <c r="D919" s="108"/>
      <c r="E919" s="108"/>
      <c r="F919" s="108"/>
      <c r="G919" s="108"/>
      <c r="H919" s="108"/>
      <c r="I919" s="108"/>
      <c r="J919" s="108"/>
      <c r="K919" s="108"/>
    </row>
    <row r="920">
      <c r="A920" s="11"/>
      <c r="B920" s="116"/>
      <c r="C920" s="108"/>
      <c r="D920" s="108"/>
      <c r="E920" s="108"/>
      <c r="F920" s="108"/>
      <c r="G920" s="108"/>
      <c r="H920" s="108"/>
      <c r="I920" s="108"/>
      <c r="J920" s="108"/>
      <c r="K920" s="108"/>
    </row>
    <row r="921">
      <c r="A921" s="11"/>
      <c r="B921" s="116"/>
      <c r="C921" s="108"/>
      <c r="D921" s="108"/>
      <c r="E921" s="108"/>
      <c r="F921" s="108"/>
      <c r="G921" s="108"/>
      <c r="H921" s="108"/>
      <c r="I921" s="108"/>
      <c r="J921" s="108"/>
      <c r="K921" s="108"/>
    </row>
    <row r="922">
      <c r="A922" s="11"/>
      <c r="B922" s="116"/>
      <c r="C922" s="108"/>
      <c r="D922" s="108"/>
      <c r="E922" s="108"/>
      <c r="F922" s="108"/>
      <c r="G922" s="108"/>
      <c r="H922" s="108"/>
      <c r="I922" s="108"/>
      <c r="J922" s="108"/>
      <c r="K922" s="108"/>
    </row>
    <row r="923">
      <c r="A923" s="11"/>
      <c r="B923" s="116"/>
      <c r="C923" s="108"/>
      <c r="D923" s="108"/>
      <c r="E923" s="108"/>
      <c r="F923" s="108"/>
      <c r="G923" s="108"/>
      <c r="H923" s="108"/>
      <c r="I923" s="108"/>
      <c r="J923" s="108"/>
      <c r="K923" s="108"/>
    </row>
    <row r="924">
      <c r="A924" s="11"/>
      <c r="B924" s="116"/>
      <c r="C924" s="108"/>
      <c r="D924" s="108"/>
      <c r="E924" s="108"/>
      <c r="F924" s="108"/>
      <c r="G924" s="108"/>
      <c r="H924" s="108"/>
      <c r="I924" s="108"/>
      <c r="J924" s="108"/>
      <c r="K924" s="108"/>
    </row>
    <row r="925">
      <c r="A925" s="11"/>
      <c r="B925" s="116"/>
      <c r="C925" s="108"/>
      <c r="D925" s="108"/>
      <c r="E925" s="108"/>
      <c r="F925" s="108"/>
      <c r="G925" s="108"/>
      <c r="H925" s="108"/>
      <c r="I925" s="108"/>
      <c r="J925" s="108"/>
      <c r="K925" s="108"/>
    </row>
    <row r="926">
      <c r="A926" s="11"/>
      <c r="B926" s="116"/>
      <c r="C926" s="108"/>
      <c r="D926" s="108"/>
      <c r="E926" s="108"/>
      <c r="F926" s="108"/>
      <c r="G926" s="108"/>
      <c r="H926" s="108"/>
      <c r="I926" s="108"/>
      <c r="J926" s="108"/>
      <c r="K926" s="108"/>
    </row>
    <row r="927">
      <c r="A927" s="11"/>
      <c r="B927" s="116"/>
      <c r="C927" s="108"/>
      <c r="D927" s="108"/>
      <c r="E927" s="108"/>
      <c r="F927" s="108"/>
      <c r="G927" s="108"/>
      <c r="H927" s="108"/>
      <c r="I927" s="108"/>
      <c r="J927" s="108"/>
      <c r="K927" s="108"/>
    </row>
    <row r="928">
      <c r="A928" s="11"/>
      <c r="B928" s="116"/>
      <c r="C928" s="108"/>
      <c r="D928" s="108"/>
      <c r="E928" s="108"/>
      <c r="F928" s="108"/>
      <c r="G928" s="108"/>
      <c r="H928" s="108"/>
      <c r="I928" s="108"/>
      <c r="J928" s="108"/>
      <c r="K928" s="108"/>
    </row>
    <row r="929">
      <c r="A929" s="11"/>
      <c r="B929" s="116"/>
      <c r="C929" s="108"/>
      <c r="D929" s="108"/>
      <c r="E929" s="108"/>
      <c r="F929" s="108"/>
      <c r="G929" s="108"/>
      <c r="H929" s="108"/>
      <c r="I929" s="108"/>
      <c r="J929" s="108"/>
      <c r="K929" s="108"/>
    </row>
    <row r="930">
      <c r="A930" s="11"/>
      <c r="B930" s="116"/>
      <c r="C930" s="108"/>
      <c r="D930" s="108"/>
      <c r="E930" s="108"/>
      <c r="F930" s="108"/>
      <c r="G930" s="108"/>
      <c r="H930" s="108"/>
      <c r="I930" s="108"/>
      <c r="J930" s="108"/>
      <c r="K930" s="108"/>
    </row>
    <row r="931">
      <c r="A931" s="11"/>
      <c r="B931" s="116"/>
      <c r="C931" s="108"/>
      <c r="D931" s="108"/>
      <c r="E931" s="108"/>
      <c r="F931" s="108"/>
      <c r="G931" s="108"/>
      <c r="H931" s="108"/>
      <c r="I931" s="108"/>
      <c r="J931" s="108"/>
      <c r="K931" s="108"/>
    </row>
    <row r="932">
      <c r="A932" s="11"/>
      <c r="B932" s="116"/>
      <c r="C932" s="108"/>
      <c r="D932" s="108"/>
      <c r="E932" s="108"/>
      <c r="F932" s="108"/>
      <c r="G932" s="108"/>
      <c r="H932" s="108"/>
      <c r="I932" s="108"/>
      <c r="J932" s="108"/>
      <c r="K932" s="108"/>
    </row>
    <row r="933">
      <c r="A933" s="11"/>
      <c r="B933" s="116"/>
      <c r="C933" s="108"/>
      <c r="D933" s="108"/>
      <c r="E933" s="108"/>
      <c r="F933" s="108"/>
      <c r="G933" s="108"/>
      <c r="H933" s="108"/>
      <c r="I933" s="108"/>
      <c r="J933" s="108"/>
      <c r="K933" s="108"/>
    </row>
    <row r="934">
      <c r="A934" s="11"/>
      <c r="B934" s="116"/>
      <c r="C934" s="108"/>
      <c r="D934" s="108"/>
      <c r="E934" s="108"/>
      <c r="F934" s="108"/>
      <c r="G934" s="108"/>
      <c r="H934" s="108"/>
      <c r="I934" s="108"/>
      <c r="J934" s="108"/>
      <c r="K934" s="108"/>
    </row>
    <row r="935">
      <c r="A935" s="11"/>
      <c r="B935" s="116"/>
      <c r="C935" s="108"/>
      <c r="D935" s="108"/>
      <c r="E935" s="108"/>
      <c r="F935" s="108"/>
      <c r="G935" s="108"/>
      <c r="H935" s="108"/>
      <c r="I935" s="108"/>
      <c r="J935" s="108"/>
      <c r="K935" s="108"/>
    </row>
    <row r="936">
      <c r="A936" s="11"/>
      <c r="B936" s="116"/>
      <c r="C936" s="108"/>
      <c r="D936" s="108"/>
      <c r="E936" s="108"/>
      <c r="F936" s="108"/>
      <c r="G936" s="108"/>
      <c r="H936" s="108"/>
      <c r="I936" s="108"/>
      <c r="J936" s="108"/>
      <c r="K936" s="108"/>
    </row>
    <row r="937">
      <c r="A937" s="11"/>
      <c r="B937" s="116"/>
      <c r="C937" s="108"/>
      <c r="D937" s="108"/>
      <c r="E937" s="108"/>
      <c r="F937" s="108"/>
      <c r="G937" s="108"/>
      <c r="H937" s="108"/>
      <c r="I937" s="108"/>
      <c r="J937" s="108"/>
      <c r="K937" s="108"/>
    </row>
    <row r="938">
      <c r="A938" s="11"/>
      <c r="B938" s="116"/>
      <c r="C938" s="108"/>
      <c r="D938" s="108"/>
      <c r="E938" s="108"/>
      <c r="F938" s="108"/>
      <c r="G938" s="108"/>
      <c r="H938" s="108"/>
      <c r="I938" s="108"/>
      <c r="J938" s="108"/>
      <c r="K938" s="108"/>
    </row>
    <row r="939">
      <c r="A939" s="11"/>
      <c r="B939" s="116"/>
      <c r="C939" s="108"/>
      <c r="D939" s="108"/>
      <c r="E939" s="108"/>
      <c r="F939" s="108"/>
      <c r="G939" s="108"/>
      <c r="H939" s="108"/>
      <c r="I939" s="108"/>
      <c r="J939" s="108"/>
      <c r="K939" s="108"/>
    </row>
    <row r="940">
      <c r="A940" s="11"/>
      <c r="B940" s="116"/>
      <c r="C940" s="108"/>
      <c r="D940" s="108"/>
      <c r="E940" s="108"/>
      <c r="F940" s="108"/>
      <c r="G940" s="108"/>
      <c r="H940" s="108"/>
      <c r="I940" s="108"/>
      <c r="J940" s="108"/>
      <c r="K940" s="108"/>
    </row>
    <row r="941">
      <c r="A941" s="11"/>
      <c r="B941" s="116"/>
      <c r="C941" s="108"/>
      <c r="D941" s="108"/>
      <c r="E941" s="108"/>
      <c r="F941" s="108"/>
      <c r="G941" s="108"/>
      <c r="H941" s="108"/>
      <c r="I941" s="108"/>
      <c r="J941" s="108"/>
      <c r="K941" s="108"/>
    </row>
    <row r="942">
      <c r="A942" s="11"/>
      <c r="B942" s="116"/>
      <c r="C942" s="108"/>
      <c r="D942" s="108"/>
      <c r="E942" s="108"/>
      <c r="F942" s="108"/>
      <c r="G942" s="108"/>
      <c r="H942" s="108"/>
      <c r="I942" s="108"/>
      <c r="J942" s="108"/>
      <c r="K942" s="108"/>
    </row>
    <row r="943">
      <c r="A943" s="11"/>
      <c r="B943" s="116"/>
      <c r="C943" s="108"/>
      <c r="D943" s="108"/>
      <c r="E943" s="108"/>
      <c r="F943" s="108"/>
      <c r="G943" s="108"/>
      <c r="H943" s="108"/>
      <c r="I943" s="108"/>
      <c r="J943" s="108"/>
      <c r="K943" s="108"/>
    </row>
    <row r="944">
      <c r="A944" s="11"/>
      <c r="B944" s="116"/>
      <c r="C944" s="108"/>
      <c r="D944" s="108"/>
      <c r="E944" s="108"/>
      <c r="F944" s="108"/>
      <c r="G944" s="108"/>
      <c r="H944" s="108"/>
      <c r="I944" s="108"/>
      <c r="J944" s="108"/>
      <c r="K944" s="108"/>
    </row>
    <row r="945">
      <c r="A945" s="11"/>
      <c r="B945" s="116"/>
      <c r="C945" s="108"/>
      <c r="D945" s="108"/>
      <c r="E945" s="108"/>
      <c r="F945" s="108"/>
      <c r="G945" s="108"/>
      <c r="H945" s="108"/>
      <c r="I945" s="108"/>
      <c r="J945" s="108"/>
      <c r="K945" s="108"/>
    </row>
    <row r="946">
      <c r="A946" s="11"/>
      <c r="B946" s="116"/>
      <c r="C946" s="108"/>
      <c r="D946" s="108"/>
      <c r="E946" s="108"/>
      <c r="F946" s="108"/>
      <c r="G946" s="108"/>
      <c r="H946" s="108"/>
      <c r="I946" s="108"/>
      <c r="J946" s="108"/>
      <c r="K946" s="108"/>
    </row>
    <row r="947">
      <c r="A947" s="11"/>
      <c r="B947" s="116"/>
      <c r="C947" s="108"/>
      <c r="D947" s="108"/>
      <c r="E947" s="108"/>
      <c r="F947" s="108"/>
      <c r="G947" s="108"/>
      <c r="H947" s="108"/>
      <c r="I947" s="108"/>
      <c r="J947" s="108"/>
      <c r="K947" s="108"/>
    </row>
    <row r="948">
      <c r="A948" s="11"/>
      <c r="B948" s="116"/>
      <c r="C948" s="108"/>
      <c r="D948" s="108"/>
      <c r="E948" s="108"/>
      <c r="F948" s="108"/>
      <c r="G948" s="108"/>
      <c r="H948" s="108"/>
      <c r="I948" s="108"/>
      <c r="J948" s="108"/>
      <c r="K948" s="108"/>
    </row>
    <row r="949">
      <c r="A949" s="11"/>
      <c r="B949" s="116"/>
      <c r="C949" s="108"/>
      <c r="D949" s="108"/>
      <c r="E949" s="108"/>
      <c r="F949" s="108"/>
      <c r="G949" s="108"/>
      <c r="H949" s="108"/>
      <c r="I949" s="108"/>
      <c r="J949" s="108"/>
      <c r="K949" s="108"/>
    </row>
    <row r="950">
      <c r="A950" s="11"/>
      <c r="B950" s="116"/>
      <c r="C950" s="108"/>
      <c r="D950" s="108"/>
      <c r="E950" s="108"/>
      <c r="F950" s="108"/>
      <c r="G950" s="108"/>
      <c r="H950" s="108"/>
      <c r="I950" s="108"/>
      <c r="J950" s="108"/>
      <c r="K950" s="108"/>
    </row>
    <row r="951">
      <c r="A951" s="11"/>
      <c r="B951" s="116"/>
      <c r="C951" s="108"/>
      <c r="D951" s="108"/>
      <c r="E951" s="108"/>
      <c r="F951" s="108"/>
      <c r="G951" s="108"/>
      <c r="H951" s="108"/>
      <c r="I951" s="108"/>
      <c r="J951" s="108"/>
      <c r="K951" s="108"/>
    </row>
    <row r="952">
      <c r="A952" s="11"/>
      <c r="B952" s="116"/>
      <c r="C952" s="108"/>
      <c r="D952" s="108"/>
      <c r="E952" s="108"/>
      <c r="F952" s="108"/>
      <c r="G952" s="108"/>
      <c r="H952" s="108"/>
      <c r="I952" s="108"/>
      <c r="J952" s="108"/>
      <c r="K952" s="108"/>
    </row>
    <row r="953">
      <c r="A953" s="11"/>
      <c r="B953" s="116"/>
      <c r="C953" s="108"/>
      <c r="D953" s="108"/>
      <c r="E953" s="108"/>
      <c r="F953" s="108"/>
      <c r="G953" s="108"/>
      <c r="H953" s="108"/>
      <c r="I953" s="108"/>
      <c r="J953" s="108"/>
      <c r="K953" s="108"/>
    </row>
    <row r="954">
      <c r="A954" s="11"/>
      <c r="B954" s="116"/>
      <c r="C954" s="108"/>
      <c r="D954" s="108"/>
      <c r="E954" s="108"/>
      <c r="F954" s="108"/>
      <c r="G954" s="108"/>
      <c r="H954" s="108"/>
      <c r="I954" s="108"/>
      <c r="J954" s="108"/>
      <c r="K954" s="108"/>
    </row>
    <row r="955">
      <c r="A955" s="11"/>
      <c r="B955" s="116"/>
      <c r="C955" s="108"/>
      <c r="D955" s="108"/>
      <c r="E955" s="108"/>
      <c r="F955" s="108"/>
      <c r="G955" s="108"/>
      <c r="H955" s="108"/>
      <c r="I955" s="108"/>
      <c r="J955" s="108"/>
      <c r="K955" s="108"/>
    </row>
    <row r="956">
      <c r="A956" s="11"/>
      <c r="B956" s="116"/>
      <c r="C956" s="108"/>
      <c r="D956" s="108"/>
      <c r="E956" s="108"/>
      <c r="F956" s="108"/>
      <c r="G956" s="108"/>
      <c r="H956" s="108"/>
      <c r="I956" s="108"/>
      <c r="J956" s="108"/>
      <c r="K956" s="108"/>
    </row>
    <row r="957">
      <c r="A957" s="11"/>
      <c r="B957" s="116"/>
      <c r="C957" s="108"/>
      <c r="D957" s="108"/>
      <c r="E957" s="108"/>
      <c r="F957" s="108"/>
      <c r="G957" s="108"/>
      <c r="H957" s="108"/>
      <c r="I957" s="108"/>
      <c r="J957" s="108"/>
      <c r="K957" s="108"/>
    </row>
    <row r="958">
      <c r="A958" s="11"/>
      <c r="B958" s="116"/>
      <c r="C958" s="108"/>
      <c r="D958" s="108"/>
      <c r="E958" s="108"/>
      <c r="F958" s="108"/>
      <c r="G958" s="108"/>
      <c r="H958" s="108"/>
      <c r="I958" s="108"/>
      <c r="J958" s="108"/>
      <c r="K958" s="108"/>
    </row>
    <row r="959">
      <c r="A959" s="11"/>
      <c r="B959" s="116"/>
      <c r="C959" s="108"/>
      <c r="D959" s="108"/>
      <c r="E959" s="108"/>
      <c r="F959" s="108"/>
      <c r="G959" s="108"/>
      <c r="H959" s="108"/>
      <c r="I959" s="108"/>
      <c r="J959" s="108"/>
      <c r="K959" s="108"/>
    </row>
    <row r="960">
      <c r="A960" s="11"/>
      <c r="B960" s="116"/>
      <c r="C960" s="108"/>
      <c r="D960" s="108"/>
      <c r="E960" s="108"/>
      <c r="F960" s="108"/>
      <c r="G960" s="108"/>
      <c r="H960" s="108"/>
      <c r="I960" s="108"/>
      <c r="J960" s="108"/>
      <c r="K960" s="108"/>
    </row>
    <row r="961">
      <c r="A961" s="11"/>
      <c r="B961" s="116"/>
      <c r="C961" s="108"/>
      <c r="D961" s="108"/>
      <c r="E961" s="108"/>
      <c r="F961" s="108"/>
      <c r="G961" s="108"/>
      <c r="H961" s="108"/>
      <c r="I961" s="108"/>
      <c r="J961" s="108"/>
      <c r="K961" s="108"/>
    </row>
    <row r="962">
      <c r="A962" s="11"/>
      <c r="B962" s="116"/>
      <c r="C962" s="108"/>
      <c r="D962" s="108"/>
      <c r="E962" s="108"/>
      <c r="F962" s="108"/>
      <c r="G962" s="108"/>
      <c r="H962" s="108"/>
      <c r="I962" s="108"/>
      <c r="J962" s="108"/>
      <c r="K962" s="108"/>
    </row>
    <row r="963">
      <c r="A963" s="11"/>
      <c r="B963" s="116"/>
      <c r="C963" s="108"/>
      <c r="D963" s="108"/>
      <c r="E963" s="108"/>
      <c r="F963" s="108"/>
      <c r="G963" s="108"/>
      <c r="H963" s="108"/>
      <c r="I963" s="108"/>
      <c r="J963" s="108"/>
      <c r="K963" s="108"/>
    </row>
    <row r="964">
      <c r="A964" s="11"/>
      <c r="B964" s="116"/>
      <c r="C964" s="108"/>
      <c r="D964" s="108"/>
      <c r="E964" s="108"/>
      <c r="F964" s="108"/>
      <c r="G964" s="108"/>
      <c r="H964" s="108"/>
      <c r="I964" s="108"/>
      <c r="J964" s="108"/>
      <c r="K964" s="108"/>
    </row>
    <row r="965">
      <c r="A965" s="11"/>
      <c r="B965" s="116"/>
      <c r="C965" s="108"/>
      <c r="D965" s="108"/>
      <c r="E965" s="108"/>
      <c r="F965" s="108"/>
      <c r="G965" s="108"/>
      <c r="H965" s="108"/>
      <c r="I965" s="108"/>
      <c r="J965" s="108"/>
      <c r="K965" s="108"/>
    </row>
    <row r="966">
      <c r="A966" s="11"/>
      <c r="B966" s="116"/>
      <c r="C966" s="108"/>
      <c r="D966" s="108"/>
      <c r="E966" s="108"/>
      <c r="F966" s="108"/>
      <c r="G966" s="108"/>
      <c r="H966" s="108"/>
      <c r="I966" s="108"/>
      <c r="J966" s="108"/>
      <c r="K966" s="108"/>
    </row>
    <row r="967">
      <c r="A967" s="11"/>
      <c r="B967" s="116"/>
      <c r="C967" s="108"/>
      <c r="D967" s="108"/>
      <c r="E967" s="108"/>
      <c r="F967" s="108"/>
      <c r="G967" s="108"/>
      <c r="H967" s="108"/>
      <c r="I967" s="108"/>
      <c r="J967" s="108"/>
      <c r="K967" s="108"/>
    </row>
    <row r="968">
      <c r="A968" s="11"/>
      <c r="B968" s="116"/>
      <c r="C968" s="108"/>
      <c r="D968" s="108"/>
      <c r="E968" s="108"/>
      <c r="F968" s="108"/>
      <c r="G968" s="108"/>
      <c r="H968" s="108"/>
      <c r="I968" s="108"/>
      <c r="J968" s="108"/>
      <c r="K968" s="108"/>
    </row>
    <row r="969">
      <c r="A969" s="11"/>
      <c r="B969" s="116"/>
      <c r="C969" s="108"/>
      <c r="D969" s="108"/>
      <c r="E969" s="108"/>
      <c r="F969" s="108"/>
      <c r="G969" s="108"/>
      <c r="H969" s="108"/>
      <c r="I969" s="108"/>
      <c r="J969" s="108"/>
      <c r="K969" s="108"/>
    </row>
    <row r="970">
      <c r="A970" s="11"/>
      <c r="B970" s="116"/>
      <c r="C970" s="108"/>
      <c r="D970" s="108"/>
      <c r="E970" s="108"/>
      <c r="F970" s="108"/>
      <c r="G970" s="108"/>
      <c r="H970" s="108"/>
      <c r="I970" s="108"/>
      <c r="J970" s="108"/>
      <c r="K970" s="108"/>
    </row>
    <row r="971">
      <c r="A971" s="11"/>
      <c r="B971" s="116"/>
      <c r="C971" s="108"/>
      <c r="D971" s="108"/>
      <c r="E971" s="108"/>
      <c r="F971" s="108"/>
      <c r="G971" s="108"/>
      <c r="H971" s="108"/>
      <c r="I971" s="108"/>
      <c r="J971" s="108"/>
      <c r="K971" s="108"/>
    </row>
    <row r="972">
      <c r="A972" s="11"/>
      <c r="B972" s="116"/>
      <c r="C972" s="108"/>
      <c r="D972" s="108"/>
      <c r="E972" s="108"/>
      <c r="F972" s="108"/>
      <c r="G972" s="108"/>
      <c r="H972" s="108"/>
      <c r="I972" s="108"/>
      <c r="J972" s="108"/>
      <c r="K972" s="108"/>
    </row>
    <row r="973">
      <c r="A973" s="11"/>
      <c r="B973" s="116"/>
      <c r="C973" s="108"/>
      <c r="D973" s="108"/>
      <c r="E973" s="108"/>
      <c r="F973" s="108"/>
      <c r="G973" s="108"/>
      <c r="H973" s="108"/>
      <c r="I973" s="108"/>
      <c r="J973" s="108"/>
      <c r="K973" s="108"/>
    </row>
    <row r="974">
      <c r="A974" s="11"/>
      <c r="B974" s="116"/>
      <c r="C974" s="108"/>
      <c r="D974" s="108"/>
      <c r="E974" s="108"/>
      <c r="F974" s="108"/>
      <c r="G974" s="108"/>
      <c r="H974" s="108"/>
      <c r="I974" s="108"/>
      <c r="J974" s="108"/>
      <c r="K974" s="108"/>
    </row>
    <row r="975">
      <c r="A975" s="11"/>
      <c r="B975" s="116"/>
      <c r="C975" s="108"/>
      <c r="D975" s="108"/>
      <c r="E975" s="108"/>
      <c r="F975" s="108"/>
      <c r="G975" s="108"/>
      <c r="H975" s="108"/>
      <c r="I975" s="108"/>
      <c r="J975" s="108"/>
      <c r="K975" s="108"/>
    </row>
    <row r="976">
      <c r="A976" s="11"/>
      <c r="B976" s="116"/>
      <c r="C976" s="108"/>
      <c r="D976" s="108"/>
      <c r="E976" s="108"/>
      <c r="F976" s="108"/>
      <c r="G976" s="108"/>
      <c r="H976" s="108"/>
      <c r="I976" s="108"/>
      <c r="J976" s="108"/>
      <c r="K976" s="108"/>
    </row>
    <row r="977">
      <c r="A977" s="11"/>
      <c r="B977" s="116"/>
      <c r="C977" s="108"/>
      <c r="D977" s="108"/>
      <c r="E977" s="108"/>
      <c r="F977" s="108"/>
      <c r="G977" s="108"/>
      <c r="H977" s="108"/>
      <c r="I977" s="108"/>
      <c r="J977" s="108"/>
      <c r="K977" s="108"/>
    </row>
    <row r="978">
      <c r="A978" s="11"/>
      <c r="B978" s="116"/>
      <c r="C978" s="108"/>
      <c r="D978" s="108"/>
      <c r="E978" s="108"/>
      <c r="F978" s="108"/>
      <c r="G978" s="108"/>
      <c r="H978" s="108"/>
      <c r="I978" s="108"/>
      <c r="J978" s="108"/>
      <c r="K978" s="108"/>
    </row>
    <row r="979">
      <c r="A979" s="11"/>
      <c r="B979" s="116"/>
      <c r="C979" s="108"/>
      <c r="D979" s="108"/>
      <c r="E979" s="108"/>
      <c r="F979" s="108"/>
      <c r="G979" s="108"/>
      <c r="H979" s="108"/>
      <c r="I979" s="108"/>
      <c r="J979" s="108"/>
      <c r="K979" s="108"/>
    </row>
    <row r="980">
      <c r="A980" s="11"/>
      <c r="B980" s="116"/>
      <c r="C980" s="108"/>
      <c r="D980" s="108"/>
      <c r="E980" s="108"/>
      <c r="F980" s="108"/>
      <c r="G980" s="108"/>
      <c r="H980" s="108"/>
      <c r="I980" s="108"/>
      <c r="J980" s="108"/>
      <c r="K980" s="108"/>
    </row>
    <row r="981">
      <c r="A981" s="11"/>
      <c r="B981" s="116"/>
      <c r="C981" s="108"/>
      <c r="D981" s="108"/>
      <c r="E981" s="108"/>
      <c r="F981" s="108"/>
      <c r="G981" s="108"/>
      <c r="H981" s="108"/>
      <c r="I981" s="108"/>
      <c r="J981" s="108"/>
      <c r="K981" s="108"/>
    </row>
    <row r="982">
      <c r="A982" s="11"/>
      <c r="B982" s="116"/>
      <c r="C982" s="108"/>
      <c r="D982" s="108"/>
      <c r="E982" s="108"/>
      <c r="F982" s="108"/>
      <c r="G982" s="108"/>
      <c r="H982" s="108"/>
      <c r="I982" s="108"/>
      <c r="J982" s="108"/>
      <c r="K982" s="108"/>
    </row>
    <row r="983">
      <c r="A983" s="11"/>
      <c r="B983" s="116"/>
      <c r="C983" s="108"/>
      <c r="D983" s="108"/>
      <c r="E983" s="108"/>
      <c r="F983" s="108"/>
      <c r="G983" s="108"/>
      <c r="H983" s="108"/>
      <c r="I983" s="108"/>
      <c r="J983" s="108"/>
      <c r="K983" s="108"/>
    </row>
    <row r="984">
      <c r="A984" s="11"/>
      <c r="B984" s="116"/>
      <c r="C984" s="108"/>
      <c r="D984" s="108"/>
      <c r="E984" s="108"/>
      <c r="F984" s="108"/>
      <c r="G984" s="108"/>
      <c r="H984" s="108"/>
      <c r="I984" s="108"/>
      <c r="J984" s="108"/>
      <c r="K984" s="108"/>
    </row>
    <row r="985">
      <c r="A985" s="11"/>
      <c r="B985" s="116"/>
      <c r="C985" s="108"/>
      <c r="D985" s="108"/>
      <c r="E985" s="108"/>
      <c r="F985" s="108"/>
      <c r="G985" s="108"/>
      <c r="H985" s="108"/>
      <c r="I985" s="108"/>
      <c r="J985" s="108"/>
      <c r="K985" s="108"/>
    </row>
    <row r="986">
      <c r="A986" s="11"/>
      <c r="B986" s="116"/>
      <c r="C986" s="108"/>
      <c r="D986" s="108"/>
      <c r="E986" s="108"/>
      <c r="F986" s="108"/>
      <c r="G986" s="108"/>
      <c r="H986" s="108"/>
      <c r="I986" s="108"/>
      <c r="J986" s="108"/>
      <c r="K986" s="108"/>
    </row>
    <row r="987">
      <c r="A987" s="11"/>
      <c r="B987" s="116"/>
      <c r="C987" s="108"/>
      <c r="D987" s="108"/>
      <c r="E987" s="108"/>
      <c r="F987" s="108"/>
      <c r="G987" s="108"/>
      <c r="H987" s="108"/>
      <c r="I987" s="108"/>
      <c r="J987" s="108"/>
      <c r="K987" s="108"/>
    </row>
    <row r="988">
      <c r="A988" s="11"/>
      <c r="B988" s="116"/>
      <c r="C988" s="108"/>
      <c r="D988" s="108"/>
      <c r="E988" s="108"/>
      <c r="F988" s="108"/>
      <c r="G988" s="108"/>
      <c r="H988" s="108"/>
      <c r="I988" s="108"/>
      <c r="J988" s="108"/>
      <c r="K988" s="108"/>
    </row>
    <row r="989">
      <c r="A989" s="11"/>
      <c r="B989" s="116"/>
      <c r="C989" s="108"/>
      <c r="D989" s="108"/>
      <c r="E989" s="108"/>
      <c r="F989" s="108"/>
      <c r="G989" s="108"/>
      <c r="H989" s="108"/>
      <c r="I989" s="108"/>
      <c r="J989" s="108"/>
      <c r="K989" s="108"/>
    </row>
    <row r="990">
      <c r="A990" s="11"/>
      <c r="B990" s="116"/>
      <c r="C990" s="108"/>
      <c r="D990" s="108"/>
      <c r="E990" s="108"/>
      <c r="F990" s="108"/>
      <c r="G990" s="108"/>
      <c r="H990" s="108"/>
      <c r="I990" s="108"/>
      <c r="J990" s="108"/>
      <c r="K990" s="108"/>
    </row>
    <row r="991">
      <c r="A991" s="11"/>
      <c r="B991" s="116"/>
      <c r="C991" s="108"/>
      <c r="D991" s="108"/>
      <c r="E991" s="108"/>
      <c r="F991" s="108"/>
      <c r="G991" s="108"/>
      <c r="H991" s="108"/>
      <c r="I991" s="108"/>
      <c r="J991" s="108"/>
      <c r="K991" s="108"/>
    </row>
    <row r="992">
      <c r="A992" s="11"/>
      <c r="B992" s="116"/>
      <c r="C992" s="108"/>
      <c r="D992" s="108"/>
      <c r="E992" s="108"/>
      <c r="F992" s="108"/>
      <c r="G992" s="108"/>
      <c r="H992" s="108"/>
      <c r="I992" s="108"/>
      <c r="J992" s="108"/>
      <c r="K992" s="108"/>
    </row>
    <row r="993">
      <c r="A993" s="11"/>
      <c r="B993" s="116"/>
      <c r="C993" s="108"/>
      <c r="D993" s="108"/>
      <c r="E993" s="108"/>
      <c r="F993" s="108"/>
      <c r="G993" s="108"/>
      <c r="H993" s="108"/>
      <c r="I993" s="108"/>
      <c r="J993" s="108"/>
      <c r="K993" s="108"/>
    </row>
    <row r="994">
      <c r="A994" s="11"/>
      <c r="B994" s="116"/>
      <c r="C994" s="108"/>
      <c r="D994" s="108"/>
      <c r="E994" s="108"/>
      <c r="F994" s="108"/>
      <c r="G994" s="108"/>
      <c r="H994" s="108"/>
      <c r="I994" s="108"/>
      <c r="J994" s="108"/>
      <c r="K994" s="108"/>
    </row>
    <row r="995">
      <c r="A995" s="11"/>
      <c r="B995" s="116"/>
      <c r="C995" s="108"/>
      <c r="D995" s="108"/>
      <c r="E995" s="108"/>
      <c r="F995" s="108"/>
      <c r="G995" s="108"/>
      <c r="H995" s="108"/>
      <c r="I995" s="108"/>
      <c r="J995" s="108"/>
      <c r="K995" s="108"/>
    </row>
    <row r="996">
      <c r="A996" s="11"/>
      <c r="B996" s="116"/>
      <c r="C996" s="108"/>
      <c r="D996" s="108"/>
      <c r="E996" s="108"/>
      <c r="F996" s="108"/>
      <c r="G996" s="108"/>
      <c r="H996" s="108"/>
      <c r="I996" s="108"/>
      <c r="J996" s="108"/>
      <c r="K996" s="108"/>
    </row>
    <row r="997">
      <c r="A997" s="11"/>
      <c r="B997" s="116"/>
      <c r="C997" s="108"/>
      <c r="D997" s="108"/>
      <c r="E997" s="108"/>
      <c r="F997" s="108"/>
      <c r="G997" s="108"/>
      <c r="H997" s="108"/>
      <c r="I997" s="108"/>
      <c r="J997" s="108"/>
      <c r="K997" s="108"/>
    </row>
    <row r="998">
      <c r="A998" s="11"/>
      <c r="B998" s="116"/>
      <c r="C998" s="108"/>
      <c r="D998" s="108"/>
      <c r="E998" s="108"/>
      <c r="F998" s="108"/>
      <c r="G998" s="108"/>
      <c r="H998" s="108"/>
      <c r="I998" s="108"/>
      <c r="J998" s="108"/>
      <c r="K998" s="108"/>
    </row>
    <row r="999">
      <c r="A999" s="11"/>
      <c r="B999" s="116"/>
      <c r="C999" s="108"/>
      <c r="D999" s="108"/>
      <c r="E999" s="108"/>
      <c r="F999" s="108"/>
      <c r="G999" s="108"/>
      <c r="H999" s="108"/>
      <c r="I999" s="108"/>
      <c r="J999" s="108"/>
      <c r="K999" s="108"/>
    </row>
    <row r="1000">
      <c r="A1000" s="11"/>
      <c r="B1000" s="116"/>
      <c r="C1000" s="108"/>
      <c r="D1000" s="108"/>
      <c r="E1000" s="108"/>
      <c r="F1000" s="108"/>
      <c r="G1000" s="108"/>
      <c r="H1000" s="108"/>
      <c r="I1000" s="108"/>
      <c r="J1000" s="108"/>
      <c r="K1000" s="108"/>
    </row>
    <row r="1001">
      <c r="A1001" s="11"/>
      <c r="B1001" s="116"/>
      <c r="C1001" s="108"/>
      <c r="D1001" s="108"/>
      <c r="E1001" s="108"/>
      <c r="F1001" s="108"/>
      <c r="G1001" s="108"/>
      <c r="H1001" s="108"/>
      <c r="I1001" s="108"/>
      <c r="J1001" s="108"/>
      <c r="K1001" s="108"/>
    </row>
    <row r="1002">
      <c r="A1002" s="11"/>
      <c r="B1002" s="116"/>
      <c r="C1002" s="108"/>
      <c r="D1002" s="108"/>
      <c r="E1002" s="108"/>
      <c r="F1002" s="108"/>
      <c r="G1002" s="108"/>
      <c r="H1002" s="108"/>
      <c r="I1002" s="108"/>
      <c r="J1002" s="108"/>
      <c r="K1002" s="108"/>
    </row>
    <row r="1003">
      <c r="A1003" s="11"/>
      <c r="B1003" s="116"/>
      <c r="C1003" s="108"/>
      <c r="D1003" s="108"/>
      <c r="E1003" s="108"/>
      <c r="F1003" s="108"/>
      <c r="G1003" s="108"/>
      <c r="H1003" s="108"/>
      <c r="I1003" s="108"/>
      <c r="J1003" s="108"/>
      <c r="K1003" s="108"/>
    </row>
    <row r="1004">
      <c r="A1004" s="11"/>
      <c r="B1004" s="116"/>
      <c r="C1004" s="108"/>
      <c r="D1004" s="108"/>
      <c r="E1004" s="108"/>
      <c r="F1004" s="108"/>
      <c r="G1004" s="108"/>
      <c r="H1004" s="108"/>
      <c r="I1004" s="108"/>
      <c r="J1004" s="108"/>
      <c r="K1004" s="108"/>
    </row>
    <row r="1005">
      <c r="A1005" s="11"/>
      <c r="B1005" s="116"/>
      <c r="C1005" s="108"/>
      <c r="D1005" s="108"/>
      <c r="E1005" s="108"/>
      <c r="F1005" s="108"/>
      <c r="G1005" s="108"/>
      <c r="H1005" s="108"/>
      <c r="I1005" s="108"/>
      <c r="J1005" s="108"/>
      <c r="K1005" s="108"/>
    </row>
    <row r="1006">
      <c r="A1006" s="11"/>
      <c r="B1006" s="116"/>
      <c r="C1006" s="108"/>
      <c r="D1006" s="108"/>
      <c r="E1006" s="108"/>
      <c r="F1006" s="108"/>
      <c r="G1006" s="108"/>
      <c r="H1006" s="108"/>
      <c r="I1006" s="108"/>
      <c r="J1006" s="108"/>
      <c r="K1006" s="108"/>
    </row>
    <row r="1007">
      <c r="A1007" s="11"/>
      <c r="B1007" s="116"/>
      <c r="C1007" s="108"/>
      <c r="D1007" s="108"/>
      <c r="E1007" s="108"/>
      <c r="F1007" s="108"/>
      <c r="G1007" s="108"/>
      <c r="H1007" s="108"/>
      <c r="I1007" s="108"/>
      <c r="J1007" s="108"/>
      <c r="K1007" s="108"/>
    </row>
    <row r="1008">
      <c r="A1008" s="11"/>
      <c r="B1008" s="116"/>
      <c r="C1008" s="108"/>
      <c r="D1008" s="108"/>
      <c r="E1008" s="108"/>
      <c r="F1008" s="108"/>
      <c r="G1008" s="108"/>
      <c r="H1008" s="108"/>
      <c r="I1008" s="108"/>
      <c r="J1008" s="108"/>
      <c r="K1008" s="108"/>
    </row>
    <row r="1009">
      <c r="A1009" s="11"/>
      <c r="B1009" s="116"/>
      <c r="C1009" s="108"/>
      <c r="D1009" s="108"/>
      <c r="E1009" s="108"/>
      <c r="F1009" s="108"/>
      <c r="G1009" s="108"/>
      <c r="H1009" s="108"/>
      <c r="I1009" s="108"/>
      <c r="J1009" s="108"/>
      <c r="K1009" s="108"/>
    </row>
    <row r="1010">
      <c r="A1010" s="11"/>
      <c r="B1010" s="116"/>
      <c r="C1010" s="108"/>
      <c r="D1010" s="108"/>
      <c r="E1010" s="108"/>
      <c r="F1010" s="108"/>
      <c r="G1010" s="108"/>
      <c r="H1010" s="108"/>
      <c r="I1010" s="108"/>
      <c r="J1010" s="108"/>
      <c r="K1010" s="108"/>
    </row>
    <row r="1011">
      <c r="A1011" s="11"/>
      <c r="B1011" s="116"/>
      <c r="C1011" s="108"/>
      <c r="D1011" s="108"/>
      <c r="E1011" s="108"/>
      <c r="F1011" s="108"/>
      <c r="G1011" s="108"/>
      <c r="H1011" s="108"/>
      <c r="I1011" s="108"/>
      <c r="J1011" s="108"/>
      <c r="K1011" s="108"/>
    </row>
    <row r="1012">
      <c r="A1012" s="11"/>
      <c r="B1012" s="116"/>
      <c r="C1012" s="108"/>
      <c r="D1012" s="108"/>
      <c r="E1012" s="108"/>
      <c r="F1012" s="108"/>
      <c r="G1012" s="108"/>
      <c r="H1012" s="108"/>
      <c r="I1012" s="108"/>
      <c r="J1012" s="108"/>
      <c r="K1012" s="108"/>
    </row>
    <row r="1013">
      <c r="A1013" s="11"/>
      <c r="B1013" s="116"/>
      <c r="C1013" s="108"/>
      <c r="D1013" s="108"/>
      <c r="E1013" s="108"/>
      <c r="F1013" s="108"/>
      <c r="G1013" s="108"/>
      <c r="H1013" s="108"/>
      <c r="I1013" s="108"/>
      <c r="J1013" s="108"/>
      <c r="K1013" s="108"/>
    </row>
    <row r="1014">
      <c r="A1014" s="11"/>
      <c r="B1014" s="116"/>
      <c r="C1014" s="108"/>
      <c r="D1014" s="108"/>
      <c r="E1014" s="108"/>
      <c r="F1014" s="108"/>
      <c r="G1014" s="108"/>
      <c r="H1014" s="108"/>
      <c r="I1014" s="108"/>
      <c r="J1014" s="108"/>
      <c r="K1014" s="108"/>
    </row>
    <row r="1015">
      <c r="A1015" s="11"/>
      <c r="B1015" s="116"/>
      <c r="C1015" s="108"/>
      <c r="D1015" s="108"/>
      <c r="E1015" s="108"/>
      <c r="F1015" s="108"/>
      <c r="G1015" s="108"/>
      <c r="H1015" s="108"/>
      <c r="I1015" s="108"/>
      <c r="J1015" s="108"/>
      <c r="K1015" s="108"/>
    </row>
    <row r="1016">
      <c r="A1016" s="11"/>
      <c r="B1016" s="116"/>
      <c r="C1016" s="108"/>
      <c r="D1016" s="108"/>
      <c r="E1016" s="108"/>
      <c r="F1016" s="108"/>
      <c r="G1016" s="108"/>
      <c r="H1016" s="108"/>
      <c r="I1016" s="108"/>
      <c r="J1016" s="108"/>
      <c r="K1016" s="108"/>
    </row>
  </sheetData>
  <mergeCells count="6">
    <mergeCell ref="B2:K2"/>
    <mergeCell ref="B3:K3"/>
    <mergeCell ref="B4:E4"/>
    <mergeCell ref="G4:K4"/>
    <mergeCell ref="B6:B9"/>
    <mergeCell ref="C6:C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18.38"/>
    <col customWidth="1" min="6" max="6" width="3.5"/>
    <col customWidth="1" min="7" max="11" width="29.5"/>
    <col customWidth="1" min="12" max="12" width="8.88"/>
    <col customWidth="1" min="13" max="13" width="29.5"/>
    <col customWidth="1" min="14" max="14" width="38.0"/>
    <col customWidth="1" min="15" max="15" width="47.5"/>
    <col customWidth="1" min="16" max="16" width="26.0"/>
  </cols>
  <sheetData>
    <row r="1" ht="15.0" customHeight="1">
      <c r="A1" s="11"/>
      <c r="B1" s="117"/>
      <c r="C1" s="117"/>
      <c r="D1" s="118"/>
      <c r="E1" s="118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</row>
    <row r="2" ht="73.5" customHeight="1">
      <c r="A2" s="11"/>
      <c r="B2" s="120"/>
      <c r="C2" s="57"/>
      <c r="D2" s="121"/>
      <c r="E2" s="121"/>
      <c r="F2" s="122"/>
      <c r="G2" s="57"/>
      <c r="H2" s="57"/>
      <c r="I2" s="57"/>
      <c r="J2" s="57"/>
      <c r="K2" s="57"/>
      <c r="L2" s="57"/>
      <c r="M2" s="57"/>
      <c r="N2" s="57"/>
      <c r="O2" s="57"/>
      <c r="P2" s="57"/>
      <c r="Q2" s="75"/>
    </row>
    <row r="3">
      <c r="A3" s="11"/>
      <c r="B3" s="123" t="s">
        <v>177</v>
      </c>
      <c r="Q3" s="60"/>
    </row>
    <row r="4">
      <c r="A4" s="11"/>
      <c r="B4" s="61" t="s">
        <v>91</v>
      </c>
      <c r="E4" s="60"/>
      <c r="F4" s="50"/>
      <c r="G4" s="124" t="s">
        <v>178</v>
      </c>
      <c r="K4" s="60"/>
      <c r="L4" s="10"/>
      <c r="M4" s="10" t="s">
        <v>179</v>
      </c>
      <c r="Q4" s="60"/>
    </row>
    <row r="5">
      <c r="A5" s="11"/>
      <c r="B5" s="62" t="s">
        <v>92</v>
      </c>
      <c r="C5" s="63" t="s">
        <v>166</v>
      </c>
      <c r="D5" s="64" t="s">
        <v>94</v>
      </c>
      <c r="E5" s="65" t="s">
        <v>95</v>
      </c>
      <c r="F5" s="50"/>
      <c r="G5" s="125" t="s">
        <v>92</v>
      </c>
      <c r="H5" s="126" t="s">
        <v>166</v>
      </c>
      <c r="I5" s="126" t="s">
        <v>93</v>
      </c>
      <c r="J5" s="127" t="s">
        <v>94</v>
      </c>
      <c r="K5" s="128" t="s">
        <v>95</v>
      </c>
      <c r="L5" s="129"/>
      <c r="M5" s="62" t="s">
        <v>92</v>
      </c>
      <c r="N5" s="63" t="s">
        <v>166</v>
      </c>
      <c r="O5" s="63" t="s">
        <v>93</v>
      </c>
      <c r="P5" s="64" t="s">
        <v>94</v>
      </c>
      <c r="Q5" s="65" t="s">
        <v>95</v>
      </c>
    </row>
    <row r="6">
      <c r="A6" s="11"/>
      <c r="B6" s="16" t="s">
        <v>2</v>
      </c>
      <c r="C6" s="67" t="s">
        <v>180</v>
      </c>
      <c r="D6" s="21" t="s">
        <v>181</v>
      </c>
      <c r="E6" s="76" t="s">
        <v>123</v>
      </c>
      <c r="F6" s="50"/>
      <c r="G6" s="84" t="s">
        <v>36</v>
      </c>
      <c r="H6" s="55" t="s">
        <v>182</v>
      </c>
      <c r="I6" s="55" t="s">
        <v>183</v>
      </c>
      <c r="J6" s="130" t="s">
        <v>97</v>
      </c>
      <c r="K6" s="131" t="s">
        <v>97</v>
      </c>
      <c r="L6" s="80"/>
      <c r="M6" s="77" t="s">
        <v>23</v>
      </c>
      <c r="N6" s="78" t="s">
        <v>184</v>
      </c>
      <c r="O6" s="78" t="s">
        <v>185</v>
      </c>
      <c r="P6" s="21" t="s">
        <v>186</v>
      </c>
      <c r="Q6" s="76">
        <v>20.0</v>
      </c>
    </row>
    <row r="7">
      <c r="A7" s="11"/>
      <c r="B7" s="79"/>
      <c r="E7" s="60"/>
      <c r="F7" s="50"/>
      <c r="G7" s="79"/>
      <c r="K7" s="60"/>
      <c r="L7" s="80"/>
      <c r="M7" s="132" t="s">
        <v>187</v>
      </c>
      <c r="N7" s="80" t="s">
        <v>182</v>
      </c>
      <c r="O7" s="80" t="s">
        <v>188</v>
      </c>
      <c r="P7" s="11" t="s">
        <v>189</v>
      </c>
      <c r="Q7" s="70">
        <v>80.0</v>
      </c>
    </row>
    <row r="8">
      <c r="A8" s="11"/>
      <c r="B8" s="79"/>
      <c r="E8" s="60"/>
      <c r="F8" s="50"/>
      <c r="G8" s="79"/>
      <c r="K8" s="60"/>
      <c r="L8" s="80"/>
      <c r="M8" s="132" t="s">
        <v>190</v>
      </c>
      <c r="N8" s="80" t="s">
        <v>182</v>
      </c>
      <c r="O8" s="80" t="s">
        <v>191</v>
      </c>
      <c r="P8" s="11" t="s">
        <v>192</v>
      </c>
      <c r="Q8" s="70">
        <v>100.0</v>
      </c>
    </row>
    <row r="9">
      <c r="A9" s="11"/>
      <c r="B9" s="79"/>
      <c r="E9" s="60"/>
      <c r="F9" s="50"/>
      <c r="G9" s="79"/>
      <c r="K9" s="60"/>
      <c r="L9" s="80"/>
      <c r="M9" s="33" t="s">
        <v>78</v>
      </c>
      <c r="N9" s="80" t="s">
        <v>182</v>
      </c>
      <c r="O9" s="80" t="s">
        <v>193</v>
      </c>
      <c r="P9" s="11" t="s">
        <v>172</v>
      </c>
      <c r="Q9" s="70">
        <v>50.0</v>
      </c>
    </row>
    <row r="10">
      <c r="A10" s="11"/>
      <c r="B10" s="79"/>
      <c r="E10" s="60"/>
      <c r="F10" s="50"/>
      <c r="G10" s="79"/>
      <c r="K10" s="60"/>
      <c r="L10" s="80"/>
      <c r="M10" s="33" t="s">
        <v>62</v>
      </c>
      <c r="N10" s="80" t="s">
        <v>182</v>
      </c>
      <c r="O10" s="80" t="s">
        <v>194</v>
      </c>
      <c r="P10" s="11" t="s">
        <v>195</v>
      </c>
      <c r="Q10" s="70">
        <v>20.0</v>
      </c>
    </row>
    <row r="11">
      <c r="A11" s="11"/>
      <c r="B11" s="79"/>
      <c r="E11" s="60"/>
      <c r="F11" s="50"/>
      <c r="G11" s="81"/>
      <c r="H11" s="82"/>
      <c r="I11" s="82"/>
      <c r="J11" s="82"/>
      <c r="K11" s="83"/>
      <c r="L11" s="11"/>
      <c r="M11" s="34" t="s">
        <v>69</v>
      </c>
      <c r="N11" s="30" t="s">
        <v>196</v>
      </c>
      <c r="O11" s="30" t="s">
        <v>197</v>
      </c>
      <c r="P11" s="30" t="s">
        <v>198</v>
      </c>
      <c r="Q11" s="72" t="s">
        <v>123</v>
      </c>
    </row>
    <row r="12">
      <c r="A12" s="11"/>
      <c r="B12" s="81"/>
      <c r="C12" s="82"/>
      <c r="D12" s="82"/>
      <c r="E12" s="83"/>
      <c r="F12" s="50"/>
      <c r="G12" s="133" t="s">
        <v>24</v>
      </c>
      <c r="H12" s="134" t="s">
        <v>199</v>
      </c>
      <c r="I12" s="134" t="s">
        <v>200</v>
      </c>
      <c r="J12" s="134" t="s">
        <v>97</v>
      </c>
      <c r="K12" s="135" t="s">
        <v>97</v>
      </c>
      <c r="L12" s="55"/>
      <c r="M12" s="136" t="s">
        <v>201</v>
      </c>
      <c r="N12" s="47"/>
      <c r="O12" s="47"/>
      <c r="P12" s="47"/>
      <c r="Q12" s="48"/>
    </row>
    <row r="13">
      <c r="A13" s="11"/>
      <c r="B13" s="11"/>
      <c r="C13" s="11"/>
      <c r="D13" s="11"/>
      <c r="E13" s="55"/>
      <c r="F13" s="55"/>
      <c r="G13" s="11"/>
      <c r="H13" s="11"/>
      <c r="I13" s="11"/>
      <c r="J13" s="11"/>
      <c r="K13" s="11"/>
      <c r="L13" s="55"/>
      <c r="M13" s="11"/>
      <c r="N13" s="11"/>
      <c r="O13" s="11"/>
      <c r="P13" s="11"/>
      <c r="Q13" s="55"/>
    </row>
    <row r="14">
      <c r="A14" s="11"/>
      <c r="B14" s="137" t="s">
        <v>202</v>
      </c>
      <c r="C14" s="11"/>
      <c r="D14" s="11"/>
      <c r="E14" s="55"/>
      <c r="F14" s="55"/>
      <c r="G14" s="119"/>
      <c r="H14" s="119"/>
      <c r="I14" s="119"/>
      <c r="J14" s="119"/>
      <c r="K14" s="119"/>
      <c r="L14" s="11"/>
      <c r="M14" s="11" t="s">
        <v>35</v>
      </c>
      <c r="N14" s="119"/>
      <c r="O14" s="119"/>
      <c r="P14" s="119"/>
      <c r="Q14" s="119"/>
    </row>
    <row r="15">
      <c r="A15" s="11"/>
      <c r="B15" s="138" t="s">
        <v>203</v>
      </c>
      <c r="C15" s="119"/>
      <c r="D15" s="119"/>
      <c r="E15" s="119"/>
      <c r="F15" s="50"/>
      <c r="G15" s="119"/>
      <c r="H15" s="119"/>
      <c r="I15" s="119"/>
      <c r="J15" s="119"/>
      <c r="K15" s="119"/>
      <c r="L15" s="119"/>
      <c r="M15" s="50" t="s">
        <v>46</v>
      </c>
      <c r="N15" s="119"/>
      <c r="O15" s="119"/>
      <c r="P15" s="119"/>
      <c r="Q15" s="119"/>
    </row>
    <row r="16">
      <c r="A16" s="11"/>
      <c r="B16" s="138"/>
      <c r="C16" s="119"/>
      <c r="D16" s="119"/>
      <c r="E16" s="119"/>
      <c r="F16" s="50"/>
      <c r="G16" s="119"/>
      <c r="H16" s="119"/>
      <c r="I16" s="119"/>
      <c r="J16" s="119"/>
      <c r="K16" s="119"/>
      <c r="L16" s="119"/>
      <c r="M16" s="40" t="s">
        <v>55</v>
      </c>
      <c r="N16" s="119"/>
      <c r="O16" s="119"/>
      <c r="P16" s="119"/>
      <c r="Q16" s="119"/>
    </row>
    <row r="17">
      <c r="A17" s="11"/>
      <c r="B17" s="138"/>
      <c r="C17" s="119"/>
      <c r="D17" s="119"/>
      <c r="E17" s="119"/>
      <c r="F17" s="50"/>
      <c r="G17" s="119"/>
      <c r="H17" s="119"/>
      <c r="I17" s="119"/>
      <c r="J17" s="119"/>
      <c r="K17" s="119"/>
      <c r="L17" s="119"/>
      <c r="M17" s="40" t="s">
        <v>75</v>
      </c>
      <c r="N17" s="119"/>
      <c r="O17" s="119"/>
      <c r="P17" s="119"/>
      <c r="Q17" s="119"/>
    </row>
    <row r="18">
      <c r="A18" s="11"/>
      <c r="B18" s="138"/>
      <c r="C18" s="119"/>
      <c r="D18" s="119"/>
      <c r="E18" s="119"/>
      <c r="F18" s="50"/>
      <c r="G18" s="119"/>
      <c r="H18" s="119"/>
      <c r="I18" s="119"/>
      <c r="J18" s="119"/>
      <c r="K18" s="119"/>
      <c r="L18" s="119"/>
      <c r="M18" s="40" t="s">
        <v>80</v>
      </c>
      <c r="N18" s="119"/>
      <c r="O18" s="119"/>
      <c r="P18" s="119"/>
      <c r="Q18" s="119"/>
    </row>
    <row r="19">
      <c r="A19" s="11"/>
      <c r="B19" s="138"/>
      <c r="C19" s="119"/>
      <c r="D19" s="119"/>
      <c r="E19" s="119"/>
      <c r="F19" s="50"/>
      <c r="G19" s="119"/>
      <c r="H19" s="119"/>
      <c r="I19" s="119"/>
      <c r="J19" s="119"/>
      <c r="K19" s="119"/>
      <c r="L19" s="119"/>
      <c r="M19" s="40"/>
      <c r="N19" s="119"/>
      <c r="O19" s="119"/>
      <c r="P19" s="119"/>
      <c r="Q19" s="119"/>
    </row>
    <row r="20">
      <c r="A20" s="11"/>
      <c r="B20" s="138"/>
      <c r="C20" s="119"/>
      <c r="D20" s="119"/>
      <c r="E20" s="119"/>
      <c r="F20" s="50"/>
      <c r="G20" s="119"/>
      <c r="H20" s="119"/>
      <c r="I20" s="119"/>
      <c r="J20" s="119"/>
      <c r="K20" s="119"/>
      <c r="L20" s="119"/>
      <c r="M20" s="40"/>
      <c r="N20" s="119"/>
      <c r="O20" s="119"/>
      <c r="P20" s="119"/>
      <c r="Q20" s="119"/>
    </row>
    <row r="21">
      <c r="A21" s="11"/>
      <c r="B21" s="138"/>
      <c r="C21" s="119"/>
      <c r="D21" s="119"/>
      <c r="E21" s="119"/>
      <c r="F21" s="50"/>
      <c r="G21" s="119"/>
      <c r="H21" s="119"/>
      <c r="I21" s="119"/>
      <c r="J21" s="119"/>
      <c r="K21" s="119"/>
      <c r="L21" s="119"/>
      <c r="M21" s="138"/>
      <c r="N21" s="119"/>
      <c r="O21" s="119"/>
      <c r="P21" s="119"/>
      <c r="Q21" s="119"/>
    </row>
    <row r="22">
      <c r="A22" s="11"/>
      <c r="B22" s="138"/>
      <c r="C22" s="119"/>
      <c r="D22" s="119"/>
      <c r="E22" s="119"/>
      <c r="F22" s="50"/>
      <c r="G22" s="119"/>
      <c r="H22" s="119"/>
      <c r="I22" s="119"/>
      <c r="J22" s="119"/>
      <c r="K22" s="119"/>
      <c r="L22" s="119"/>
      <c r="M22" s="138"/>
      <c r="N22" s="119"/>
      <c r="O22" s="119"/>
      <c r="P22" s="119"/>
      <c r="Q22" s="119"/>
    </row>
    <row r="23">
      <c r="A23" s="11"/>
      <c r="B23" s="138"/>
      <c r="C23" s="119"/>
      <c r="D23" s="119"/>
      <c r="E23" s="119"/>
      <c r="F23" s="50"/>
      <c r="G23" s="119"/>
      <c r="H23" s="119"/>
      <c r="I23" s="119"/>
      <c r="J23" s="119"/>
      <c r="K23" s="119"/>
      <c r="L23" s="119"/>
      <c r="M23" s="138"/>
      <c r="N23" s="119"/>
      <c r="O23" s="119"/>
      <c r="P23" s="119"/>
      <c r="Q23" s="119"/>
    </row>
    <row r="24">
      <c r="A24" s="11"/>
      <c r="B24" s="138"/>
      <c r="C24" s="119"/>
      <c r="D24" s="119"/>
      <c r="E24" s="119"/>
      <c r="F24" s="50"/>
      <c r="G24" s="119"/>
      <c r="H24" s="119"/>
      <c r="I24" s="119"/>
      <c r="J24" s="119"/>
      <c r="K24" s="119"/>
      <c r="L24" s="119"/>
      <c r="M24" s="138"/>
      <c r="N24" s="119"/>
      <c r="O24" s="119"/>
      <c r="P24" s="119"/>
      <c r="Q24" s="119"/>
    </row>
    <row r="25">
      <c r="A25" s="11"/>
      <c r="B25" s="138"/>
      <c r="C25" s="119"/>
      <c r="D25" s="119"/>
      <c r="E25" s="119"/>
      <c r="F25" s="50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</row>
    <row r="26">
      <c r="A26" s="11"/>
      <c r="B26" s="138"/>
      <c r="C26" s="119"/>
      <c r="D26" s="119"/>
      <c r="E26" s="119"/>
      <c r="F26" s="50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</row>
    <row r="27">
      <c r="A27" s="11"/>
      <c r="B27" s="138"/>
      <c r="C27" s="119"/>
      <c r="D27" s="119"/>
      <c r="E27" s="119"/>
      <c r="F27" s="50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</row>
    <row r="28">
      <c r="A28" s="11"/>
      <c r="B28" s="138"/>
      <c r="C28" s="119"/>
      <c r="D28" s="119"/>
      <c r="E28" s="119"/>
      <c r="F28" s="50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</row>
    <row r="29">
      <c r="A29" s="11"/>
      <c r="B29" s="138"/>
      <c r="C29" s="119"/>
      <c r="D29" s="119"/>
      <c r="E29" s="119"/>
      <c r="F29" s="50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</row>
    <row r="30">
      <c r="A30" s="11"/>
      <c r="B30" s="138"/>
      <c r="C30" s="119"/>
      <c r="D30" s="119"/>
      <c r="E30" s="119"/>
      <c r="F30" s="50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</row>
    <row r="31">
      <c r="A31" s="11"/>
      <c r="B31" s="138"/>
      <c r="C31" s="119"/>
      <c r="D31" s="119"/>
      <c r="E31" s="119"/>
      <c r="F31" s="50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</row>
    <row r="32">
      <c r="A32" s="11"/>
      <c r="B32" s="138"/>
      <c r="C32" s="119"/>
      <c r="D32" s="119"/>
      <c r="E32" s="119"/>
      <c r="F32" s="50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</row>
    <row r="33">
      <c r="A33" s="11"/>
      <c r="B33" s="138"/>
      <c r="C33" s="119"/>
      <c r="D33" s="119"/>
      <c r="E33" s="119"/>
      <c r="F33" s="50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</row>
    <row r="34">
      <c r="A34" s="11"/>
      <c r="B34" s="138"/>
      <c r="C34" s="119"/>
      <c r="D34" s="119"/>
      <c r="E34" s="119"/>
      <c r="F34" s="50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</row>
    <row r="35">
      <c r="A35" s="11"/>
      <c r="B35" s="138"/>
      <c r="C35" s="119"/>
      <c r="D35" s="119"/>
      <c r="E35" s="119"/>
      <c r="F35" s="50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</row>
    <row r="36">
      <c r="A36" s="11"/>
      <c r="B36" s="138"/>
      <c r="C36" s="119"/>
      <c r="D36" s="119"/>
      <c r="E36" s="119"/>
      <c r="F36" s="50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</row>
    <row r="37">
      <c r="A37" s="11"/>
      <c r="B37" s="138"/>
      <c r="C37" s="119"/>
      <c r="D37" s="119"/>
      <c r="E37" s="119"/>
      <c r="F37" s="50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</row>
    <row r="38">
      <c r="A38" s="11"/>
      <c r="B38" s="138"/>
      <c r="C38" s="119"/>
      <c r="D38" s="119"/>
      <c r="E38" s="119"/>
      <c r="F38" s="50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</row>
    <row r="39">
      <c r="A39" s="11"/>
      <c r="B39" s="138"/>
      <c r="C39" s="119"/>
      <c r="D39" s="119"/>
      <c r="E39" s="119"/>
      <c r="F39" s="50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</row>
    <row r="40">
      <c r="A40" s="11"/>
      <c r="B40" s="138"/>
      <c r="C40" s="119"/>
      <c r="D40" s="119"/>
      <c r="E40" s="119"/>
      <c r="F40" s="50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</row>
    <row r="41">
      <c r="A41" s="11"/>
      <c r="B41" s="138"/>
      <c r="C41" s="119"/>
      <c r="D41" s="119"/>
      <c r="E41" s="119"/>
      <c r="F41" s="50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</row>
    <row r="42">
      <c r="A42" s="11"/>
      <c r="B42" s="138"/>
      <c r="C42" s="119"/>
      <c r="D42" s="119"/>
      <c r="E42" s="119"/>
      <c r="F42" s="50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</row>
    <row r="43">
      <c r="A43" s="11"/>
      <c r="B43" s="138"/>
      <c r="C43" s="119"/>
      <c r="D43" s="119"/>
      <c r="E43" s="119"/>
      <c r="F43" s="50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</row>
    <row r="44">
      <c r="A44" s="11"/>
      <c r="B44" s="138"/>
      <c r="C44" s="119"/>
      <c r="D44" s="119"/>
      <c r="E44" s="119"/>
      <c r="F44" s="50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</row>
    <row r="45">
      <c r="A45" s="11"/>
      <c r="B45" s="138"/>
      <c r="C45" s="119"/>
      <c r="D45" s="119"/>
      <c r="E45" s="119"/>
      <c r="F45" s="50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</row>
    <row r="46">
      <c r="A46" s="11"/>
      <c r="B46" s="138"/>
      <c r="C46" s="119"/>
      <c r="D46" s="119"/>
      <c r="E46" s="119"/>
      <c r="F46" s="50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</row>
    <row r="47">
      <c r="A47" s="11"/>
      <c r="B47" s="138"/>
      <c r="C47" s="119"/>
      <c r="D47" s="119"/>
      <c r="E47" s="119"/>
      <c r="F47" s="50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</row>
    <row r="48">
      <c r="A48" s="11"/>
      <c r="B48" s="138"/>
      <c r="C48" s="119"/>
      <c r="D48" s="119"/>
      <c r="E48" s="119"/>
      <c r="F48" s="50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</row>
    <row r="49">
      <c r="A49" s="11"/>
      <c r="B49" s="138"/>
      <c r="C49" s="119"/>
      <c r="D49" s="119"/>
      <c r="E49" s="119"/>
      <c r="F49" s="50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</row>
    <row r="50">
      <c r="A50" s="11"/>
      <c r="B50" s="138"/>
      <c r="C50" s="119"/>
      <c r="D50" s="119"/>
      <c r="E50" s="119"/>
      <c r="F50" s="50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</row>
    <row r="51">
      <c r="A51" s="11"/>
      <c r="B51" s="138"/>
      <c r="C51" s="119"/>
      <c r="D51" s="119"/>
      <c r="E51" s="119"/>
      <c r="F51" s="50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</row>
    <row r="52">
      <c r="A52" s="11"/>
      <c r="B52" s="138"/>
      <c r="C52" s="119"/>
      <c r="D52" s="119"/>
      <c r="E52" s="119"/>
      <c r="F52" s="50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</row>
    <row r="53">
      <c r="A53" s="11"/>
      <c r="B53" s="138"/>
      <c r="C53" s="119"/>
      <c r="D53" s="119"/>
      <c r="E53" s="119"/>
      <c r="F53" s="50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</row>
    <row r="54">
      <c r="A54" s="11"/>
      <c r="B54" s="138"/>
      <c r="C54" s="119"/>
      <c r="D54" s="119"/>
      <c r="E54" s="119"/>
      <c r="F54" s="50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</row>
    <row r="55">
      <c r="A55" s="11"/>
      <c r="B55" s="138"/>
      <c r="C55" s="119"/>
      <c r="D55" s="119"/>
      <c r="E55" s="119"/>
      <c r="F55" s="50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</row>
    <row r="56">
      <c r="A56" s="11"/>
      <c r="B56" s="138"/>
      <c r="C56" s="119"/>
      <c r="D56" s="119"/>
      <c r="E56" s="119"/>
      <c r="F56" s="50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</row>
    <row r="57">
      <c r="A57" s="11"/>
      <c r="B57" s="138"/>
      <c r="C57" s="119"/>
      <c r="D57" s="119"/>
      <c r="E57" s="119"/>
      <c r="F57" s="50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</row>
    <row r="58">
      <c r="A58" s="11"/>
      <c r="B58" s="138"/>
      <c r="C58" s="119"/>
      <c r="D58" s="119"/>
      <c r="E58" s="119"/>
      <c r="F58" s="50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</row>
    <row r="59">
      <c r="A59" s="11"/>
      <c r="B59" s="138"/>
      <c r="C59" s="119"/>
      <c r="D59" s="119"/>
      <c r="E59" s="119"/>
      <c r="F59" s="50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</row>
    <row r="60">
      <c r="A60" s="11"/>
      <c r="B60" s="138"/>
      <c r="C60" s="119"/>
      <c r="D60" s="119"/>
      <c r="E60" s="119"/>
      <c r="F60" s="50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</row>
    <row r="61">
      <c r="A61" s="11"/>
      <c r="B61" s="138"/>
      <c r="C61" s="119"/>
      <c r="D61" s="119"/>
      <c r="E61" s="119"/>
      <c r="F61" s="50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</row>
    <row r="62">
      <c r="A62" s="11"/>
      <c r="B62" s="138"/>
      <c r="C62" s="119"/>
      <c r="D62" s="119"/>
      <c r="E62" s="119"/>
      <c r="F62" s="50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</row>
    <row r="63">
      <c r="A63" s="11"/>
      <c r="B63" s="138"/>
      <c r="C63" s="119"/>
      <c r="D63" s="119"/>
      <c r="E63" s="119"/>
      <c r="F63" s="50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</row>
    <row r="64">
      <c r="A64" s="11"/>
      <c r="B64" s="138"/>
      <c r="C64" s="119"/>
      <c r="D64" s="119"/>
      <c r="E64" s="119"/>
      <c r="F64" s="50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</row>
    <row r="65">
      <c r="A65" s="11"/>
      <c r="B65" s="138"/>
      <c r="C65" s="119"/>
      <c r="D65" s="119"/>
      <c r="E65" s="119"/>
      <c r="F65" s="50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</row>
    <row r="66">
      <c r="A66" s="11"/>
      <c r="B66" s="138"/>
      <c r="C66" s="119"/>
      <c r="D66" s="119"/>
      <c r="E66" s="119"/>
      <c r="F66" s="50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</row>
    <row r="67">
      <c r="A67" s="11"/>
      <c r="B67" s="138"/>
      <c r="C67" s="119"/>
      <c r="D67" s="119"/>
      <c r="E67" s="119"/>
      <c r="F67" s="50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</row>
    <row r="68">
      <c r="A68" s="11"/>
      <c r="B68" s="138"/>
      <c r="C68" s="119"/>
      <c r="D68" s="119"/>
      <c r="E68" s="119"/>
      <c r="F68" s="50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</row>
    <row r="69">
      <c r="A69" s="11"/>
      <c r="B69" s="138"/>
      <c r="C69" s="119"/>
      <c r="D69" s="119"/>
      <c r="E69" s="119"/>
      <c r="F69" s="50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</row>
    <row r="70">
      <c r="A70" s="11"/>
      <c r="B70" s="138"/>
      <c r="C70" s="119"/>
      <c r="D70" s="119"/>
      <c r="E70" s="119"/>
      <c r="F70" s="50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</row>
    <row r="71">
      <c r="A71" s="11"/>
      <c r="B71" s="138"/>
      <c r="C71" s="119"/>
      <c r="D71" s="119"/>
      <c r="E71" s="119"/>
      <c r="F71" s="50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</row>
    <row r="72">
      <c r="A72" s="11"/>
      <c r="B72" s="138"/>
      <c r="C72" s="119"/>
      <c r="D72" s="119"/>
      <c r="E72" s="119"/>
      <c r="F72" s="50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</row>
    <row r="73">
      <c r="A73" s="11"/>
      <c r="B73" s="138"/>
      <c r="C73" s="119"/>
      <c r="D73" s="119"/>
      <c r="E73" s="119"/>
      <c r="F73" s="50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</row>
    <row r="74">
      <c r="A74" s="11"/>
      <c r="B74" s="138"/>
      <c r="C74" s="119"/>
      <c r="D74" s="119"/>
      <c r="E74" s="119"/>
      <c r="F74" s="50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</row>
    <row r="75">
      <c r="A75" s="11"/>
      <c r="B75" s="138"/>
      <c r="C75" s="119"/>
      <c r="D75" s="119"/>
      <c r="E75" s="119"/>
      <c r="F75" s="50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</row>
    <row r="76">
      <c r="A76" s="11"/>
      <c r="B76" s="138"/>
      <c r="C76" s="119"/>
      <c r="D76" s="119"/>
      <c r="E76" s="119"/>
      <c r="F76" s="50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</row>
    <row r="77">
      <c r="A77" s="11"/>
      <c r="B77" s="138"/>
      <c r="C77" s="119"/>
      <c r="D77" s="119"/>
      <c r="E77" s="119"/>
      <c r="F77" s="50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</row>
    <row r="78">
      <c r="A78" s="11"/>
      <c r="B78" s="138"/>
      <c r="C78" s="119"/>
      <c r="D78" s="119"/>
      <c r="E78" s="119"/>
      <c r="F78" s="50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</row>
    <row r="79">
      <c r="A79" s="11"/>
      <c r="B79" s="138"/>
      <c r="C79" s="119"/>
      <c r="D79" s="119"/>
      <c r="E79" s="119"/>
      <c r="F79" s="50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</row>
    <row r="80">
      <c r="A80" s="11"/>
      <c r="B80" s="138"/>
      <c r="C80" s="119"/>
      <c r="D80" s="119"/>
      <c r="E80" s="119"/>
      <c r="F80" s="50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</row>
    <row r="81">
      <c r="A81" s="11"/>
      <c r="B81" s="138"/>
      <c r="C81" s="119"/>
      <c r="D81" s="119"/>
      <c r="E81" s="119"/>
      <c r="F81" s="50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</row>
    <row r="82">
      <c r="A82" s="11"/>
      <c r="B82" s="138"/>
      <c r="C82" s="119"/>
      <c r="D82" s="119"/>
      <c r="E82" s="119"/>
      <c r="F82" s="50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</row>
    <row r="83">
      <c r="A83" s="11"/>
      <c r="B83" s="138"/>
      <c r="C83" s="119"/>
      <c r="D83" s="119"/>
      <c r="E83" s="119"/>
      <c r="F83" s="50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</row>
    <row r="84">
      <c r="A84" s="11"/>
      <c r="B84" s="138"/>
      <c r="C84" s="119"/>
      <c r="D84" s="119"/>
      <c r="E84" s="119"/>
      <c r="F84" s="50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</row>
    <row r="85">
      <c r="A85" s="11"/>
      <c r="B85" s="138"/>
      <c r="C85" s="119"/>
      <c r="D85" s="119"/>
      <c r="E85" s="119"/>
      <c r="F85" s="50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</row>
    <row r="86">
      <c r="A86" s="11"/>
      <c r="B86" s="138"/>
      <c r="C86" s="119"/>
      <c r="D86" s="119"/>
      <c r="E86" s="119"/>
      <c r="F86" s="50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</row>
    <row r="87">
      <c r="A87" s="11"/>
      <c r="B87" s="138"/>
      <c r="C87" s="119"/>
      <c r="D87" s="119"/>
      <c r="E87" s="119"/>
      <c r="F87" s="50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</row>
    <row r="88">
      <c r="A88" s="11"/>
      <c r="B88" s="138"/>
      <c r="C88" s="119"/>
      <c r="D88" s="119"/>
      <c r="E88" s="119"/>
      <c r="F88" s="50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</row>
    <row r="89">
      <c r="A89" s="11"/>
      <c r="B89" s="138"/>
      <c r="C89" s="119"/>
      <c r="D89" s="119"/>
      <c r="E89" s="119"/>
      <c r="F89" s="50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</row>
    <row r="90">
      <c r="A90" s="11"/>
      <c r="B90" s="138"/>
      <c r="C90" s="119"/>
      <c r="D90" s="119"/>
      <c r="E90" s="119"/>
      <c r="F90" s="50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</row>
    <row r="91">
      <c r="A91" s="11"/>
      <c r="B91" s="138"/>
      <c r="C91" s="119"/>
      <c r="D91" s="119"/>
      <c r="E91" s="119"/>
      <c r="F91" s="50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</row>
    <row r="92">
      <c r="A92" s="11"/>
      <c r="B92" s="138"/>
      <c r="C92" s="119"/>
      <c r="D92" s="119"/>
      <c r="E92" s="119"/>
      <c r="F92" s="50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</row>
    <row r="93">
      <c r="A93" s="11"/>
      <c r="B93" s="138"/>
      <c r="C93" s="119"/>
      <c r="D93" s="119"/>
      <c r="E93" s="119"/>
      <c r="F93" s="50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</row>
    <row r="94">
      <c r="A94" s="11"/>
      <c r="B94" s="138"/>
      <c r="C94" s="119"/>
      <c r="D94" s="119"/>
      <c r="E94" s="119"/>
      <c r="F94" s="50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</row>
    <row r="95">
      <c r="A95" s="11"/>
      <c r="B95" s="138"/>
      <c r="C95" s="119"/>
      <c r="D95" s="119"/>
      <c r="E95" s="119"/>
      <c r="F95" s="50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</row>
    <row r="96">
      <c r="A96" s="11"/>
      <c r="B96" s="138"/>
      <c r="C96" s="119"/>
      <c r="D96" s="119"/>
      <c r="E96" s="119"/>
      <c r="F96" s="50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</row>
    <row r="97">
      <c r="A97" s="11"/>
      <c r="B97" s="138"/>
      <c r="C97" s="119"/>
      <c r="D97" s="119"/>
      <c r="E97" s="119"/>
      <c r="F97" s="50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</row>
    <row r="98">
      <c r="A98" s="11"/>
      <c r="B98" s="138"/>
      <c r="C98" s="119"/>
      <c r="D98" s="119"/>
      <c r="E98" s="119"/>
      <c r="F98" s="50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</row>
    <row r="99">
      <c r="A99" s="11"/>
      <c r="B99" s="138"/>
      <c r="C99" s="119"/>
      <c r="D99" s="119"/>
      <c r="E99" s="119"/>
      <c r="F99" s="50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</row>
    <row r="100">
      <c r="A100" s="11"/>
      <c r="B100" s="138"/>
      <c r="C100" s="119"/>
      <c r="D100" s="119"/>
      <c r="E100" s="119"/>
      <c r="F100" s="50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</row>
    <row r="101">
      <c r="A101" s="11"/>
      <c r="B101" s="138"/>
      <c r="C101" s="119"/>
      <c r="D101" s="119"/>
      <c r="E101" s="119"/>
      <c r="F101" s="50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</row>
    <row r="102">
      <c r="A102" s="11"/>
      <c r="B102" s="138"/>
      <c r="C102" s="119"/>
      <c r="D102" s="119"/>
      <c r="E102" s="119"/>
      <c r="F102" s="50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</row>
    <row r="103">
      <c r="A103" s="11"/>
      <c r="B103" s="138"/>
      <c r="C103" s="119"/>
      <c r="D103" s="119"/>
      <c r="E103" s="119"/>
      <c r="F103" s="50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</row>
    <row r="104">
      <c r="A104" s="11"/>
      <c r="B104" s="138"/>
      <c r="C104" s="119"/>
      <c r="D104" s="119"/>
      <c r="E104" s="119"/>
      <c r="F104" s="50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</row>
    <row r="105">
      <c r="A105" s="11"/>
      <c r="B105" s="138"/>
      <c r="C105" s="119"/>
      <c r="D105" s="119"/>
      <c r="E105" s="119"/>
      <c r="F105" s="50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</row>
    <row r="106">
      <c r="A106" s="11"/>
      <c r="B106" s="138"/>
      <c r="C106" s="119"/>
      <c r="D106" s="119"/>
      <c r="E106" s="119"/>
      <c r="F106" s="50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</row>
    <row r="107">
      <c r="A107" s="11"/>
      <c r="B107" s="138"/>
      <c r="C107" s="119"/>
      <c r="D107" s="119"/>
      <c r="E107" s="119"/>
      <c r="F107" s="50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</row>
    <row r="108">
      <c r="A108" s="11"/>
      <c r="B108" s="138"/>
      <c r="C108" s="119"/>
      <c r="D108" s="119"/>
      <c r="E108" s="119"/>
      <c r="F108" s="50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</row>
    <row r="109">
      <c r="A109" s="11"/>
      <c r="B109" s="138"/>
      <c r="C109" s="119"/>
      <c r="D109" s="119"/>
      <c r="E109" s="119"/>
      <c r="F109" s="50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</row>
    <row r="110">
      <c r="A110" s="11"/>
      <c r="B110" s="138"/>
      <c r="C110" s="119"/>
      <c r="D110" s="119"/>
      <c r="E110" s="119"/>
      <c r="F110" s="50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</row>
    <row r="111">
      <c r="A111" s="11"/>
      <c r="B111" s="138"/>
      <c r="C111" s="119"/>
      <c r="D111" s="119"/>
      <c r="E111" s="119"/>
      <c r="F111" s="50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</row>
    <row r="112">
      <c r="A112" s="11"/>
      <c r="B112" s="138"/>
      <c r="C112" s="119"/>
      <c r="D112" s="119"/>
      <c r="E112" s="119"/>
      <c r="F112" s="50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</row>
    <row r="113">
      <c r="A113" s="11"/>
      <c r="B113" s="138"/>
      <c r="C113" s="119"/>
      <c r="D113" s="119"/>
      <c r="E113" s="119"/>
      <c r="F113" s="50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</row>
    <row r="114">
      <c r="A114" s="11"/>
      <c r="B114" s="138"/>
      <c r="C114" s="119"/>
      <c r="D114" s="119"/>
      <c r="E114" s="119"/>
      <c r="F114" s="50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</row>
    <row r="115">
      <c r="A115" s="11"/>
      <c r="B115" s="138"/>
      <c r="C115" s="119"/>
      <c r="D115" s="119"/>
      <c r="E115" s="119"/>
      <c r="F115" s="50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</row>
    <row r="116">
      <c r="A116" s="11"/>
      <c r="B116" s="138"/>
      <c r="C116" s="119"/>
      <c r="D116" s="119"/>
      <c r="E116" s="119"/>
      <c r="F116" s="50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</row>
    <row r="117">
      <c r="A117" s="11"/>
      <c r="B117" s="138"/>
      <c r="C117" s="119"/>
      <c r="D117" s="119"/>
      <c r="E117" s="119"/>
      <c r="F117" s="50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</row>
    <row r="118">
      <c r="A118" s="11"/>
      <c r="B118" s="138"/>
      <c r="C118" s="119"/>
      <c r="D118" s="119"/>
      <c r="E118" s="119"/>
      <c r="F118" s="50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</row>
    <row r="119">
      <c r="A119" s="11"/>
      <c r="B119" s="138"/>
      <c r="C119" s="119"/>
      <c r="D119" s="119"/>
      <c r="E119" s="119"/>
      <c r="F119" s="50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</row>
    <row r="120">
      <c r="A120" s="11"/>
      <c r="B120" s="138"/>
      <c r="C120" s="119"/>
      <c r="D120" s="119"/>
      <c r="E120" s="119"/>
      <c r="F120" s="50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</row>
    <row r="121">
      <c r="A121" s="11"/>
      <c r="B121" s="138"/>
      <c r="C121" s="119"/>
      <c r="D121" s="119"/>
      <c r="E121" s="119"/>
      <c r="F121" s="50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</row>
    <row r="122">
      <c r="A122" s="11"/>
      <c r="B122" s="138"/>
      <c r="C122" s="119"/>
      <c r="D122" s="119"/>
      <c r="E122" s="119"/>
      <c r="F122" s="50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</row>
    <row r="123">
      <c r="A123" s="11"/>
      <c r="B123" s="138"/>
      <c r="C123" s="119"/>
      <c r="D123" s="119"/>
      <c r="E123" s="119"/>
      <c r="F123" s="50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</row>
    <row r="124">
      <c r="A124" s="11"/>
      <c r="B124" s="138"/>
      <c r="C124" s="119"/>
      <c r="D124" s="119"/>
      <c r="E124" s="119"/>
      <c r="F124" s="50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</row>
    <row r="125">
      <c r="A125" s="11"/>
      <c r="B125" s="138"/>
      <c r="C125" s="119"/>
      <c r="D125" s="119"/>
      <c r="E125" s="119"/>
      <c r="F125" s="50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</row>
    <row r="126">
      <c r="A126" s="11"/>
      <c r="B126" s="138"/>
      <c r="C126" s="119"/>
      <c r="D126" s="119"/>
      <c r="E126" s="119"/>
      <c r="F126" s="50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</row>
    <row r="127">
      <c r="A127" s="11"/>
      <c r="B127" s="138"/>
      <c r="C127" s="119"/>
      <c r="D127" s="119"/>
      <c r="E127" s="119"/>
      <c r="F127" s="50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</row>
    <row r="128">
      <c r="A128" s="11"/>
      <c r="B128" s="138"/>
      <c r="C128" s="119"/>
      <c r="D128" s="119"/>
      <c r="E128" s="119"/>
      <c r="F128" s="50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</row>
    <row r="129">
      <c r="A129" s="11"/>
      <c r="B129" s="138"/>
      <c r="C129" s="119"/>
      <c r="D129" s="119"/>
      <c r="E129" s="119"/>
      <c r="F129" s="50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</row>
    <row r="130">
      <c r="A130" s="11"/>
      <c r="B130" s="138"/>
      <c r="C130" s="119"/>
      <c r="D130" s="119"/>
      <c r="E130" s="119"/>
      <c r="F130" s="50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</row>
    <row r="131">
      <c r="A131" s="11"/>
      <c r="B131" s="138"/>
      <c r="C131" s="119"/>
      <c r="D131" s="119"/>
      <c r="E131" s="119"/>
      <c r="F131" s="50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</row>
    <row r="132">
      <c r="A132" s="11"/>
      <c r="B132" s="138"/>
      <c r="C132" s="119"/>
      <c r="D132" s="119"/>
      <c r="E132" s="119"/>
      <c r="F132" s="50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</row>
    <row r="133">
      <c r="A133" s="11"/>
      <c r="B133" s="138"/>
      <c r="C133" s="119"/>
      <c r="D133" s="119"/>
      <c r="E133" s="119"/>
      <c r="F133" s="50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</row>
    <row r="134">
      <c r="A134" s="11"/>
      <c r="B134" s="138"/>
      <c r="C134" s="119"/>
      <c r="D134" s="119"/>
      <c r="E134" s="119"/>
      <c r="F134" s="50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</row>
    <row r="135">
      <c r="A135" s="11"/>
      <c r="B135" s="138"/>
      <c r="C135" s="119"/>
      <c r="D135" s="119"/>
      <c r="E135" s="119"/>
      <c r="F135" s="50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</row>
    <row r="136">
      <c r="A136" s="11"/>
      <c r="B136" s="138"/>
      <c r="C136" s="119"/>
      <c r="D136" s="119"/>
      <c r="E136" s="119"/>
      <c r="F136" s="50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</row>
    <row r="137">
      <c r="A137" s="11"/>
      <c r="B137" s="138"/>
      <c r="C137" s="119"/>
      <c r="D137" s="119"/>
      <c r="E137" s="119"/>
      <c r="F137" s="50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</row>
    <row r="138">
      <c r="A138" s="11"/>
      <c r="B138" s="138"/>
      <c r="C138" s="119"/>
      <c r="D138" s="119"/>
      <c r="E138" s="119"/>
      <c r="F138" s="50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</row>
    <row r="139">
      <c r="A139" s="11"/>
      <c r="B139" s="138"/>
      <c r="C139" s="119"/>
      <c r="D139" s="119"/>
      <c r="E139" s="119"/>
      <c r="F139" s="50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</row>
    <row r="140">
      <c r="A140" s="11"/>
      <c r="B140" s="138"/>
      <c r="C140" s="119"/>
      <c r="D140" s="119"/>
      <c r="E140" s="119"/>
      <c r="F140" s="50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</row>
    <row r="141">
      <c r="A141" s="11"/>
      <c r="B141" s="138"/>
      <c r="C141" s="119"/>
      <c r="D141" s="119"/>
      <c r="E141" s="119"/>
      <c r="F141" s="50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</row>
    <row r="142">
      <c r="A142" s="11"/>
      <c r="B142" s="138"/>
      <c r="C142" s="119"/>
      <c r="D142" s="119"/>
      <c r="E142" s="119"/>
      <c r="F142" s="50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</row>
    <row r="143">
      <c r="A143" s="11"/>
      <c r="B143" s="138"/>
      <c r="C143" s="119"/>
      <c r="D143" s="119"/>
      <c r="E143" s="119"/>
      <c r="F143" s="50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</row>
    <row r="144">
      <c r="A144" s="11"/>
      <c r="B144" s="138"/>
      <c r="C144" s="119"/>
      <c r="D144" s="119"/>
      <c r="E144" s="119"/>
      <c r="F144" s="50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</row>
    <row r="145">
      <c r="A145" s="11"/>
      <c r="B145" s="138"/>
      <c r="C145" s="119"/>
      <c r="D145" s="119"/>
      <c r="E145" s="119"/>
      <c r="F145" s="50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</row>
    <row r="146">
      <c r="A146" s="11"/>
      <c r="B146" s="138"/>
      <c r="C146" s="119"/>
      <c r="D146" s="119"/>
      <c r="E146" s="119"/>
      <c r="F146" s="50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</row>
    <row r="147">
      <c r="A147" s="11"/>
      <c r="B147" s="138"/>
      <c r="C147" s="119"/>
      <c r="D147" s="119"/>
      <c r="E147" s="119"/>
      <c r="F147" s="50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</row>
    <row r="148">
      <c r="A148" s="11"/>
      <c r="B148" s="138"/>
      <c r="C148" s="119"/>
      <c r="D148" s="119"/>
      <c r="E148" s="119"/>
      <c r="F148" s="50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</row>
    <row r="149">
      <c r="A149" s="11"/>
      <c r="B149" s="138"/>
      <c r="C149" s="119"/>
      <c r="D149" s="119"/>
      <c r="E149" s="119"/>
      <c r="F149" s="50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</row>
    <row r="150">
      <c r="A150" s="11"/>
      <c r="B150" s="138"/>
      <c r="C150" s="119"/>
      <c r="D150" s="119"/>
      <c r="E150" s="119"/>
      <c r="F150" s="50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</row>
    <row r="151">
      <c r="A151" s="11"/>
      <c r="B151" s="138"/>
      <c r="C151" s="119"/>
      <c r="D151" s="119"/>
      <c r="E151" s="119"/>
      <c r="F151" s="50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</row>
    <row r="152">
      <c r="A152" s="11"/>
      <c r="B152" s="138"/>
      <c r="C152" s="119"/>
      <c r="D152" s="119"/>
      <c r="E152" s="119"/>
      <c r="F152" s="50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</row>
    <row r="153">
      <c r="A153" s="11"/>
      <c r="B153" s="138"/>
      <c r="C153" s="119"/>
      <c r="D153" s="119"/>
      <c r="E153" s="119"/>
      <c r="F153" s="50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</row>
    <row r="154">
      <c r="A154" s="11"/>
      <c r="B154" s="138"/>
      <c r="C154" s="119"/>
      <c r="D154" s="119"/>
      <c r="E154" s="119"/>
      <c r="F154" s="50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</row>
    <row r="155">
      <c r="A155" s="11"/>
      <c r="B155" s="138"/>
      <c r="C155" s="119"/>
      <c r="D155" s="119"/>
      <c r="E155" s="119"/>
      <c r="F155" s="50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</row>
    <row r="156">
      <c r="A156" s="11"/>
      <c r="B156" s="138"/>
      <c r="C156" s="119"/>
      <c r="D156" s="119"/>
      <c r="E156" s="119"/>
      <c r="F156" s="50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</row>
    <row r="157">
      <c r="A157" s="11"/>
      <c r="B157" s="138"/>
      <c r="C157" s="119"/>
      <c r="D157" s="119"/>
      <c r="E157" s="119"/>
      <c r="F157" s="50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</row>
    <row r="158">
      <c r="A158" s="11"/>
      <c r="B158" s="138"/>
      <c r="C158" s="119"/>
      <c r="D158" s="119"/>
      <c r="E158" s="119"/>
      <c r="F158" s="50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</row>
    <row r="159">
      <c r="A159" s="11"/>
      <c r="B159" s="138"/>
      <c r="C159" s="119"/>
      <c r="D159" s="119"/>
      <c r="E159" s="119"/>
      <c r="F159" s="50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</row>
    <row r="160">
      <c r="A160" s="11"/>
      <c r="B160" s="138"/>
      <c r="C160" s="119"/>
      <c r="D160" s="119"/>
      <c r="E160" s="119"/>
      <c r="F160" s="50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</row>
    <row r="161">
      <c r="A161" s="11"/>
      <c r="B161" s="138"/>
      <c r="C161" s="119"/>
      <c r="D161" s="119"/>
      <c r="E161" s="119"/>
      <c r="F161" s="50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</row>
    <row r="162">
      <c r="A162" s="11"/>
      <c r="B162" s="138"/>
      <c r="C162" s="119"/>
      <c r="D162" s="119"/>
      <c r="E162" s="119"/>
      <c r="F162" s="50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</row>
    <row r="163">
      <c r="A163" s="11"/>
      <c r="B163" s="138"/>
      <c r="C163" s="119"/>
      <c r="D163" s="119"/>
      <c r="E163" s="119"/>
      <c r="F163" s="50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</row>
    <row r="164">
      <c r="A164" s="11"/>
      <c r="B164" s="138"/>
      <c r="C164" s="119"/>
      <c r="D164" s="119"/>
      <c r="E164" s="119"/>
      <c r="F164" s="50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</row>
    <row r="165">
      <c r="A165" s="11"/>
      <c r="B165" s="138"/>
      <c r="C165" s="119"/>
      <c r="D165" s="119"/>
      <c r="E165" s="119"/>
      <c r="F165" s="50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</row>
    <row r="166">
      <c r="A166" s="11"/>
      <c r="B166" s="138"/>
      <c r="C166" s="119"/>
      <c r="D166" s="119"/>
      <c r="E166" s="119"/>
      <c r="F166" s="50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</row>
    <row r="167">
      <c r="A167" s="11"/>
      <c r="B167" s="138"/>
      <c r="C167" s="119"/>
      <c r="D167" s="119"/>
      <c r="E167" s="119"/>
      <c r="F167" s="50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</row>
    <row r="168">
      <c r="A168" s="11"/>
      <c r="B168" s="138"/>
      <c r="C168" s="119"/>
      <c r="D168" s="119"/>
      <c r="E168" s="119"/>
      <c r="F168" s="50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</row>
    <row r="169">
      <c r="A169" s="11"/>
      <c r="B169" s="138"/>
      <c r="C169" s="119"/>
      <c r="D169" s="119"/>
      <c r="E169" s="119"/>
      <c r="F169" s="50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</row>
    <row r="170">
      <c r="A170" s="11"/>
      <c r="B170" s="138"/>
      <c r="C170" s="119"/>
      <c r="D170" s="119"/>
      <c r="E170" s="119"/>
      <c r="F170" s="50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</row>
    <row r="171">
      <c r="A171" s="11"/>
      <c r="B171" s="138"/>
      <c r="C171" s="119"/>
      <c r="D171" s="119"/>
      <c r="E171" s="119"/>
      <c r="F171" s="50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</row>
    <row r="172">
      <c r="A172" s="11"/>
      <c r="B172" s="138"/>
      <c r="C172" s="119"/>
      <c r="D172" s="119"/>
      <c r="E172" s="119"/>
      <c r="F172" s="50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</row>
    <row r="173">
      <c r="A173" s="11"/>
      <c r="B173" s="138"/>
      <c r="C173" s="119"/>
      <c r="D173" s="119"/>
      <c r="E173" s="119"/>
      <c r="F173" s="50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</row>
    <row r="174">
      <c r="A174" s="11"/>
      <c r="B174" s="138"/>
      <c r="C174" s="119"/>
      <c r="D174" s="119"/>
      <c r="E174" s="119"/>
      <c r="F174" s="50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</row>
    <row r="175">
      <c r="A175" s="11"/>
      <c r="B175" s="138"/>
      <c r="C175" s="119"/>
      <c r="D175" s="119"/>
      <c r="E175" s="119"/>
      <c r="F175" s="50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</row>
    <row r="176">
      <c r="A176" s="11"/>
      <c r="B176" s="138"/>
      <c r="C176" s="119"/>
      <c r="D176" s="119"/>
      <c r="E176" s="119"/>
      <c r="F176" s="50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</row>
    <row r="177">
      <c r="A177" s="11"/>
      <c r="B177" s="138"/>
      <c r="C177" s="119"/>
      <c r="D177" s="119"/>
      <c r="E177" s="119"/>
      <c r="F177" s="50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</row>
    <row r="178">
      <c r="A178" s="11"/>
      <c r="B178" s="138"/>
      <c r="C178" s="119"/>
      <c r="D178" s="119"/>
      <c r="E178" s="119"/>
      <c r="F178" s="50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</row>
    <row r="179">
      <c r="A179" s="11"/>
      <c r="B179" s="138"/>
      <c r="C179" s="119"/>
      <c r="D179" s="119"/>
      <c r="E179" s="119"/>
      <c r="F179" s="50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</row>
    <row r="180">
      <c r="A180" s="11"/>
      <c r="B180" s="138"/>
      <c r="C180" s="119"/>
      <c r="D180" s="119"/>
      <c r="E180" s="119"/>
      <c r="F180" s="50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</row>
    <row r="181">
      <c r="A181" s="11"/>
      <c r="B181" s="138"/>
      <c r="C181" s="119"/>
      <c r="D181" s="119"/>
      <c r="E181" s="119"/>
      <c r="F181" s="50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</row>
    <row r="182">
      <c r="A182" s="11"/>
      <c r="B182" s="138"/>
      <c r="C182" s="119"/>
      <c r="D182" s="119"/>
      <c r="E182" s="119"/>
      <c r="F182" s="50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</row>
    <row r="183">
      <c r="A183" s="11"/>
      <c r="B183" s="138"/>
      <c r="C183" s="119"/>
      <c r="D183" s="119"/>
      <c r="E183" s="119"/>
      <c r="F183" s="50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</row>
    <row r="184">
      <c r="A184" s="11"/>
      <c r="B184" s="138"/>
      <c r="C184" s="119"/>
      <c r="D184" s="119"/>
      <c r="E184" s="119"/>
      <c r="F184" s="50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</row>
    <row r="185">
      <c r="A185" s="11"/>
      <c r="B185" s="138"/>
      <c r="C185" s="119"/>
      <c r="D185" s="119"/>
      <c r="E185" s="119"/>
      <c r="F185" s="50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</row>
    <row r="186">
      <c r="A186" s="11"/>
      <c r="B186" s="138"/>
      <c r="C186" s="119"/>
      <c r="D186" s="119"/>
      <c r="E186" s="119"/>
      <c r="F186" s="50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</row>
    <row r="187">
      <c r="A187" s="11"/>
      <c r="B187" s="138"/>
      <c r="C187" s="119"/>
      <c r="D187" s="119"/>
      <c r="E187" s="119"/>
      <c r="F187" s="50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</row>
    <row r="188">
      <c r="A188" s="11"/>
      <c r="B188" s="138"/>
      <c r="C188" s="119"/>
      <c r="D188" s="119"/>
      <c r="E188" s="119"/>
      <c r="F188" s="50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</row>
    <row r="189">
      <c r="A189" s="11"/>
      <c r="B189" s="138"/>
      <c r="C189" s="119"/>
      <c r="D189" s="119"/>
      <c r="E189" s="119"/>
      <c r="F189" s="50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</row>
    <row r="190">
      <c r="A190" s="11"/>
      <c r="B190" s="138"/>
      <c r="C190" s="119"/>
      <c r="D190" s="119"/>
      <c r="E190" s="119"/>
      <c r="F190" s="50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</row>
    <row r="191">
      <c r="A191" s="11"/>
      <c r="B191" s="138"/>
      <c r="C191" s="119"/>
      <c r="D191" s="119"/>
      <c r="E191" s="119"/>
      <c r="F191" s="50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</row>
    <row r="192">
      <c r="A192" s="11"/>
      <c r="B192" s="138"/>
      <c r="C192" s="119"/>
      <c r="D192" s="119"/>
      <c r="E192" s="119"/>
      <c r="F192" s="50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</row>
    <row r="193">
      <c r="A193" s="11"/>
      <c r="B193" s="138"/>
      <c r="C193" s="119"/>
      <c r="D193" s="119"/>
      <c r="E193" s="119"/>
      <c r="F193" s="50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</row>
    <row r="194">
      <c r="A194" s="11"/>
      <c r="B194" s="138"/>
      <c r="C194" s="119"/>
      <c r="D194" s="119"/>
      <c r="E194" s="119"/>
      <c r="F194" s="50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</row>
    <row r="195">
      <c r="A195" s="11"/>
      <c r="B195" s="138"/>
      <c r="C195" s="119"/>
      <c r="D195" s="119"/>
      <c r="E195" s="119"/>
      <c r="F195" s="50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</row>
    <row r="196">
      <c r="A196" s="11"/>
      <c r="B196" s="138"/>
      <c r="C196" s="119"/>
      <c r="D196" s="119"/>
      <c r="E196" s="119"/>
      <c r="F196" s="50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</row>
    <row r="197">
      <c r="A197" s="11"/>
      <c r="B197" s="138"/>
      <c r="C197" s="119"/>
      <c r="D197" s="119"/>
      <c r="E197" s="119"/>
      <c r="F197" s="50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</row>
    <row r="198">
      <c r="A198" s="11"/>
      <c r="B198" s="138"/>
      <c r="C198" s="119"/>
      <c r="D198" s="119"/>
      <c r="E198" s="119"/>
      <c r="F198" s="50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</row>
    <row r="199">
      <c r="A199" s="11"/>
      <c r="B199" s="138"/>
      <c r="C199" s="119"/>
      <c r="D199" s="119"/>
      <c r="E199" s="119"/>
      <c r="F199" s="50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</row>
    <row r="200">
      <c r="A200" s="11"/>
      <c r="B200" s="138"/>
      <c r="C200" s="119"/>
      <c r="D200" s="119"/>
      <c r="E200" s="119"/>
      <c r="F200" s="50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</row>
    <row r="201">
      <c r="A201" s="11"/>
      <c r="B201" s="138"/>
      <c r="C201" s="119"/>
      <c r="D201" s="119"/>
      <c r="E201" s="119"/>
      <c r="F201" s="50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</row>
    <row r="202">
      <c r="A202" s="11"/>
      <c r="B202" s="138"/>
      <c r="C202" s="119"/>
      <c r="D202" s="119"/>
      <c r="E202" s="119"/>
      <c r="F202" s="50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</row>
    <row r="203">
      <c r="A203" s="11"/>
      <c r="B203" s="138"/>
      <c r="C203" s="119"/>
      <c r="D203" s="119"/>
      <c r="E203" s="119"/>
      <c r="F203" s="50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</row>
    <row r="204">
      <c r="A204" s="11"/>
      <c r="B204" s="138"/>
      <c r="C204" s="119"/>
      <c r="D204" s="119"/>
      <c r="E204" s="119"/>
      <c r="F204" s="50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</row>
    <row r="205">
      <c r="A205" s="11"/>
      <c r="B205" s="138"/>
      <c r="C205" s="119"/>
      <c r="D205" s="119"/>
      <c r="E205" s="119"/>
      <c r="F205" s="50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</row>
    <row r="206">
      <c r="A206" s="11"/>
      <c r="B206" s="138"/>
      <c r="C206" s="119"/>
      <c r="D206" s="119"/>
      <c r="E206" s="119"/>
      <c r="F206" s="50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</row>
    <row r="207">
      <c r="A207" s="11"/>
      <c r="B207" s="138"/>
      <c r="C207" s="119"/>
      <c r="D207" s="119"/>
      <c r="E207" s="119"/>
      <c r="F207" s="50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</row>
    <row r="208">
      <c r="A208" s="11"/>
      <c r="B208" s="138"/>
      <c r="C208" s="119"/>
      <c r="D208" s="119"/>
      <c r="E208" s="119"/>
      <c r="F208" s="50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</row>
    <row r="209">
      <c r="A209" s="11"/>
      <c r="B209" s="138"/>
      <c r="C209" s="119"/>
      <c r="D209" s="119"/>
      <c r="E209" s="119"/>
      <c r="F209" s="50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</row>
    <row r="210">
      <c r="A210" s="11"/>
      <c r="B210" s="138"/>
      <c r="C210" s="119"/>
      <c r="D210" s="119"/>
      <c r="E210" s="119"/>
      <c r="F210" s="50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</row>
    <row r="211">
      <c r="A211" s="11"/>
      <c r="B211" s="138"/>
      <c r="C211" s="119"/>
      <c r="D211" s="119"/>
      <c r="E211" s="119"/>
      <c r="F211" s="50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</row>
    <row r="212">
      <c r="A212" s="11"/>
      <c r="B212" s="138"/>
      <c r="C212" s="119"/>
      <c r="D212" s="119"/>
      <c r="E212" s="119"/>
      <c r="F212" s="50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</row>
    <row r="213">
      <c r="A213" s="11"/>
      <c r="B213" s="138"/>
      <c r="C213" s="119"/>
      <c r="D213" s="119"/>
      <c r="E213" s="119"/>
      <c r="F213" s="50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</row>
    <row r="214">
      <c r="A214" s="11"/>
      <c r="B214" s="138"/>
      <c r="C214" s="119"/>
      <c r="D214" s="119"/>
      <c r="E214" s="119"/>
      <c r="F214" s="50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</row>
    <row r="215">
      <c r="A215" s="11"/>
      <c r="B215" s="138"/>
      <c r="C215" s="119"/>
      <c r="D215" s="119"/>
      <c r="E215" s="119"/>
      <c r="F215" s="50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</row>
    <row r="216">
      <c r="A216" s="11"/>
      <c r="B216" s="138"/>
      <c r="C216" s="119"/>
      <c r="D216" s="119"/>
      <c r="E216" s="119"/>
      <c r="F216" s="50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</row>
    <row r="217">
      <c r="A217" s="11"/>
      <c r="B217" s="138"/>
      <c r="C217" s="119"/>
      <c r="D217" s="119"/>
      <c r="E217" s="119"/>
      <c r="F217" s="50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</row>
    <row r="218">
      <c r="A218" s="11"/>
      <c r="B218" s="138"/>
      <c r="C218" s="119"/>
      <c r="D218" s="119"/>
      <c r="E218" s="119"/>
      <c r="F218" s="50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</row>
    <row r="219">
      <c r="A219" s="11"/>
      <c r="B219" s="138"/>
      <c r="C219" s="119"/>
      <c r="D219" s="119"/>
      <c r="E219" s="119"/>
      <c r="F219" s="50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</row>
    <row r="220">
      <c r="A220" s="11"/>
      <c r="B220" s="138"/>
      <c r="C220" s="119"/>
      <c r="D220" s="119"/>
      <c r="E220" s="119"/>
      <c r="F220" s="50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</row>
    <row r="221">
      <c r="A221" s="11"/>
      <c r="B221" s="138"/>
      <c r="C221" s="119"/>
      <c r="D221" s="119"/>
      <c r="E221" s="119"/>
      <c r="F221" s="50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</row>
    <row r="222">
      <c r="A222" s="11"/>
      <c r="B222" s="138"/>
      <c r="C222" s="119"/>
      <c r="D222" s="119"/>
      <c r="E222" s="119"/>
      <c r="F222" s="50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</row>
    <row r="223">
      <c r="A223" s="11"/>
      <c r="B223" s="138"/>
      <c r="C223" s="119"/>
      <c r="D223" s="119"/>
      <c r="E223" s="119"/>
      <c r="F223" s="50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</row>
    <row r="224">
      <c r="A224" s="11"/>
      <c r="B224" s="138"/>
      <c r="C224" s="119"/>
      <c r="D224" s="119"/>
      <c r="E224" s="119"/>
      <c r="F224" s="50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</row>
    <row r="225">
      <c r="A225" s="11"/>
      <c r="B225" s="138"/>
      <c r="C225" s="119"/>
      <c r="D225" s="119"/>
      <c r="E225" s="119"/>
      <c r="F225" s="50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</row>
    <row r="226">
      <c r="A226" s="11"/>
      <c r="B226" s="138"/>
      <c r="C226" s="119"/>
      <c r="D226" s="119"/>
      <c r="E226" s="119"/>
      <c r="F226" s="50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</row>
    <row r="227">
      <c r="A227" s="11"/>
      <c r="B227" s="138"/>
      <c r="C227" s="119"/>
      <c r="D227" s="119"/>
      <c r="E227" s="119"/>
      <c r="F227" s="50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</row>
    <row r="228">
      <c r="A228" s="11"/>
      <c r="B228" s="138"/>
      <c r="C228" s="119"/>
      <c r="D228" s="119"/>
      <c r="E228" s="119"/>
      <c r="F228" s="50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</row>
    <row r="229">
      <c r="A229" s="11"/>
      <c r="B229" s="138"/>
      <c r="C229" s="119"/>
      <c r="D229" s="119"/>
      <c r="E229" s="119"/>
      <c r="F229" s="50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</row>
    <row r="230">
      <c r="A230" s="11"/>
      <c r="B230" s="138"/>
      <c r="C230" s="119"/>
      <c r="D230" s="119"/>
      <c r="E230" s="119"/>
      <c r="F230" s="50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</row>
    <row r="231">
      <c r="A231" s="11"/>
      <c r="B231" s="138"/>
      <c r="C231" s="119"/>
      <c r="D231" s="119"/>
      <c r="E231" s="119"/>
      <c r="F231" s="50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</row>
    <row r="232">
      <c r="A232" s="11"/>
      <c r="B232" s="138"/>
      <c r="C232" s="119"/>
      <c r="D232" s="119"/>
      <c r="E232" s="119"/>
      <c r="F232" s="50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</row>
    <row r="233">
      <c r="A233" s="11"/>
      <c r="B233" s="138"/>
      <c r="C233" s="119"/>
      <c r="D233" s="119"/>
      <c r="E233" s="119"/>
      <c r="F233" s="50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</row>
    <row r="234">
      <c r="A234" s="11"/>
      <c r="B234" s="138"/>
      <c r="C234" s="119"/>
      <c r="D234" s="119"/>
      <c r="E234" s="119"/>
      <c r="F234" s="50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</row>
    <row r="235">
      <c r="A235" s="11"/>
      <c r="B235" s="138"/>
      <c r="C235" s="119"/>
      <c r="D235" s="119"/>
      <c r="E235" s="119"/>
      <c r="F235" s="50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</row>
    <row r="236">
      <c r="A236" s="11"/>
      <c r="B236" s="138"/>
      <c r="C236" s="119"/>
      <c r="D236" s="119"/>
      <c r="E236" s="119"/>
      <c r="F236" s="50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</row>
    <row r="237">
      <c r="A237" s="11"/>
      <c r="B237" s="138"/>
      <c r="C237" s="119"/>
      <c r="D237" s="119"/>
      <c r="E237" s="119"/>
      <c r="F237" s="50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</row>
    <row r="238">
      <c r="A238" s="11"/>
      <c r="B238" s="138"/>
      <c r="C238" s="119"/>
      <c r="D238" s="119"/>
      <c r="E238" s="119"/>
      <c r="F238" s="50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</row>
    <row r="239">
      <c r="A239" s="11"/>
      <c r="B239" s="138"/>
      <c r="C239" s="119"/>
      <c r="D239" s="119"/>
      <c r="E239" s="119"/>
      <c r="F239" s="50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</row>
    <row r="240">
      <c r="A240" s="11"/>
      <c r="B240" s="138"/>
      <c r="C240" s="119"/>
      <c r="D240" s="119"/>
      <c r="E240" s="119"/>
      <c r="F240" s="50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</row>
    <row r="241">
      <c r="A241" s="11"/>
      <c r="B241" s="138"/>
      <c r="C241" s="119"/>
      <c r="D241" s="119"/>
      <c r="E241" s="119"/>
      <c r="F241" s="50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</row>
    <row r="242">
      <c r="A242" s="11"/>
      <c r="B242" s="138"/>
      <c r="C242" s="119"/>
      <c r="D242" s="119"/>
      <c r="E242" s="119"/>
      <c r="F242" s="50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</row>
    <row r="243">
      <c r="A243" s="11"/>
      <c r="B243" s="138"/>
      <c r="C243" s="119"/>
      <c r="D243" s="119"/>
      <c r="E243" s="119"/>
      <c r="F243" s="50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</row>
    <row r="244">
      <c r="A244" s="11"/>
      <c r="B244" s="138"/>
      <c r="C244" s="119"/>
      <c r="D244" s="119"/>
      <c r="E244" s="119"/>
      <c r="F244" s="50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</row>
    <row r="245">
      <c r="A245" s="11"/>
      <c r="B245" s="138"/>
      <c r="C245" s="119"/>
      <c r="D245" s="119"/>
      <c r="E245" s="119"/>
      <c r="F245" s="50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</row>
    <row r="246">
      <c r="A246" s="11"/>
      <c r="B246" s="138"/>
      <c r="C246" s="119"/>
      <c r="D246" s="119"/>
      <c r="E246" s="119"/>
      <c r="F246" s="50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</row>
    <row r="247">
      <c r="A247" s="11"/>
      <c r="B247" s="138"/>
      <c r="C247" s="119"/>
      <c r="D247" s="119"/>
      <c r="E247" s="119"/>
      <c r="F247" s="50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</row>
    <row r="248">
      <c r="A248" s="11"/>
      <c r="B248" s="138"/>
      <c r="C248" s="119"/>
      <c r="D248" s="119"/>
      <c r="E248" s="119"/>
      <c r="F248" s="50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</row>
    <row r="249">
      <c r="A249" s="11"/>
      <c r="B249" s="138"/>
      <c r="C249" s="119"/>
      <c r="D249" s="119"/>
      <c r="E249" s="119"/>
      <c r="F249" s="50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</row>
    <row r="250">
      <c r="A250" s="11"/>
      <c r="B250" s="138"/>
      <c r="C250" s="119"/>
      <c r="D250" s="119"/>
      <c r="E250" s="119"/>
      <c r="F250" s="50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</row>
    <row r="251">
      <c r="A251" s="11"/>
      <c r="B251" s="138"/>
      <c r="C251" s="119"/>
      <c r="D251" s="119"/>
      <c r="E251" s="119"/>
      <c r="F251" s="50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</row>
    <row r="252">
      <c r="A252" s="11"/>
      <c r="B252" s="138"/>
      <c r="C252" s="119"/>
      <c r="D252" s="119"/>
      <c r="E252" s="119"/>
      <c r="F252" s="50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</row>
    <row r="253">
      <c r="A253" s="11"/>
      <c r="B253" s="138"/>
      <c r="C253" s="119"/>
      <c r="D253" s="119"/>
      <c r="E253" s="119"/>
      <c r="F253" s="50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</row>
    <row r="254">
      <c r="A254" s="11"/>
      <c r="B254" s="138"/>
      <c r="C254" s="119"/>
      <c r="D254" s="119"/>
      <c r="E254" s="119"/>
      <c r="F254" s="50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</row>
    <row r="255">
      <c r="A255" s="11"/>
      <c r="B255" s="138"/>
      <c r="C255" s="119"/>
      <c r="D255" s="119"/>
      <c r="E255" s="119"/>
      <c r="F255" s="50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</row>
    <row r="256">
      <c r="A256" s="11"/>
      <c r="B256" s="138"/>
      <c r="C256" s="119"/>
      <c r="D256" s="119"/>
      <c r="E256" s="119"/>
      <c r="F256" s="50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</row>
    <row r="257">
      <c r="A257" s="11"/>
      <c r="B257" s="138"/>
      <c r="C257" s="119"/>
      <c r="D257" s="119"/>
      <c r="E257" s="119"/>
      <c r="F257" s="50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</row>
    <row r="258">
      <c r="A258" s="11"/>
      <c r="B258" s="138"/>
      <c r="C258" s="119"/>
      <c r="D258" s="119"/>
      <c r="E258" s="119"/>
      <c r="F258" s="50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</row>
    <row r="259">
      <c r="A259" s="11"/>
      <c r="B259" s="138"/>
      <c r="C259" s="119"/>
      <c r="D259" s="119"/>
      <c r="E259" s="119"/>
      <c r="F259" s="50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</row>
    <row r="260">
      <c r="A260" s="11"/>
      <c r="B260" s="138"/>
      <c r="C260" s="119"/>
      <c r="D260" s="119"/>
      <c r="E260" s="119"/>
      <c r="F260" s="50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</row>
    <row r="261">
      <c r="A261" s="11"/>
      <c r="B261" s="138"/>
      <c r="C261" s="119"/>
      <c r="D261" s="119"/>
      <c r="E261" s="119"/>
      <c r="F261" s="50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</row>
    <row r="262">
      <c r="A262" s="11"/>
      <c r="B262" s="138"/>
      <c r="C262" s="119"/>
      <c r="D262" s="119"/>
      <c r="E262" s="119"/>
      <c r="F262" s="50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</row>
    <row r="263">
      <c r="A263" s="11"/>
      <c r="B263" s="138"/>
      <c r="C263" s="119"/>
      <c r="D263" s="119"/>
      <c r="E263" s="119"/>
      <c r="F263" s="50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</row>
    <row r="264">
      <c r="A264" s="11"/>
      <c r="B264" s="138"/>
      <c r="C264" s="119"/>
      <c r="D264" s="119"/>
      <c r="E264" s="119"/>
      <c r="F264" s="50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</row>
    <row r="265">
      <c r="A265" s="11"/>
      <c r="B265" s="138"/>
      <c r="C265" s="119"/>
      <c r="D265" s="119"/>
      <c r="E265" s="119"/>
      <c r="F265" s="50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</row>
    <row r="266">
      <c r="A266" s="11"/>
      <c r="B266" s="138"/>
      <c r="C266" s="119"/>
      <c r="D266" s="119"/>
      <c r="E266" s="119"/>
      <c r="F266" s="50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</row>
    <row r="267">
      <c r="A267" s="11"/>
      <c r="B267" s="138"/>
      <c r="C267" s="119"/>
      <c r="D267" s="119"/>
      <c r="E267" s="119"/>
      <c r="F267" s="50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</row>
    <row r="268">
      <c r="A268" s="11"/>
      <c r="B268" s="138"/>
      <c r="C268" s="119"/>
      <c r="D268" s="119"/>
      <c r="E268" s="119"/>
      <c r="F268" s="50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</row>
    <row r="269">
      <c r="A269" s="11"/>
      <c r="B269" s="138"/>
      <c r="C269" s="119"/>
      <c r="D269" s="119"/>
      <c r="E269" s="119"/>
      <c r="F269" s="50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</row>
    <row r="270">
      <c r="A270" s="11"/>
      <c r="B270" s="138"/>
      <c r="C270" s="119"/>
      <c r="D270" s="119"/>
      <c r="E270" s="119"/>
      <c r="F270" s="50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</row>
    <row r="271">
      <c r="A271" s="11"/>
      <c r="B271" s="138"/>
      <c r="C271" s="119"/>
      <c r="D271" s="119"/>
      <c r="E271" s="119"/>
      <c r="F271" s="50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</row>
    <row r="272">
      <c r="A272" s="11"/>
      <c r="B272" s="138"/>
      <c r="C272" s="119"/>
      <c r="D272" s="119"/>
      <c r="E272" s="119"/>
      <c r="F272" s="50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</row>
    <row r="273">
      <c r="A273" s="11"/>
      <c r="B273" s="138"/>
      <c r="C273" s="119"/>
      <c r="D273" s="119"/>
      <c r="E273" s="119"/>
      <c r="F273" s="50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</row>
    <row r="274">
      <c r="A274" s="11"/>
      <c r="B274" s="138"/>
      <c r="C274" s="119"/>
      <c r="D274" s="119"/>
      <c r="E274" s="119"/>
      <c r="F274" s="50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</row>
    <row r="275">
      <c r="A275" s="11"/>
      <c r="B275" s="138"/>
      <c r="C275" s="119"/>
      <c r="D275" s="119"/>
      <c r="E275" s="119"/>
      <c r="F275" s="50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</row>
    <row r="276">
      <c r="A276" s="11"/>
      <c r="B276" s="138"/>
      <c r="C276" s="119"/>
      <c r="D276" s="119"/>
      <c r="E276" s="119"/>
      <c r="F276" s="50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</row>
    <row r="277">
      <c r="A277" s="11"/>
      <c r="B277" s="138"/>
      <c r="C277" s="119"/>
      <c r="D277" s="119"/>
      <c r="E277" s="119"/>
      <c r="F277" s="50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</row>
    <row r="278">
      <c r="A278" s="11"/>
      <c r="B278" s="138"/>
      <c r="C278" s="119"/>
      <c r="D278" s="119"/>
      <c r="E278" s="119"/>
      <c r="F278" s="50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</row>
    <row r="279">
      <c r="A279" s="11"/>
      <c r="B279" s="138"/>
      <c r="C279" s="119"/>
      <c r="D279" s="119"/>
      <c r="E279" s="119"/>
      <c r="F279" s="50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</row>
    <row r="280">
      <c r="A280" s="11"/>
      <c r="B280" s="138"/>
      <c r="C280" s="119"/>
      <c r="D280" s="119"/>
      <c r="E280" s="119"/>
      <c r="F280" s="50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</row>
    <row r="281">
      <c r="A281" s="11"/>
      <c r="B281" s="138"/>
      <c r="C281" s="119"/>
      <c r="D281" s="119"/>
      <c r="E281" s="119"/>
      <c r="F281" s="50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</row>
    <row r="282">
      <c r="A282" s="11"/>
      <c r="B282" s="138"/>
      <c r="C282" s="119"/>
      <c r="D282" s="119"/>
      <c r="E282" s="119"/>
      <c r="F282" s="50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</row>
    <row r="283">
      <c r="A283" s="11"/>
      <c r="B283" s="138"/>
      <c r="C283" s="119"/>
      <c r="D283" s="119"/>
      <c r="E283" s="119"/>
      <c r="F283" s="50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</row>
    <row r="284">
      <c r="A284" s="11"/>
      <c r="B284" s="138"/>
      <c r="C284" s="119"/>
      <c r="D284" s="119"/>
      <c r="E284" s="119"/>
      <c r="F284" s="50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</row>
    <row r="285">
      <c r="A285" s="11"/>
      <c r="B285" s="138"/>
      <c r="C285" s="119"/>
      <c r="D285" s="119"/>
      <c r="E285" s="119"/>
      <c r="F285" s="50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</row>
    <row r="286">
      <c r="A286" s="11"/>
      <c r="B286" s="138"/>
      <c r="C286" s="119"/>
      <c r="D286" s="119"/>
      <c r="E286" s="119"/>
      <c r="F286" s="50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</row>
    <row r="287">
      <c r="A287" s="11"/>
      <c r="B287" s="138"/>
      <c r="C287" s="119"/>
      <c r="D287" s="119"/>
      <c r="E287" s="119"/>
      <c r="F287" s="50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</row>
    <row r="288">
      <c r="A288" s="11"/>
      <c r="B288" s="138"/>
      <c r="C288" s="119"/>
      <c r="D288" s="119"/>
      <c r="E288" s="119"/>
      <c r="F288" s="50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</row>
    <row r="289">
      <c r="A289" s="11"/>
      <c r="B289" s="138"/>
      <c r="C289" s="119"/>
      <c r="D289" s="119"/>
      <c r="E289" s="119"/>
      <c r="F289" s="50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</row>
    <row r="290">
      <c r="A290" s="11"/>
      <c r="B290" s="138"/>
      <c r="C290" s="119"/>
      <c r="D290" s="119"/>
      <c r="E290" s="119"/>
      <c r="F290" s="50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</row>
    <row r="291">
      <c r="A291" s="11"/>
      <c r="B291" s="138"/>
      <c r="C291" s="119"/>
      <c r="D291" s="119"/>
      <c r="E291" s="119"/>
      <c r="F291" s="50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</row>
    <row r="292">
      <c r="A292" s="11"/>
      <c r="B292" s="138"/>
      <c r="C292" s="119"/>
      <c r="D292" s="119"/>
      <c r="E292" s="119"/>
      <c r="F292" s="50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</row>
    <row r="293">
      <c r="A293" s="11"/>
      <c r="B293" s="138"/>
      <c r="C293" s="119"/>
      <c r="D293" s="119"/>
      <c r="E293" s="119"/>
      <c r="F293" s="50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</row>
    <row r="294">
      <c r="A294" s="11"/>
      <c r="B294" s="138"/>
      <c r="C294" s="119"/>
      <c r="D294" s="119"/>
      <c r="E294" s="119"/>
      <c r="F294" s="50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</row>
    <row r="295">
      <c r="A295" s="11"/>
      <c r="B295" s="138"/>
      <c r="C295" s="119"/>
      <c r="D295" s="119"/>
      <c r="E295" s="119"/>
      <c r="F295" s="50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</row>
    <row r="296">
      <c r="A296" s="11"/>
      <c r="B296" s="138"/>
      <c r="C296" s="119"/>
      <c r="D296" s="119"/>
      <c r="E296" s="119"/>
      <c r="F296" s="50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</row>
    <row r="297">
      <c r="A297" s="11"/>
      <c r="B297" s="138"/>
      <c r="C297" s="119"/>
      <c r="D297" s="119"/>
      <c r="E297" s="119"/>
      <c r="F297" s="50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</row>
    <row r="298">
      <c r="A298" s="11"/>
      <c r="B298" s="138"/>
      <c r="C298" s="119"/>
      <c r="D298" s="119"/>
      <c r="E298" s="119"/>
      <c r="F298" s="50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</row>
    <row r="299">
      <c r="A299" s="11"/>
      <c r="B299" s="138"/>
      <c r="C299" s="119"/>
      <c r="D299" s="119"/>
      <c r="E299" s="119"/>
      <c r="F299" s="50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</row>
    <row r="300">
      <c r="A300" s="11"/>
      <c r="B300" s="138"/>
      <c r="C300" s="119"/>
      <c r="D300" s="119"/>
      <c r="E300" s="119"/>
      <c r="F300" s="50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</row>
    <row r="301">
      <c r="A301" s="11"/>
      <c r="B301" s="138"/>
      <c r="C301" s="119"/>
      <c r="D301" s="119"/>
      <c r="E301" s="119"/>
      <c r="F301" s="50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</row>
    <row r="302">
      <c r="A302" s="11"/>
      <c r="B302" s="138"/>
      <c r="C302" s="119"/>
      <c r="D302" s="119"/>
      <c r="E302" s="119"/>
      <c r="F302" s="50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</row>
    <row r="303">
      <c r="A303" s="11"/>
      <c r="B303" s="138"/>
      <c r="C303" s="119"/>
      <c r="D303" s="119"/>
      <c r="E303" s="119"/>
      <c r="F303" s="50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</row>
    <row r="304">
      <c r="A304" s="11"/>
      <c r="B304" s="138"/>
      <c r="C304" s="119"/>
      <c r="D304" s="119"/>
      <c r="E304" s="119"/>
      <c r="F304" s="50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</row>
    <row r="305">
      <c r="A305" s="11"/>
      <c r="B305" s="138"/>
      <c r="C305" s="119"/>
      <c r="D305" s="119"/>
      <c r="E305" s="119"/>
      <c r="F305" s="50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</row>
    <row r="306">
      <c r="A306" s="11"/>
      <c r="B306" s="138"/>
      <c r="C306" s="119"/>
      <c r="D306" s="119"/>
      <c r="E306" s="119"/>
      <c r="F306" s="50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</row>
    <row r="307">
      <c r="A307" s="11"/>
      <c r="B307" s="138"/>
      <c r="C307" s="119"/>
      <c r="D307" s="119"/>
      <c r="E307" s="119"/>
      <c r="F307" s="50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</row>
    <row r="308">
      <c r="A308" s="11"/>
      <c r="B308" s="138"/>
      <c r="C308" s="119"/>
      <c r="D308" s="119"/>
      <c r="E308" s="119"/>
      <c r="F308" s="50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</row>
    <row r="309">
      <c r="A309" s="11"/>
      <c r="B309" s="138"/>
      <c r="C309" s="119"/>
      <c r="D309" s="119"/>
      <c r="E309" s="119"/>
      <c r="F309" s="50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</row>
    <row r="310">
      <c r="A310" s="11"/>
      <c r="B310" s="138"/>
      <c r="C310" s="119"/>
      <c r="D310" s="119"/>
      <c r="E310" s="119"/>
      <c r="F310" s="50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</row>
    <row r="311">
      <c r="A311" s="11"/>
      <c r="B311" s="138"/>
      <c r="C311" s="119"/>
      <c r="D311" s="119"/>
      <c r="E311" s="119"/>
      <c r="F311" s="50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</row>
    <row r="312">
      <c r="A312" s="11"/>
      <c r="B312" s="138"/>
      <c r="C312" s="119"/>
      <c r="D312" s="119"/>
      <c r="E312" s="119"/>
      <c r="F312" s="50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</row>
    <row r="313">
      <c r="A313" s="11"/>
      <c r="B313" s="138"/>
      <c r="C313" s="119"/>
      <c r="D313" s="119"/>
      <c r="E313" s="119"/>
      <c r="F313" s="50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</row>
    <row r="314">
      <c r="A314" s="11"/>
      <c r="B314" s="138"/>
      <c r="C314" s="119"/>
      <c r="D314" s="119"/>
      <c r="E314" s="119"/>
      <c r="F314" s="50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</row>
    <row r="315">
      <c r="A315" s="11"/>
      <c r="B315" s="138"/>
      <c r="C315" s="119"/>
      <c r="D315" s="119"/>
      <c r="E315" s="119"/>
      <c r="F315" s="50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</row>
    <row r="316">
      <c r="A316" s="11"/>
      <c r="B316" s="138"/>
      <c r="C316" s="119"/>
      <c r="D316" s="119"/>
      <c r="E316" s="119"/>
      <c r="F316" s="50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</row>
    <row r="317">
      <c r="A317" s="11"/>
      <c r="B317" s="138"/>
      <c r="C317" s="119"/>
      <c r="D317" s="119"/>
      <c r="E317" s="119"/>
      <c r="F317" s="50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</row>
    <row r="318">
      <c r="A318" s="11"/>
      <c r="B318" s="138"/>
      <c r="C318" s="119"/>
      <c r="D318" s="119"/>
      <c r="E318" s="119"/>
      <c r="F318" s="50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</row>
    <row r="319">
      <c r="A319" s="11"/>
      <c r="B319" s="138"/>
      <c r="C319" s="119"/>
      <c r="D319" s="119"/>
      <c r="E319" s="119"/>
      <c r="F319" s="50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</row>
    <row r="320">
      <c r="A320" s="11"/>
      <c r="B320" s="138"/>
      <c r="C320" s="119"/>
      <c r="D320" s="119"/>
      <c r="E320" s="119"/>
      <c r="F320" s="50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</row>
    <row r="321">
      <c r="A321" s="11"/>
      <c r="B321" s="138"/>
      <c r="C321" s="119"/>
      <c r="D321" s="119"/>
      <c r="E321" s="119"/>
      <c r="F321" s="50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</row>
    <row r="322">
      <c r="A322" s="11"/>
      <c r="B322" s="138"/>
      <c r="C322" s="119"/>
      <c r="D322" s="119"/>
      <c r="E322" s="119"/>
      <c r="F322" s="50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</row>
    <row r="323">
      <c r="A323" s="11"/>
      <c r="B323" s="138"/>
      <c r="C323" s="119"/>
      <c r="D323" s="119"/>
      <c r="E323" s="119"/>
      <c r="F323" s="50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</row>
    <row r="324">
      <c r="A324" s="11"/>
      <c r="B324" s="138"/>
      <c r="C324" s="119"/>
      <c r="D324" s="119"/>
      <c r="E324" s="119"/>
      <c r="F324" s="50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</row>
    <row r="325">
      <c r="A325" s="11"/>
      <c r="B325" s="138"/>
      <c r="C325" s="119"/>
      <c r="D325" s="119"/>
      <c r="E325" s="119"/>
      <c r="F325" s="50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</row>
    <row r="326">
      <c r="A326" s="11"/>
      <c r="B326" s="138"/>
      <c r="C326" s="119"/>
      <c r="D326" s="119"/>
      <c r="E326" s="119"/>
      <c r="F326" s="50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</row>
    <row r="327">
      <c r="A327" s="11"/>
      <c r="B327" s="138"/>
      <c r="C327" s="119"/>
      <c r="D327" s="119"/>
      <c r="E327" s="119"/>
      <c r="F327" s="50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</row>
    <row r="328">
      <c r="A328" s="11"/>
      <c r="B328" s="138"/>
      <c r="C328" s="119"/>
      <c r="D328" s="119"/>
      <c r="E328" s="119"/>
      <c r="F328" s="50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</row>
    <row r="329">
      <c r="A329" s="11"/>
      <c r="B329" s="138"/>
      <c r="C329" s="119"/>
      <c r="D329" s="119"/>
      <c r="E329" s="119"/>
      <c r="F329" s="50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</row>
    <row r="330">
      <c r="A330" s="11"/>
      <c r="B330" s="138"/>
      <c r="C330" s="119"/>
      <c r="D330" s="119"/>
      <c r="E330" s="119"/>
      <c r="F330" s="50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</row>
    <row r="331">
      <c r="A331" s="11"/>
      <c r="B331" s="138"/>
      <c r="C331" s="119"/>
      <c r="D331" s="119"/>
      <c r="E331" s="119"/>
      <c r="F331" s="50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</row>
    <row r="332">
      <c r="A332" s="11"/>
      <c r="B332" s="138"/>
      <c r="C332" s="119"/>
      <c r="D332" s="119"/>
      <c r="E332" s="119"/>
      <c r="F332" s="50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</row>
    <row r="333">
      <c r="A333" s="11"/>
      <c r="B333" s="138"/>
      <c r="C333" s="119"/>
      <c r="D333" s="119"/>
      <c r="E333" s="119"/>
      <c r="F333" s="50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</row>
    <row r="334">
      <c r="A334" s="11"/>
      <c r="B334" s="138"/>
      <c r="C334" s="119"/>
      <c r="D334" s="119"/>
      <c r="E334" s="119"/>
      <c r="F334" s="50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</row>
    <row r="335">
      <c r="A335" s="11"/>
      <c r="B335" s="138"/>
      <c r="C335" s="119"/>
      <c r="D335" s="119"/>
      <c r="E335" s="119"/>
      <c r="F335" s="50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</row>
    <row r="336">
      <c r="A336" s="11"/>
      <c r="B336" s="138"/>
      <c r="C336" s="119"/>
      <c r="D336" s="119"/>
      <c r="E336" s="119"/>
      <c r="F336" s="50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</row>
    <row r="337">
      <c r="A337" s="11"/>
      <c r="B337" s="138"/>
      <c r="C337" s="119"/>
      <c r="D337" s="119"/>
      <c r="E337" s="119"/>
      <c r="F337" s="50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</row>
    <row r="338">
      <c r="A338" s="11"/>
      <c r="B338" s="138"/>
      <c r="C338" s="119"/>
      <c r="D338" s="119"/>
      <c r="E338" s="119"/>
      <c r="F338" s="50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</row>
    <row r="339">
      <c r="A339" s="11"/>
      <c r="B339" s="138"/>
      <c r="C339" s="119"/>
      <c r="D339" s="119"/>
      <c r="E339" s="119"/>
      <c r="F339" s="50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</row>
    <row r="340">
      <c r="A340" s="11"/>
      <c r="B340" s="138"/>
      <c r="C340" s="119"/>
      <c r="D340" s="119"/>
      <c r="E340" s="119"/>
      <c r="F340" s="50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</row>
    <row r="341">
      <c r="A341" s="11"/>
      <c r="B341" s="138"/>
      <c r="C341" s="119"/>
      <c r="D341" s="119"/>
      <c r="E341" s="119"/>
      <c r="F341" s="50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</row>
    <row r="342">
      <c r="A342" s="11"/>
      <c r="B342" s="138"/>
      <c r="C342" s="119"/>
      <c r="D342" s="119"/>
      <c r="E342" s="119"/>
      <c r="F342" s="50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</row>
    <row r="343">
      <c r="A343" s="11"/>
      <c r="B343" s="138"/>
      <c r="C343" s="119"/>
      <c r="D343" s="119"/>
      <c r="E343" s="119"/>
      <c r="F343" s="50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</row>
    <row r="344">
      <c r="A344" s="11"/>
      <c r="B344" s="138"/>
      <c r="C344" s="119"/>
      <c r="D344" s="119"/>
      <c r="E344" s="119"/>
      <c r="F344" s="50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</row>
    <row r="345">
      <c r="A345" s="11"/>
      <c r="B345" s="138"/>
      <c r="C345" s="119"/>
      <c r="D345" s="119"/>
      <c r="E345" s="119"/>
      <c r="F345" s="50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</row>
    <row r="346">
      <c r="A346" s="11"/>
      <c r="B346" s="138"/>
      <c r="C346" s="119"/>
      <c r="D346" s="119"/>
      <c r="E346" s="119"/>
      <c r="F346" s="50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</row>
    <row r="347">
      <c r="A347" s="11"/>
      <c r="B347" s="138"/>
      <c r="C347" s="119"/>
      <c r="D347" s="119"/>
      <c r="E347" s="119"/>
      <c r="F347" s="50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</row>
    <row r="348">
      <c r="A348" s="11"/>
      <c r="B348" s="138"/>
      <c r="C348" s="119"/>
      <c r="D348" s="119"/>
      <c r="E348" s="119"/>
      <c r="F348" s="50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</row>
    <row r="349">
      <c r="A349" s="11"/>
      <c r="B349" s="138"/>
      <c r="C349" s="119"/>
      <c r="D349" s="119"/>
      <c r="E349" s="119"/>
      <c r="F349" s="50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</row>
    <row r="350">
      <c r="A350" s="11"/>
      <c r="B350" s="138"/>
      <c r="C350" s="119"/>
      <c r="D350" s="119"/>
      <c r="E350" s="119"/>
      <c r="F350" s="50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</row>
    <row r="351">
      <c r="A351" s="11"/>
      <c r="B351" s="138"/>
      <c r="C351" s="119"/>
      <c r="D351" s="119"/>
      <c r="E351" s="119"/>
      <c r="F351" s="50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</row>
    <row r="352">
      <c r="A352" s="11"/>
      <c r="B352" s="138"/>
      <c r="C352" s="119"/>
      <c r="D352" s="119"/>
      <c r="E352" s="119"/>
      <c r="F352" s="50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</row>
    <row r="353">
      <c r="A353" s="11"/>
      <c r="B353" s="138"/>
      <c r="C353" s="119"/>
      <c r="D353" s="119"/>
      <c r="E353" s="119"/>
      <c r="F353" s="50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</row>
    <row r="354">
      <c r="A354" s="11"/>
      <c r="B354" s="138"/>
      <c r="C354" s="119"/>
      <c r="D354" s="119"/>
      <c r="E354" s="119"/>
      <c r="F354" s="50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</row>
    <row r="355">
      <c r="A355" s="11"/>
      <c r="B355" s="138"/>
      <c r="C355" s="119"/>
      <c r="D355" s="119"/>
      <c r="E355" s="119"/>
      <c r="F355" s="50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</row>
    <row r="356">
      <c r="A356" s="11"/>
      <c r="B356" s="138"/>
      <c r="C356" s="119"/>
      <c r="D356" s="119"/>
      <c r="E356" s="119"/>
      <c r="F356" s="50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</row>
    <row r="357">
      <c r="A357" s="11"/>
      <c r="B357" s="138"/>
      <c r="C357" s="119"/>
      <c r="D357" s="119"/>
      <c r="E357" s="119"/>
      <c r="F357" s="50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</row>
    <row r="358">
      <c r="A358" s="11"/>
      <c r="B358" s="138"/>
      <c r="C358" s="119"/>
      <c r="D358" s="119"/>
      <c r="E358" s="119"/>
      <c r="F358" s="50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</row>
    <row r="359">
      <c r="A359" s="11"/>
      <c r="B359" s="138"/>
      <c r="C359" s="119"/>
      <c r="D359" s="119"/>
      <c r="E359" s="119"/>
      <c r="F359" s="50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</row>
    <row r="360">
      <c r="A360" s="11"/>
      <c r="B360" s="138"/>
      <c r="C360" s="119"/>
      <c r="D360" s="119"/>
      <c r="E360" s="119"/>
      <c r="F360" s="50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</row>
    <row r="361">
      <c r="A361" s="11"/>
      <c r="B361" s="138"/>
      <c r="C361" s="119"/>
      <c r="D361" s="119"/>
      <c r="E361" s="119"/>
      <c r="F361" s="50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</row>
    <row r="362">
      <c r="A362" s="11"/>
      <c r="B362" s="138"/>
      <c r="C362" s="119"/>
      <c r="D362" s="119"/>
      <c r="E362" s="119"/>
      <c r="F362" s="50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</row>
    <row r="363">
      <c r="A363" s="11"/>
      <c r="B363" s="138"/>
      <c r="C363" s="119"/>
      <c r="D363" s="119"/>
      <c r="E363" s="119"/>
      <c r="F363" s="50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</row>
    <row r="364">
      <c r="A364" s="11"/>
      <c r="B364" s="138"/>
      <c r="C364" s="119"/>
      <c r="D364" s="119"/>
      <c r="E364" s="119"/>
      <c r="F364" s="50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</row>
    <row r="365">
      <c r="A365" s="11"/>
      <c r="B365" s="138"/>
      <c r="C365" s="119"/>
      <c r="D365" s="119"/>
      <c r="E365" s="119"/>
      <c r="F365" s="50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</row>
    <row r="366">
      <c r="A366" s="11"/>
      <c r="B366" s="138"/>
      <c r="C366" s="119"/>
      <c r="D366" s="119"/>
      <c r="E366" s="119"/>
      <c r="F366" s="50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</row>
    <row r="367">
      <c r="A367" s="11"/>
      <c r="B367" s="138"/>
      <c r="C367" s="119"/>
      <c r="D367" s="119"/>
      <c r="E367" s="119"/>
      <c r="F367" s="50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</row>
    <row r="368">
      <c r="A368" s="11"/>
      <c r="B368" s="138"/>
      <c r="C368" s="119"/>
      <c r="D368" s="119"/>
      <c r="E368" s="119"/>
      <c r="F368" s="50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</row>
    <row r="369">
      <c r="A369" s="11"/>
      <c r="B369" s="138"/>
      <c r="C369" s="119"/>
      <c r="D369" s="119"/>
      <c r="E369" s="119"/>
      <c r="F369" s="50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</row>
    <row r="370">
      <c r="A370" s="11"/>
      <c r="B370" s="138"/>
      <c r="C370" s="119"/>
      <c r="D370" s="119"/>
      <c r="E370" s="119"/>
      <c r="F370" s="50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</row>
    <row r="371">
      <c r="A371" s="11"/>
      <c r="B371" s="138"/>
      <c r="C371" s="119"/>
      <c r="D371" s="119"/>
      <c r="E371" s="119"/>
      <c r="F371" s="50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</row>
    <row r="372">
      <c r="A372" s="11"/>
      <c r="B372" s="138"/>
      <c r="C372" s="119"/>
      <c r="D372" s="119"/>
      <c r="E372" s="119"/>
      <c r="F372" s="50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</row>
    <row r="373">
      <c r="A373" s="11"/>
      <c r="B373" s="138"/>
      <c r="C373" s="119"/>
      <c r="D373" s="119"/>
      <c r="E373" s="119"/>
      <c r="F373" s="50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</row>
    <row r="374">
      <c r="A374" s="11"/>
      <c r="B374" s="138"/>
      <c r="C374" s="119"/>
      <c r="D374" s="119"/>
      <c r="E374" s="119"/>
      <c r="F374" s="50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</row>
    <row r="375">
      <c r="A375" s="11"/>
      <c r="B375" s="138"/>
      <c r="C375" s="119"/>
      <c r="D375" s="119"/>
      <c r="E375" s="119"/>
      <c r="F375" s="50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</row>
    <row r="376">
      <c r="A376" s="11"/>
      <c r="B376" s="138"/>
      <c r="C376" s="119"/>
      <c r="D376" s="119"/>
      <c r="E376" s="119"/>
      <c r="F376" s="50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</row>
    <row r="377">
      <c r="A377" s="11"/>
      <c r="B377" s="138"/>
      <c r="C377" s="119"/>
      <c r="D377" s="119"/>
      <c r="E377" s="119"/>
      <c r="F377" s="50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</row>
    <row r="378">
      <c r="A378" s="11"/>
      <c r="B378" s="138"/>
      <c r="C378" s="119"/>
      <c r="D378" s="119"/>
      <c r="E378" s="119"/>
      <c r="F378" s="50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</row>
    <row r="379">
      <c r="A379" s="11"/>
      <c r="B379" s="138"/>
      <c r="C379" s="119"/>
      <c r="D379" s="119"/>
      <c r="E379" s="119"/>
      <c r="F379" s="50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</row>
    <row r="380">
      <c r="A380" s="11"/>
      <c r="B380" s="138"/>
      <c r="C380" s="119"/>
      <c r="D380" s="119"/>
      <c r="E380" s="119"/>
      <c r="F380" s="50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</row>
    <row r="381">
      <c r="A381" s="11"/>
      <c r="B381" s="138"/>
      <c r="C381" s="119"/>
      <c r="D381" s="119"/>
      <c r="E381" s="119"/>
      <c r="F381" s="50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</row>
    <row r="382">
      <c r="A382" s="11"/>
      <c r="B382" s="138"/>
      <c r="C382" s="119"/>
      <c r="D382" s="119"/>
      <c r="E382" s="119"/>
      <c r="F382" s="50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</row>
    <row r="383">
      <c r="A383" s="11"/>
      <c r="B383" s="138"/>
      <c r="C383" s="119"/>
      <c r="D383" s="119"/>
      <c r="E383" s="119"/>
      <c r="F383" s="50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</row>
    <row r="384">
      <c r="A384" s="11"/>
      <c r="B384" s="138"/>
      <c r="C384" s="119"/>
      <c r="D384" s="119"/>
      <c r="E384" s="119"/>
      <c r="F384" s="50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</row>
    <row r="385">
      <c r="A385" s="11"/>
      <c r="B385" s="138"/>
      <c r="C385" s="119"/>
      <c r="D385" s="119"/>
      <c r="E385" s="119"/>
      <c r="F385" s="50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</row>
    <row r="386">
      <c r="A386" s="11"/>
      <c r="B386" s="138"/>
      <c r="C386" s="119"/>
      <c r="D386" s="119"/>
      <c r="E386" s="119"/>
      <c r="F386" s="50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</row>
    <row r="387">
      <c r="A387" s="11"/>
      <c r="B387" s="138"/>
      <c r="C387" s="119"/>
      <c r="D387" s="119"/>
      <c r="E387" s="119"/>
      <c r="F387" s="50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</row>
    <row r="388">
      <c r="A388" s="11"/>
      <c r="B388" s="138"/>
      <c r="C388" s="119"/>
      <c r="D388" s="119"/>
      <c r="E388" s="119"/>
      <c r="F388" s="50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</row>
    <row r="389">
      <c r="A389" s="11"/>
      <c r="B389" s="138"/>
      <c r="C389" s="119"/>
      <c r="D389" s="119"/>
      <c r="E389" s="119"/>
      <c r="F389" s="50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</row>
    <row r="390">
      <c r="A390" s="11"/>
      <c r="B390" s="138"/>
      <c r="C390" s="119"/>
      <c r="D390" s="119"/>
      <c r="E390" s="119"/>
      <c r="F390" s="50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</row>
    <row r="391">
      <c r="A391" s="11"/>
      <c r="B391" s="138"/>
      <c r="C391" s="119"/>
      <c r="D391" s="119"/>
      <c r="E391" s="119"/>
      <c r="F391" s="50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</row>
    <row r="392">
      <c r="A392" s="11"/>
      <c r="B392" s="138"/>
      <c r="C392" s="119"/>
      <c r="D392" s="119"/>
      <c r="E392" s="119"/>
      <c r="F392" s="50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</row>
    <row r="393">
      <c r="A393" s="11"/>
      <c r="B393" s="138"/>
      <c r="C393" s="119"/>
      <c r="D393" s="119"/>
      <c r="E393" s="119"/>
      <c r="F393" s="50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</row>
    <row r="394">
      <c r="A394" s="11"/>
      <c r="B394" s="138"/>
      <c r="C394" s="119"/>
      <c r="D394" s="119"/>
      <c r="E394" s="119"/>
      <c r="F394" s="50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</row>
    <row r="395">
      <c r="A395" s="11"/>
      <c r="B395" s="138"/>
      <c r="C395" s="119"/>
      <c r="D395" s="119"/>
      <c r="E395" s="119"/>
      <c r="F395" s="50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</row>
    <row r="396">
      <c r="A396" s="11"/>
      <c r="B396" s="138"/>
      <c r="C396" s="119"/>
      <c r="D396" s="119"/>
      <c r="E396" s="119"/>
      <c r="F396" s="50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</row>
    <row r="397">
      <c r="A397" s="11"/>
      <c r="B397" s="138"/>
      <c r="C397" s="119"/>
      <c r="D397" s="119"/>
      <c r="E397" s="119"/>
      <c r="F397" s="50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</row>
    <row r="398">
      <c r="A398" s="11"/>
      <c r="B398" s="138"/>
      <c r="C398" s="119"/>
      <c r="D398" s="119"/>
      <c r="E398" s="119"/>
      <c r="F398" s="50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</row>
    <row r="399">
      <c r="A399" s="11"/>
      <c r="B399" s="138"/>
      <c r="C399" s="119"/>
      <c r="D399" s="119"/>
      <c r="E399" s="119"/>
      <c r="F399" s="50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</row>
    <row r="400">
      <c r="A400" s="11"/>
      <c r="B400" s="138"/>
      <c r="C400" s="119"/>
      <c r="D400" s="119"/>
      <c r="E400" s="119"/>
      <c r="F400" s="50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</row>
    <row r="401">
      <c r="A401" s="11"/>
      <c r="B401" s="138"/>
      <c r="C401" s="119"/>
      <c r="D401" s="119"/>
      <c r="E401" s="119"/>
      <c r="F401" s="50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</row>
    <row r="402">
      <c r="A402" s="11"/>
      <c r="B402" s="138"/>
      <c r="C402" s="119"/>
      <c r="D402" s="119"/>
      <c r="E402" s="119"/>
      <c r="F402" s="50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</row>
    <row r="403">
      <c r="A403" s="11"/>
      <c r="B403" s="138"/>
      <c r="C403" s="119"/>
      <c r="D403" s="119"/>
      <c r="E403" s="119"/>
      <c r="F403" s="50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</row>
    <row r="404">
      <c r="A404" s="11"/>
      <c r="B404" s="138"/>
      <c r="C404" s="119"/>
      <c r="D404" s="119"/>
      <c r="E404" s="119"/>
      <c r="F404" s="50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</row>
    <row r="405">
      <c r="A405" s="11"/>
      <c r="B405" s="138"/>
      <c r="C405" s="119"/>
      <c r="D405" s="119"/>
      <c r="E405" s="119"/>
      <c r="F405" s="50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</row>
    <row r="406">
      <c r="A406" s="11"/>
      <c r="B406" s="138"/>
      <c r="C406" s="119"/>
      <c r="D406" s="119"/>
      <c r="E406" s="119"/>
      <c r="F406" s="50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</row>
    <row r="407">
      <c r="A407" s="11"/>
      <c r="B407" s="138"/>
      <c r="C407" s="119"/>
      <c r="D407" s="119"/>
      <c r="E407" s="119"/>
      <c r="F407" s="50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</row>
    <row r="408">
      <c r="A408" s="11"/>
      <c r="B408" s="138"/>
      <c r="C408" s="119"/>
      <c r="D408" s="119"/>
      <c r="E408" s="119"/>
      <c r="F408" s="50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</row>
    <row r="409">
      <c r="A409" s="11"/>
      <c r="B409" s="138"/>
      <c r="C409" s="119"/>
      <c r="D409" s="119"/>
      <c r="E409" s="119"/>
      <c r="F409" s="50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</row>
    <row r="410">
      <c r="A410" s="11"/>
      <c r="B410" s="138"/>
      <c r="C410" s="119"/>
      <c r="D410" s="119"/>
      <c r="E410" s="119"/>
      <c r="F410" s="50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</row>
    <row r="411">
      <c r="A411" s="11"/>
      <c r="B411" s="138"/>
      <c r="C411" s="119"/>
      <c r="D411" s="119"/>
      <c r="E411" s="119"/>
      <c r="F411" s="50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</row>
    <row r="412">
      <c r="A412" s="11"/>
      <c r="B412" s="138"/>
      <c r="C412" s="119"/>
      <c r="D412" s="119"/>
      <c r="E412" s="119"/>
      <c r="F412" s="50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</row>
    <row r="413">
      <c r="A413" s="11"/>
      <c r="B413" s="138"/>
      <c r="C413" s="119"/>
      <c r="D413" s="119"/>
      <c r="E413" s="119"/>
      <c r="F413" s="50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</row>
    <row r="414">
      <c r="A414" s="11"/>
      <c r="B414" s="138"/>
      <c r="C414" s="119"/>
      <c r="D414" s="119"/>
      <c r="E414" s="119"/>
      <c r="F414" s="50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</row>
    <row r="415">
      <c r="A415" s="11"/>
      <c r="B415" s="138"/>
      <c r="C415" s="119"/>
      <c r="D415" s="119"/>
      <c r="E415" s="119"/>
      <c r="F415" s="50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</row>
    <row r="416">
      <c r="A416" s="11"/>
      <c r="B416" s="138"/>
      <c r="C416" s="119"/>
      <c r="D416" s="119"/>
      <c r="E416" s="119"/>
      <c r="F416" s="50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</row>
    <row r="417">
      <c r="A417" s="11"/>
      <c r="B417" s="138"/>
      <c r="C417" s="119"/>
      <c r="D417" s="119"/>
      <c r="E417" s="119"/>
      <c r="F417" s="50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</row>
    <row r="418">
      <c r="A418" s="11"/>
      <c r="B418" s="138"/>
      <c r="C418" s="119"/>
      <c r="D418" s="119"/>
      <c r="E418" s="119"/>
      <c r="F418" s="50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</row>
    <row r="419">
      <c r="A419" s="11"/>
      <c r="B419" s="138"/>
      <c r="C419" s="119"/>
      <c r="D419" s="119"/>
      <c r="E419" s="119"/>
      <c r="F419" s="50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</row>
    <row r="420">
      <c r="A420" s="11"/>
      <c r="B420" s="138"/>
      <c r="C420" s="119"/>
      <c r="D420" s="119"/>
      <c r="E420" s="119"/>
      <c r="F420" s="50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</row>
    <row r="421">
      <c r="A421" s="11"/>
      <c r="B421" s="138"/>
      <c r="C421" s="119"/>
      <c r="D421" s="119"/>
      <c r="E421" s="119"/>
      <c r="F421" s="50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</row>
    <row r="422">
      <c r="A422" s="11"/>
      <c r="B422" s="138"/>
      <c r="C422" s="119"/>
      <c r="D422" s="119"/>
      <c r="E422" s="119"/>
      <c r="F422" s="50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</row>
    <row r="423">
      <c r="A423" s="11"/>
      <c r="B423" s="138"/>
      <c r="C423" s="119"/>
      <c r="D423" s="119"/>
      <c r="E423" s="119"/>
      <c r="F423" s="50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</row>
    <row r="424">
      <c r="A424" s="11"/>
      <c r="B424" s="138"/>
      <c r="C424" s="119"/>
      <c r="D424" s="119"/>
      <c r="E424" s="119"/>
      <c r="F424" s="50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</row>
    <row r="425">
      <c r="A425" s="11"/>
      <c r="B425" s="138"/>
      <c r="C425" s="119"/>
      <c r="D425" s="119"/>
      <c r="E425" s="119"/>
      <c r="F425" s="50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</row>
    <row r="426">
      <c r="A426" s="11"/>
      <c r="B426" s="138"/>
      <c r="C426" s="119"/>
      <c r="D426" s="119"/>
      <c r="E426" s="119"/>
      <c r="F426" s="50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</row>
    <row r="427">
      <c r="A427" s="11"/>
      <c r="B427" s="138"/>
      <c r="C427" s="119"/>
      <c r="D427" s="119"/>
      <c r="E427" s="119"/>
      <c r="F427" s="50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</row>
    <row r="428">
      <c r="A428" s="11"/>
      <c r="B428" s="138"/>
      <c r="C428" s="119"/>
      <c r="D428" s="119"/>
      <c r="E428" s="119"/>
      <c r="F428" s="50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</row>
    <row r="429">
      <c r="A429" s="11"/>
      <c r="B429" s="138"/>
      <c r="C429" s="119"/>
      <c r="D429" s="119"/>
      <c r="E429" s="119"/>
      <c r="F429" s="50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</row>
    <row r="430">
      <c r="A430" s="11"/>
      <c r="B430" s="138"/>
      <c r="C430" s="119"/>
      <c r="D430" s="119"/>
      <c r="E430" s="119"/>
      <c r="F430" s="50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</row>
    <row r="431">
      <c r="A431" s="11"/>
      <c r="B431" s="138"/>
      <c r="C431" s="119"/>
      <c r="D431" s="119"/>
      <c r="E431" s="119"/>
      <c r="F431" s="50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</row>
    <row r="432">
      <c r="A432" s="11"/>
      <c r="B432" s="138"/>
      <c r="C432" s="119"/>
      <c r="D432" s="119"/>
      <c r="E432" s="119"/>
      <c r="F432" s="50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</row>
    <row r="433">
      <c r="A433" s="11"/>
      <c r="B433" s="138"/>
      <c r="C433" s="119"/>
      <c r="D433" s="119"/>
      <c r="E433" s="119"/>
      <c r="F433" s="50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</row>
    <row r="434">
      <c r="A434" s="11"/>
      <c r="B434" s="138"/>
      <c r="C434" s="119"/>
      <c r="D434" s="119"/>
      <c r="E434" s="119"/>
      <c r="F434" s="50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</row>
    <row r="435">
      <c r="A435" s="11"/>
      <c r="B435" s="138"/>
      <c r="C435" s="119"/>
      <c r="D435" s="119"/>
      <c r="E435" s="119"/>
      <c r="F435" s="50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</row>
    <row r="436">
      <c r="A436" s="11"/>
      <c r="B436" s="138"/>
      <c r="C436" s="119"/>
      <c r="D436" s="119"/>
      <c r="E436" s="119"/>
      <c r="F436" s="50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</row>
    <row r="437">
      <c r="A437" s="11"/>
      <c r="B437" s="138"/>
      <c r="C437" s="119"/>
      <c r="D437" s="119"/>
      <c r="E437" s="119"/>
      <c r="F437" s="50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</row>
    <row r="438">
      <c r="A438" s="11"/>
      <c r="B438" s="138"/>
      <c r="C438" s="119"/>
      <c r="D438" s="119"/>
      <c r="E438" s="119"/>
      <c r="F438" s="50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</row>
    <row r="439">
      <c r="A439" s="11"/>
      <c r="B439" s="138"/>
      <c r="C439" s="119"/>
      <c r="D439" s="119"/>
      <c r="E439" s="119"/>
      <c r="F439" s="50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</row>
    <row r="440">
      <c r="A440" s="11"/>
      <c r="B440" s="138"/>
      <c r="C440" s="119"/>
      <c r="D440" s="119"/>
      <c r="E440" s="119"/>
      <c r="F440" s="50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</row>
    <row r="441">
      <c r="A441" s="11"/>
      <c r="B441" s="138"/>
      <c r="C441" s="119"/>
      <c r="D441" s="119"/>
      <c r="E441" s="119"/>
      <c r="F441" s="50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</row>
    <row r="442">
      <c r="A442" s="11"/>
      <c r="B442" s="138"/>
      <c r="C442" s="119"/>
      <c r="D442" s="119"/>
      <c r="E442" s="119"/>
      <c r="F442" s="50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</row>
    <row r="443">
      <c r="A443" s="11"/>
      <c r="B443" s="138"/>
      <c r="C443" s="119"/>
      <c r="D443" s="119"/>
      <c r="E443" s="119"/>
      <c r="F443" s="50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</row>
    <row r="444">
      <c r="A444" s="11"/>
      <c r="B444" s="138"/>
      <c r="C444" s="119"/>
      <c r="D444" s="119"/>
      <c r="E444" s="119"/>
      <c r="F444" s="50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</row>
    <row r="445">
      <c r="A445" s="11"/>
      <c r="B445" s="138"/>
      <c r="C445" s="119"/>
      <c r="D445" s="119"/>
      <c r="E445" s="119"/>
      <c r="F445" s="50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</row>
    <row r="446">
      <c r="A446" s="11"/>
      <c r="B446" s="138"/>
      <c r="C446" s="119"/>
      <c r="D446" s="119"/>
      <c r="E446" s="119"/>
      <c r="F446" s="50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</row>
    <row r="447">
      <c r="A447" s="11"/>
      <c r="B447" s="138"/>
      <c r="C447" s="119"/>
      <c r="D447" s="119"/>
      <c r="E447" s="119"/>
      <c r="F447" s="50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</row>
    <row r="448">
      <c r="A448" s="11"/>
      <c r="B448" s="138"/>
      <c r="C448" s="119"/>
      <c r="D448" s="119"/>
      <c r="E448" s="119"/>
      <c r="F448" s="50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</row>
    <row r="449">
      <c r="A449" s="11"/>
      <c r="B449" s="138"/>
      <c r="C449" s="119"/>
      <c r="D449" s="119"/>
      <c r="E449" s="119"/>
      <c r="F449" s="50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</row>
    <row r="450">
      <c r="A450" s="11"/>
      <c r="B450" s="138"/>
      <c r="C450" s="119"/>
      <c r="D450" s="119"/>
      <c r="E450" s="119"/>
      <c r="F450" s="50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</row>
    <row r="451">
      <c r="A451" s="11"/>
      <c r="B451" s="138"/>
      <c r="C451" s="119"/>
      <c r="D451" s="119"/>
      <c r="E451" s="119"/>
      <c r="F451" s="50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</row>
    <row r="452">
      <c r="A452" s="11"/>
      <c r="B452" s="138"/>
      <c r="C452" s="119"/>
      <c r="D452" s="119"/>
      <c r="E452" s="119"/>
      <c r="F452" s="50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</row>
    <row r="453">
      <c r="A453" s="11"/>
      <c r="B453" s="138"/>
      <c r="C453" s="119"/>
      <c r="D453" s="119"/>
      <c r="E453" s="119"/>
      <c r="F453" s="50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</row>
    <row r="454">
      <c r="A454" s="11"/>
      <c r="B454" s="138"/>
      <c r="C454" s="119"/>
      <c r="D454" s="119"/>
      <c r="E454" s="119"/>
      <c r="F454" s="50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</row>
    <row r="455">
      <c r="A455" s="11"/>
      <c r="B455" s="138"/>
      <c r="C455" s="119"/>
      <c r="D455" s="119"/>
      <c r="E455" s="119"/>
      <c r="F455" s="50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</row>
    <row r="456">
      <c r="A456" s="11"/>
      <c r="B456" s="138"/>
      <c r="C456" s="119"/>
      <c r="D456" s="119"/>
      <c r="E456" s="119"/>
      <c r="F456" s="50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</row>
    <row r="457">
      <c r="A457" s="11"/>
      <c r="B457" s="138"/>
      <c r="C457" s="119"/>
      <c r="D457" s="119"/>
      <c r="E457" s="119"/>
      <c r="F457" s="50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</row>
    <row r="458">
      <c r="A458" s="11"/>
      <c r="B458" s="138"/>
      <c r="C458" s="119"/>
      <c r="D458" s="119"/>
      <c r="E458" s="119"/>
      <c r="F458" s="50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</row>
    <row r="459">
      <c r="A459" s="11"/>
      <c r="B459" s="138"/>
      <c r="C459" s="119"/>
      <c r="D459" s="119"/>
      <c r="E459" s="119"/>
      <c r="F459" s="50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</row>
    <row r="460">
      <c r="A460" s="11"/>
      <c r="B460" s="138"/>
      <c r="C460" s="119"/>
      <c r="D460" s="119"/>
      <c r="E460" s="119"/>
      <c r="F460" s="50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</row>
    <row r="461">
      <c r="A461" s="11"/>
      <c r="B461" s="138"/>
      <c r="C461" s="119"/>
      <c r="D461" s="119"/>
      <c r="E461" s="119"/>
      <c r="F461" s="50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</row>
    <row r="462">
      <c r="A462" s="11"/>
      <c r="B462" s="138"/>
      <c r="C462" s="119"/>
      <c r="D462" s="119"/>
      <c r="E462" s="119"/>
      <c r="F462" s="50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</row>
    <row r="463">
      <c r="A463" s="11"/>
      <c r="B463" s="138"/>
      <c r="C463" s="119"/>
      <c r="D463" s="119"/>
      <c r="E463" s="119"/>
      <c r="F463" s="50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</row>
    <row r="464">
      <c r="A464" s="11"/>
      <c r="B464" s="138"/>
      <c r="C464" s="119"/>
      <c r="D464" s="119"/>
      <c r="E464" s="119"/>
      <c r="F464" s="50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</row>
    <row r="465">
      <c r="A465" s="11"/>
      <c r="B465" s="138"/>
      <c r="C465" s="119"/>
      <c r="D465" s="119"/>
      <c r="E465" s="119"/>
      <c r="F465" s="50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</row>
    <row r="466">
      <c r="A466" s="11"/>
      <c r="B466" s="138"/>
      <c r="C466" s="119"/>
      <c r="D466" s="119"/>
      <c r="E466" s="119"/>
      <c r="F466" s="50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</row>
    <row r="467">
      <c r="A467" s="11"/>
      <c r="B467" s="138"/>
      <c r="C467" s="119"/>
      <c r="D467" s="119"/>
      <c r="E467" s="119"/>
      <c r="F467" s="50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</row>
    <row r="468">
      <c r="A468" s="11"/>
      <c r="B468" s="138"/>
      <c r="C468" s="119"/>
      <c r="D468" s="119"/>
      <c r="E468" s="119"/>
      <c r="F468" s="50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</row>
    <row r="469">
      <c r="A469" s="11"/>
      <c r="B469" s="138"/>
      <c r="C469" s="119"/>
      <c r="D469" s="119"/>
      <c r="E469" s="119"/>
      <c r="F469" s="50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</row>
    <row r="470">
      <c r="A470" s="11"/>
      <c r="B470" s="138"/>
      <c r="C470" s="119"/>
      <c r="D470" s="119"/>
      <c r="E470" s="119"/>
      <c r="F470" s="50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</row>
    <row r="471">
      <c r="A471" s="11"/>
      <c r="B471" s="138"/>
      <c r="C471" s="119"/>
      <c r="D471" s="119"/>
      <c r="E471" s="119"/>
      <c r="F471" s="50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</row>
    <row r="472">
      <c r="A472" s="11"/>
      <c r="B472" s="138"/>
      <c r="C472" s="119"/>
      <c r="D472" s="119"/>
      <c r="E472" s="119"/>
      <c r="F472" s="50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</row>
    <row r="473">
      <c r="A473" s="11"/>
      <c r="B473" s="138"/>
      <c r="C473" s="119"/>
      <c r="D473" s="119"/>
      <c r="E473" s="119"/>
      <c r="F473" s="50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</row>
    <row r="474">
      <c r="A474" s="11"/>
      <c r="B474" s="138"/>
      <c r="C474" s="119"/>
      <c r="D474" s="119"/>
      <c r="E474" s="119"/>
      <c r="F474" s="50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</row>
    <row r="475">
      <c r="A475" s="11"/>
      <c r="B475" s="138"/>
      <c r="C475" s="119"/>
      <c r="D475" s="119"/>
      <c r="E475" s="119"/>
      <c r="F475" s="50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</row>
    <row r="476">
      <c r="A476" s="11"/>
      <c r="B476" s="138"/>
      <c r="C476" s="119"/>
      <c r="D476" s="119"/>
      <c r="E476" s="119"/>
      <c r="F476" s="50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</row>
    <row r="477">
      <c r="A477" s="11"/>
      <c r="B477" s="138"/>
      <c r="C477" s="119"/>
      <c r="D477" s="119"/>
      <c r="E477" s="119"/>
      <c r="F477" s="50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</row>
    <row r="478">
      <c r="A478" s="11"/>
      <c r="B478" s="138"/>
      <c r="C478" s="119"/>
      <c r="D478" s="119"/>
      <c r="E478" s="119"/>
      <c r="F478" s="50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</row>
    <row r="479">
      <c r="A479" s="11"/>
      <c r="B479" s="138"/>
      <c r="C479" s="119"/>
      <c r="D479" s="119"/>
      <c r="E479" s="119"/>
      <c r="F479" s="50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</row>
    <row r="480">
      <c r="A480" s="11"/>
      <c r="B480" s="138"/>
      <c r="C480" s="119"/>
      <c r="D480" s="119"/>
      <c r="E480" s="119"/>
      <c r="F480" s="50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</row>
    <row r="481">
      <c r="A481" s="11"/>
      <c r="B481" s="138"/>
      <c r="C481" s="119"/>
      <c r="D481" s="119"/>
      <c r="E481" s="119"/>
      <c r="F481" s="50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</row>
    <row r="482">
      <c r="A482" s="11"/>
      <c r="B482" s="138"/>
      <c r="C482" s="119"/>
      <c r="D482" s="119"/>
      <c r="E482" s="119"/>
      <c r="F482" s="50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</row>
    <row r="483">
      <c r="A483" s="11"/>
      <c r="B483" s="138"/>
      <c r="C483" s="119"/>
      <c r="D483" s="119"/>
      <c r="E483" s="119"/>
      <c r="F483" s="50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</row>
    <row r="484">
      <c r="A484" s="11"/>
      <c r="B484" s="138"/>
      <c r="C484" s="119"/>
      <c r="D484" s="119"/>
      <c r="E484" s="119"/>
      <c r="F484" s="50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</row>
    <row r="485">
      <c r="A485" s="11"/>
      <c r="B485" s="138"/>
      <c r="C485" s="119"/>
      <c r="D485" s="119"/>
      <c r="E485" s="119"/>
      <c r="F485" s="50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</row>
    <row r="486">
      <c r="A486" s="11"/>
      <c r="B486" s="138"/>
      <c r="C486" s="119"/>
      <c r="D486" s="119"/>
      <c r="E486" s="119"/>
      <c r="F486" s="50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</row>
    <row r="487">
      <c r="A487" s="11"/>
      <c r="B487" s="138"/>
      <c r="C487" s="119"/>
      <c r="D487" s="119"/>
      <c r="E487" s="119"/>
      <c r="F487" s="50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</row>
    <row r="488">
      <c r="A488" s="11"/>
      <c r="B488" s="138"/>
      <c r="C488" s="119"/>
      <c r="D488" s="119"/>
      <c r="E488" s="119"/>
      <c r="F488" s="50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</row>
    <row r="489">
      <c r="A489" s="11"/>
      <c r="B489" s="138"/>
      <c r="C489" s="119"/>
      <c r="D489" s="119"/>
      <c r="E489" s="119"/>
      <c r="F489" s="50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</row>
    <row r="490">
      <c r="A490" s="11"/>
      <c r="B490" s="138"/>
      <c r="C490" s="119"/>
      <c r="D490" s="119"/>
      <c r="E490" s="119"/>
      <c r="F490" s="50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</row>
    <row r="491">
      <c r="A491" s="11"/>
      <c r="B491" s="138"/>
      <c r="C491" s="119"/>
      <c r="D491" s="119"/>
      <c r="E491" s="119"/>
      <c r="F491" s="50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</row>
    <row r="492">
      <c r="A492" s="11"/>
      <c r="B492" s="138"/>
      <c r="C492" s="119"/>
      <c r="D492" s="119"/>
      <c r="E492" s="119"/>
      <c r="F492" s="50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</row>
    <row r="493">
      <c r="A493" s="11"/>
      <c r="B493" s="138"/>
      <c r="C493" s="119"/>
      <c r="D493" s="119"/>
      <c r="E493" s="119"/>
      <c r="F493" s="50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</row>
    <row r="494">
      <c r="A494" s="11"/>
      <c r="B494" s="138"/>
      <c r="C494" s="119"/>
      <c r="D494" s="119"/>
      <c r="E494" s="119"/>
      <c r="F494" s="50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</row>
    <row r="495">
      <c r="A495" s="11"/>
      <c r="B495" s="138"/>
      <c r="C495" s="119"/>
      <c r="D495" s="119"/>
      <c r="E495" s="119"/>
      <c r="F495" s="50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</row>
    <row r="496">
      <c r="A496" s="11"/>
      <c r="B496" s="138"/>
      <c r="C496" s="119"/>
      <c r="D496" s="119"/>
      <c r="E496" s="119"/>
      <c r="F496" s="50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</row>
    <row r="497">
      <c r="A497" s="11"/>
      <c r="B497" s="138"/>
      <c r="C497" s="119"/>
      <c r="D497" s="119"/>
      <c r="E497" s="119"/>
      <c r="F497" s="50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</row>
    <row r="498">
      <c r="A498" s="11"/>
      <c r="B498" s="138"/>
      <c r="C498" s="119"/>
      <c r="D498" s="119"/>
      <c r="E498" s="119"/>
      <c r="F498" s="50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</row>
    <row r="499">
      <c r="A499" s="11"/>
      <c r="B499" s="138"/>
      <c r="C499" s="119"/>
      <c r="D499" s="119"/>
      <c r="E499" s="119"/>
      <c r="F499" s="50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</row>
    <row r="500">
      <c r="A500" s="11"/>
      <c r="B500" s="138"/>
      <c r="C500" s="119"/>
      <c r="D500" s="119"/>
      <c r="E500" s="119"/>
      <c r="F500" s="50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</row>
    <row r="501">
      <c r="A501" s="11"/>
      <c r="B501" s="138"/>
      <c r="C501" s="119"/>
      <c r="D501" s="119"/>
      <c r="E501" s="119"/>
      <c r="F501" s="50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</row>
    <row r="502">
      <c r="A502" s="11"/>
      <c r="B502" s="138"/>
      <c r="C502" s="119"/>
      <c r="D502" s="119"/>
      <c r="E502" s="119"/>
      <c r="F502" s="50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</row>
    <row r="503">
      <c r="A503" s="11"/>
      <c r="B503" s="138"/>
      <c r="C503" s="119"/>
      <c r="D503" s="119"/>
      <c r="E503" s="119"/>
      <c r="F503" s="50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</row>
    <row r="504">
      <c r="A504" s="11"/>
      <c r="B504" s="138"/>
      <c r="C504" s="119"/>
      <c r="D504" s="119"/>
      <c r="E504" s="119"/>
      <c r="F504" s="50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</row>
    <row r="505">
      <c r="A505" s="11"/>
      <c r="B505" s="138"/>
      <c r="C505" s="119"/>
      <c r="D505" s="119"/>
      <c r="E505" s="119"/>
      <c r="F505" s="50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</row>
    <row r="506">
      <c r="A506" s="11"/>
      <c r="B506" s="138"/>
      <c r="C506" s="119"/>
      <c r="D506" s="119"/>
      <c r="E506" s="119"/>
      <c r="F506" s="50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</row>
    <row r="507">
      <c r="A507" s="11"/>
      <c r="B507" s="138"/>
      <c r="C507" s="119"/>
      <c r="D507" s="119"/>
      <c r="E507" s="119"/>
      <c r="F507" s="50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</row>
    <row r="508">
      <c r="A508" s="11"/>
      <c r="B508" s="138"/>
      <c r="C508" s="119"/>
      <c r="D508" s="119"/>
      <c r="E508" s="119"/>
      <c r="F508" s="50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</row>
    <row r="509">
      <c r="A509" s="11"/>
      <c r="B509" s="138"/>
      <c r="C509" s="119"/>
      <c r="D509" s="119"/>
      <c r="E509" s="119"/>
      <c r="F509" s="50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</row>
    <row r="510">
      <c r="A510" s="11"/>
      <c r="B510" s="138"/>
      <c r="C510" s="119"/>
      <c r="D510" s="119"/>
      <c r="E510" s="119"/>
      <c r="F510" s="50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</row>
    <row r="511">
      <c r="A511" s="11"/>
      <c r="B511" s="138"/>
      <c r="C511" s="119"/>
      <c r="D511" s="119"/>
      <c r="E511" s="119"/>
      <c r="F511" s="50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</row>
    <row r="512">
      <c r="A512" s="11"/>
      <c r="B512" s="138"/>
      <c r="C512" s="119"/>
      <c r="D512" s="119"/>
      <c r="E512" s="119"/>
      <c r="F512" s="50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</row>
    <row r="513">
      <c r="A513" s="11"/>
      <c r="B513" s="138"/>
      <c r="C513" s="119"/>
      <c r="D513" s="119"/>
      <c r="E513" s="119"/>
      <c r="F513" s="50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</row>
    <row r="514">
      <c r="A514" s="11"/>
      <c r="B514" s="138"/>
      <c r="C514" s="119"/>
      <c r="D514" s="119"/>
      <c r="E514" s="119"/>
      <c r="F514" s="50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</row>
    <row r="515">
      <c r="A515" s="11"/>
      <c r="B515" s="138"/>
      <c r="C515" s="119"/>
      <c r="D515" s="119"/>
      <c r="E515" s="119"/>
      <c r="F515" s="50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</row>
    <row r="516">
      <c r="A516" s="11"/>
      <c r="B516" s="138"/>
      <c r="C516" s="119"/>
      <c r="D516" s="119"/>
      <c r="E516" s="119"/>
      <c r="F516" s="50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</row>
    <row r="517">
      <c r="A517" s="11"/>
      <c r="B517" s="138"/>
      <c r="C517" s="119"/>
      <c r="D517" s="119"/>
      <c r="E517" s="119"/>
      <c r="F517" s="50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</row>
    <row r="518">
      <c r="A518" s="11"/>
      <c r="B518" s="138"/>
      <c r="C518" s="119"/>
      <c r="D518" s="119"/>
      <c r="E518" s="119"/>
      <c r="F518" s="50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</row>
    <row r="519">
      <c r="A519" s="11"/>
      <c r="B519" s="138"/>
      <c r="C519" s="119"/>
      <c r="D519" s="119"/>
      <c r="E519" s="119"/>
      <c r="F519" s="50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</row>
    <row r="520">
      <c r="A520" s="11"/>
      <c r="B520" s="138"/>
      <c r="C520" s="119"/>
      <c r="D520" s="119"/>
      <c r="E520" s="119"/>
      <c r="F520" s="50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</row>
    <row r="521">
      <c r="A521" s="11"/>
      <c r="B521" s="138"/>
      <c r="C521" s="119"/>
      <c r="D521" s="119"/>
      <c r="E521" s="119"/>
      <c r="F521" s="50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</row>
    <row r="522">
      <c r="A522" s="11"/>
      <c r="B522" s="138"/>
      <c r="C522" s="119"/>
      <c r="D522" s="119"/>
      <c r="E522" s="119"/>
      <c r="F522" s="50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</row>
    <row r="523">
      <c r="A523" s="11"/>
      <c r="B523" s="138"/>
      <c r="C523" s="119"/>
      <c r="D523" s="119"/>
      <c r="E523" s="119"/>
      <c r="F523" s="50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</row>
    <row r="524">
      <c r="A524" s="11"/>
      <c r="B524" s="138"/>
      <c r="C524" s="119"/>
      <c r="D524" s="119"/>
      <c r="E524" s="119"/>
      <c r="F524" s="50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</row>
    <row r="525">
      <c r="A525" s="11"/>
      <c r="B525" s="138"/>
      <c r="C525" s="119"/>
      <c r="D525" s="119"/>
      <c r="E525" s="119"/>
      <c r="F525" s="50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</row>
    <row r="526">
      <c r="A526" s="11"/>
      <c r="B526" s="138"/>
      <c r="C526" s="119"/>
      <c r="D526" s="119"/>
      <c r="E526" s="119"/>
      <c r="F526" s="50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</row>
    <row r="527">
      <c r="A527" s="11"/>
      <c r="B527" s="138"/>
      <c r="C527" s="119"/>
      <c r="D527" s="119"/>
      <c r="E527" s="119"/>
      <c r="F527" s="50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</row>
    <row r="528">
      <c r="A528" s="11"/>
      <c r="B528" s="138"/>
      <c r="C528" s="119"/>
      <c r="D528" s="119"/>
      <c r="E528" s="119"/>
      <c r="F528" s="50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</row>
    <row r="529">
      <c r="A529" s="11"/>
      <c r="B529" s="138"/>
      <c r="C529" s="119"/>
      <c r="D529" s="119"/>
      <c r="E529" s="119"/>
      <c r="F529" s="50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</row>
    <row r="530">
      <c r="A530" s="11"/>
      <c r="B530" s="138"/>
      <c r="C530" s="119"/>
      <c r="D530" s="119"/>
      <c r="E530" s="119"/>
      <c r="F530" s="50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</row>
    <row r="531">
      <c r="A531" s="11"/>
      <c r="B531" s="138"/>
      <c r="C531" s="119"/>
      <c r="D531" s="119"/>
      <c r="E531" s="119"/>
      <c r="F531" s="50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</row>
    <row r="532">
      <c r="A532" s="11"/>
      <c r="B532" s="138"/>
      <c r="C532" s="119"/>
      <c r="D532" s="119"/>
      <c r="E532" s="119"/>
      <c r="F532" s="50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</row>
    <row r="533">
      <c r="A533" s="11"/>
      <c r="B533" s="138"/>
      <c r="C533" s="119"/>
      <c r="D533" s="119"/>
      <c r="E533" s="119"/>
      <c r="F533" s="50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</row>
    <row r="534">
      <c r="A534" s="11"/>
      <c r="B534" s="138"/>
      <c r="C534" s="119"/>
      <c r="D534" s="119"/>
      <c r="E534" s="119"/>
      <c r="F534" s="50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</row>
    <row r="535">
      <c r="A535" s="11"/>
      <c r="B535" s="138"/>
      <c r="C535" s="119"/>
      <c r="D535" s="119"/>
      <c r="E535" s="119"/>
      <c r="F535" s="50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</row>
    <row r="536">
      <c r="A536" s="11"/>
      <c r="B536" s="138"/>
      <c r="C536" s="119"/>
      <c r="D536" s="119"/>
      <c r="E536" s="119"/>
      <c r="F536" s="50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</row>
    <row r="537">
      <c r="A537" s="11"/>
      <c r="B537" s="138"/>
      <c r="C537" s="119"/>
      <c r="D537" s="119"/>
      <c r="E537" s="119"/>
      <c r="F537" s="50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</row>
    <row r="538">
      <c r="A538" s="11"/>
      <c r="B538" s="138"/>
      <c r="C538" s="119"/>
      <c r="D538" s="119"/>
      <c r="E538" s="119"/>
      <c r="F538" s="50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</row>
    <row r="539">
      <c r="A539" s="11"/>
      <c r="B539" s="138"/>
      <c r="C539" s="119"/>
      <c r="D539" s="119"/>
      <c r="E539" s="119"/>
      <c r="F539" s="50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</row>
    <row r="540">
      <c r="A540" s="11"/>
      <c r="B540" s="138"/>
      <c r="C540" s="119"/>
      <c r="D540" s="119"/>
      <c r="E540" s="119"/>
      <c r="F540" s="50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</row>
    <row r="541">
      <c r="A541" s="11"/>
      <c r="B541" s="138"/>
      <c r="C541" s="119"/>
      <c r="D541" s="119"/>
      <c r="E541" s="119"/>
      <c r="F541" s="50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</row>
    <row r="542">
      <c r="A542" s="11"/>
      <c r="B542" s="138"/>
      <c r="C542" s="119"/>
      <c r="D542" s="119"/>
      <c r="E542" s="119"/>
      <c r="F542" s="50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</row>
    <row r="543">
      <c r="A543" s="11"/>
      <c r="B543" s="138"/>
      <c r="C543" s="119"/>
      <c r="D543" s="119"/>
      <c r="E543" s="119"/>
      <c r="F543" s="50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</row>
    <row r="544">
      <c r="A544" s="11"/>
      <c r="B544" s="138"/>
      <c r="C544" s="119"/>
      <c r="D544" s="119"/>
      <c r="E544" s="119"/>
      <c r="F544" s="50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</row>
    <row r="545">
      <c r="A545" s="11"/>
      <c r="B545" s="138"/>
      <c r="C545" s="119"/>
      <c r="D545" s="119"/>
      <c r="E545" s="119"/>
      <c r="F545" s="50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</row>
    <row r="546">
      <c r="A546" s="11"/>
      <c r="B546" s="138"/>
      <c r="C546" s="119"/>
      <c r="D546" s="119"/>
      <c r="E546" s="119"/>
      <c r="F546" s="50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</row>
    <row r="547">
      <c r="A547" s="11"/>
      <c r="B547" s="138"/>
      <c r="C547" s="119"/>
      <c r="D547" s="119"/>
      <c r="E547" s="119"/>
      <c r="F547" s="50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</row>
    <row r="548">
      <c r="A548" s="11"/>
      <c r="B548" s="138"/>
      <c r="C548" s="119"/>
      <c r="D548" s="119"/>
      <c r="E548" s="119"/>
      <c r="F548" s="50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</row>
    <row r="549">
      <c r="A549" s="11"/>
      <c r="B549" s="138"/>
      <c r="C549" s="119"/>
      <c r="D549" s="119"/>
      <c r="E549" s="119"/>
      <c r="F549" s="50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</row>
    <row r="550">
      <c r="A550" s="11"/>
      <c r="B550" s="138"/>
      <c r="C550" s="119"/>
      <c r="D550" s="119"/>
      <c r="E550" s="119"/>
      <c r="F550" s="50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</row>
    <row r="551">
      <c r="A551" s="11"/>
      <c r="B551" s="138"/>
      <c r="C551" s="119"/>
      <c r="D551" s="119"/>
      <c r="E551" s="119"/>
      <c r="F551" s="50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</row>
    <row r="552">
      <c r="A552" s="11"/>
      <c r="B552" s="138"/>
      <c r="C552" s="119"/>
      <c r="D552" s="119"/>
      <c r="E552" s="119"/>
      <c r="F552" s="50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</row>
    <row r="553">
      <c r="A553" s="11"/>
      <c r="B553" s="138"/>
      <c r="C553" s="119"/>
      <c r="D553" s="119"/>
      <c r="E553" s="119"/>
      <c r="F553" s="50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</row>
    <row r="554">
      <c r="A554" s="11"/>
      <c r="B554" s="138"/>
      <c r="C554" s="119"/>
      <c r="D554" s="119"/>
      <c r="E554" s="119"/>
      <c r="F554" s="50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</row>
    <row r="555">
      <c r="A555" s="11"/>
      <c r="B555" s="138"/>
      <c r="C555" s="119"/>
      <c r="D555" s="119"/>
      <c r="E555" s="119"/>
      <c r="F555" s="50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</row>
    <row r="556">
      <c r="A556" s="11"/>
      <c r="B556" s="138"/>
      <c r="C556" s="119"/>
      <c r="D556" s="119"/>
      <c r="E556" s="119"/>
      <c r="F556" s="50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</row>
    <row r="557">
      <c r="A557" s="11"/>
      <c r="B557" s="138"/>
      <c r="C557" s="119"/>
      <c r="D557" s="119"/>
      <c r="E557" s="119"/>
      <c r="F557" s="50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</row>
    <row r="558">
      <c r="A558" s="11"/>
      <c r="B558" s="138"/>
      <c r="C558" s="119"/>
      <c r="D558" s="119"/>
      <c r="E558" s="119"/>
      <c r="F558" s="50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</row>
    <row r="559">
      <c r="A559" s="11"/>
      <c r="B559" s="138"/>
      <c r="C559" s="119"/>
      <c r="D559" s="119"/>
      <c r="E559" s="119"/>
      <c r="F559" s="50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</row>
    <row r="560">
      <c r="A560" s="11"/>
      <c r="B560" s="138"/>
      <c r="C560" s="119"/>
      <c r="D560" s="119"/>
      <c r="E560" s="119"/>
      <c r="F560" s="50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</row>
    <row r="561">
      <c r="A561" s="11"/>
      <c r="B561" s="138"/>
      <c r="C561" s="119"/>
      <c r="D561" s="119"/>
      <c r="E561" s="119"/>
      <c r="F561" s="50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</row>
    <row r="562">
      <c r="A562" s="11"/>
      <c r="B562" s="138"/>
      <c r="C562" s="119"/>
      <c r="D562" s="119"/>
      <c r="E562" s="119"/>
      <c r="F562" s="50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</row>
    <row r="563">
      <c r="A563" s="11"/>
      <c r="B563" s="138"/>
      <c r="C563" s="119"/>
      <c r="D563" s="119"/>
      <c r="E563" s="119"/>
      <c r="F563" s="50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</row>
    <row r="564">
      <c r="A564" s="11"/>
      <c r="B564" s="138"/>
      <c r="C564" s="119"/>
      <c r="D564" s="119"/>
      <c r="E564" s="119"/>
      <c r="F564" s="50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</row>
    <row r="565">
      <c r="A565" s="11"/>
      <c r="B565" s="138"/>
      <c r="C565" s="119"/>
      <c r="D565" s="119"/>
      <c r="E565" s="119"/>
      <c r="F565" s="50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</row>
    <row r="566">
      <c r="A566" s="11"/>
      <c r="B566" s="138"/>
      <c r="C566" s="119"/>
      <c r="D566" s="119"/>
      <c r="E566" s="119"/>
      <c r="F566" s="50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</row>
    <row r="567">
      <c r="A567" s="11"/>
      <c r="B567" s="138"/>
      <c r="C567" s="119"/>
      <c r="D567" s="119"/>
      <c r="E567" s="119"/>
      <c r="F567" s="50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</row>
    <row r="568">
      <c r="A568" s="11"/>
      <c r="B568" s="138"/>
      <c r="C568" s="119"/>
      <c r="D568" s="119"/>
      <c r="E568" s="119"/>
      <c r="F568" s="50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</row>
    <row r="569">
      <c r="A569" s="11"/>
      <c r="B569" s="138"/>
      <c r="C569" s="119"/>
      <c r="D569" s="119"/>
      <c r="E569" s="119"/>
      <c r="F569" s="50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</row>
    <row r="570">
      <c r="A570" s="11"/>
      <c r="B570" s="138"/>
      <c r="C570" s="119"/>
      <c r="D570" s="119"/>
      <c r="E570" s="119"/>
      <c r="F570" s="50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</row>
    <row r="571">
      <c r="A571" s="11"/>
      <c r="B571" s="138"/>
      <c r="C571" s="119"/>
      <c r="D571" s="119"/>
      <c r="E571" s="119"/>
      <c r="F571" s="50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</row>
    <row r="572">
      <c r="A572" s="11"/>
      <c r="B572" s="138"/>
      <c r="C572" s="119"/>
      <c r="D572" s="119"/>
      <c r="E572" s="119"/>
      <c r="F572" s="50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</row>
    <row r="573">
      <c r="A573" s="11"/>
      <c r="B573" s="138"/>
      <c r="C573" s="119"/>
      <c r="D573" s="119"/>
      <c r="E573" s="119"/>
      <c r="F573" s="50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</row>
    <row r="574">
      <c r="A574" s="11"/>
      <c r="B574" s="138"/>
      <c r="C574" s="119"/>
      <c r="D574" s="119"/>
      <c r="E574" s="119"/>
      <c r="F574" s="50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</row>
    <row r="575">
      <c r="A575" s="11"/>
      <c r="B575" s="138"/>
      <c r="C575" s="119"/>
      <c r="D575" s="119"/>
      <c r="E575" s="119"/>
      <c r="F575" s="50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</row>
    <row r="576">
      <c r="A576" s="11"/>
      <c r="B576" s="138"/>
      <c r="C576" s="119"/>
      <c r="D576" s="119"/>
      <c r="E576" s="119"/>
      <c r="F576" s="50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</row>
    <row r="577">
      <c r="A577" s="11"/>
      <c r="B577" s="138"/>
      <c r="C577" s="119"/>
      <c r="D577" s="119"/>
      <c r="E577" s="119"/>
      <c r="F577" s="50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</row>
    <row r="578">
      <c r="A578" s="11"/>
      <c r="B578" s="138"/>
      <c r="C578" s="119"/>
      <c r="D578" s="119"/>
      <c r="E578" s="119"/>
      <c r="F578" s="50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</row>
    <row r="579">
      <c r="A579" s="11"/>
      <c r="B579" s="138"/>
      <c r="C579" s="119"/>
      <c r="D579" s="119"/>
      <c r="E579" s="119"/>
      <c r="F579" s="50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</row>
    <row r="580">
      <c r="A580" s="11"/>
      <c r="B580" s="138"/>
      <c r="C580" s="119"/>
      <c r="D580" s="119"/>
      <c r="E580" s="119"/>
      <c r="F580" s="50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</row>
    <row r="581">
      <c r="A581" s="11"/>
      <c r="B581" s="138"/>
      <c r="C581" s="119"/>
      <c r="D581" s="119"/>
      <c r="E581" s="119"/>
      <c r="F581" s="50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</row>
    <row r="582">
      <c r="A582" s="11"/>
      <c r="B582" s="138"/>
      <c r="C582" s="119"/>
      <c r="D582" s="119"/>
      <c r="E582" s="119"/>
      <c r="F582" s="50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</row>
    <row r="583">
      <c r="A583" s="11"/>
      <c r="B583" s="138"/>
      <c r="C583" s="119"/>
      <c r="D583" s="119"/>
      <c r="E583" s="119"/>
      <c r="F583" s="50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</row>
    <row r="584">
      <c r="A584" s="11"/>
      <c r="B584" s="138"/>
      <c r="C584" s="119"/>
      <c r="D584" s="119"/>
      <c r="E584" s="119"/>
      <c r="F584" s="50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</row>
    <row r="585">
      <c r="A585" s="11"/>
      <c r="B585" s="138"/>
      <c r="C585" s="119"/>
      <c r="D585" s="119"/>
      <c r="E585" s="119"/>
      <c r="F585" s="50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</row>
    <row r="586">
      <c r="A586" s="11"/>
      <c r="B586" s="138"/>
      <c r="C586" s="119"/>
      <c r="D586" s="119"/>
      <c r="E586" s="119"/>
      <c r="F586" s="50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</row>
    <row r="587">
      <c r="A587" s="11"/>
      <c r="B587" s="138"/>
      <c r="C587" s="119"/>
      <c r="D587" s="119"/>
      <c r="E587" s="119"/>
      <c r="F587" s="50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</row>
    <row r="588">
      <c r="A588" s="11"/>
      <c r="B588" s="138"/>
      <c r="C588" s="119"/>
      <c r="D588" s="119"/>
      <c r="E588" s="119"/>
      <c r="F588" s="50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</row>
    <row r="589">
      <c r="A589" s="11"/>
      <c r="B589" s="138"/>
      <c r="C589" s="119"/>
      <c r="D589" s="119"/>
      <c r="E589" s="119"/>
      <c r="F589" s="50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</row>
    <row r="590">
      <c r="A590" s="11"/>
      <c r="B590" s="138"/>
      <c r="C590" s="119"/>
      <c r="D590" s="119"/>
      <c r="E590" s="119"/>
      <c r="F590" s="50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</row>
    <row r="591">
      <c r="A591" s="11"/>
      <c r="B591" s="138"/>
      <c r="C591" s="119"/>
      <c r="D591" s="119"/>
      <c r="E591" s="119"/>
      <c r="F591" s="50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</row>
    <row r="592">
      <c r="A592" s="11"/>
      <c r="B592" s="138"/>
      <c r="C592" s="119"/>
      <c r="D592" s="119"/>
      <c r="E592" s="119"/>
      <c r="F592" s="50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</row>
    <row r="593">
      <c r="A593" s="11"/>
      <c r="B593" s="138"/>
      <c r="C593" s="119"/>
      <c r="D593" s="119"/>
      <c r="E593" s="119"/>
      <c r="F593" s="50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</row>
    <row r="594">
      <c r="A594" s="11"/>
      <c r="B594" s="138"/>
      <c r="C594" s="119"/>
      <c r="D594" s="119"/>
      <c r="E594" s="119"/>
      <c r="F594" s="50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</row>
    <row r="595">
      <c r="A595" s="11"/>
      <c r="B595" s="138"/>
      <c r="C595" s="119"/>
      <c r="D595" s="119"/>
      <c r="E595" s="119"/>
      <c r="F595" s="50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</row>
    <row r="596">
      <c r="A596" s="11"/>
      <c r="B596" s="138"/>
      <c r="C596" s="119"/>
      <c r="D596" s="119"/>
      <c r="E596" s="119"/>
      <c r="F596" s="50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</row>
    <row r="597">
      <c r="A597" s="11"/>
      <c r="B597" s="138"/>
      <c r="C597" s="119"/>
      <c r="D597" s="119"/>
      <c r="E597" s="119"/>
      <c r="F597" s="50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</row>
    <row r="598">
      <c r="A598" s="11"/>
      <c r="B598" s="138"/>
      <c r="C598" s="119"/>
      <c r="D598" s="119"/>
      <c r="E598" s="119"/>
      <c r="F598" s="50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</row>
    <row r="599">
      <c r="A599" s="11"/>
      <c r="B599" s="138"/>
      <c r="C599" s="119"/>
      <c r="D599" s="119"/>
      <c r="E599" s="119"/>
      <c r="F599" s="50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</row>
    <row r="600">
      <c r="A600" s="11"/>
      <c r="B600" s="138"/>
      <c r="C600" s="119"/>
      <c r="D600" s="119"/>
      <c r="E600" s="119"/>
      <c r="F600" s="50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</row>
    <row r="601">
      <c r="A601" s="11"/>
      <c r="B601" s="138"/>
      <c r="C601" s="119"/>
      <c r="D601" s="119"/>
      <c r="E601" s="119"/>
      <c r="F601" s="50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</row>
    <row r="602">
      <c r="A602" s="11"/>
      <c r="B602" s="138"/>
      <c r="C602" s="119"/>
      <c r="D602" s="119"/>
      <c r="E602" s="119"/>
      <c r="F602" s="50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</row>
    <row r="603">
      <c r="A603" s="11"/>
      <c r="B603" s="138"/>
      <c r="C603" s="119"/>
      <c r="D603" s="119"/>
      <c r="E603" s="119"/>
      <c r="F603" s="50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</row>
    <row r="604">
      <c r="A604" s="11"/>
      <c r="B604" s="138"/>
      <c r="C604" s="119"/>
      <c r="D604" s="119"/>
      <c r="E604" s="119"/>
      <c r="F604" s="50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</row>
    <row r="605">
      <c r="A605" s="11"/>
      <c r="B605" s="138"/>
      <c r="C605" s="119"/>
      <c r="D605" s="119"/>
      <c r="E605" s="119"/>
      <c r="F605" s="50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</row>
    <row r="606">
      <c r="A606" s="11"/>
      <c r="B606" s="138"/>
      <c r="C606" s="119"/>
      <c r="D606" s="119"/>
      <c r="E606" s="119"/>
      <c r="F606" s="50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</row>
    <row r="607">
      <c r="A607" s="11"/>
      <c r="B607" s="138"/>
      <c r="C607" s="119"/>
      <c r="D607" s="119"/>
      <c r="E607" s="119"/>
      <c r="F607" s="50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</row>
    <row r="608">
      <c r="A608" s="11"/>
      <c r="B608" s="138"/>
      <c r="C608" s="119"/>
      <c r="D608" s="119"/>
      <c r="E608" s="119"/>
      <c r="F608" s="50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</row>
    <row r="609">
      <c r="A609" s="11"/>
      <c r="B609" s="138"/>
      <c r="C609" s="119"/>
      <c r="D609" s="119"/>
      <c r="E609" s="119"/>
      <c r="F609" s="50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</row>
    <row r="610">
      <c r="A610" s="11"/>
      <c r="B610" s="138"/>
      <c r="C610" s="119"/>
      <c r="D610" s="119"/>
      <c r="E610" s="119"/>
      <c r="F610" s="50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</row>
    <row r="611">
      <c r="A611" s="11"/>
      <c r="B611" s="138"/>
      <c r="C611" s="119"/>
      <c r="D611" s="119"/>
      <c r="E611" s="119"/>
      <c r="F611" s="50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</row>
    <row r="612">
      <c r="A612" s="11"/>
      <c r="B612" s="138"/>
      <c r="C612" s="119"/>
      <c r="D612" s="119"/>
      <c r="E612" s="119"/>
      <c r="F612" s="50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</row>
    <row r="613">
      <c r="A613" s="11"/>
      <c r="B613" s="138"/>
      <c r="C613" s="119"/>
      <c r="D613" s="119"/>
      <c r="E613" s="119"/>
      <c r="F613" s="50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</row>
    <row r="614">
      <c r="A614" s="11"/>
      <c r="B614" s="138"/>
      <c r="C614" s="119"/>
      <c r="D614" s="119"/>
      <c r="E614" s="119"/>
      <c r="F614" s="50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</row>
    <row r="615">
      <c r="A615" s="11"/>
      <c r="B615" s="138"/>
      <c r="C615" s="119"/>
      <c r="D615" s="119"/>
      <c r="E615" s="119"/>
      <c r="F615" s="50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</row>
    <row r="616">
      <c r="A616" s="11"/>
      <c r="B616" s="138"/>
      <c r="C616" s="119"/>
      <c r="D616" s="119"/>
      <c r="E616" s="119"/>
      <c r="F616" s="50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</row>
    <row r="617">
      <c r="A617" s="11"/>
      <c r="B617" s="138"/>
      <c r="C617" s="119"/>
      <c r="D617" s="119"/>
      <c r="E617" s="119"/>
      <c r="F617" s="50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</row>
    <row r="618">
      <c r="A618" s="11"/>
      <c r="B618" s="138"/>
      <c r="C618" s="119"/>
      <c r="D618" s="119"/>
      <c r="E618" s="119"/>
      <c r="F618" s="50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</row>
    <row r="619">
      <c r="A619" s="11"/>
      <c r="B619" s="138"/>
      <c r="C619" s="119"/>
      <c r="D619" s="119"/>
      <c r="E619" s="119"/>
      <c r="F619" s="50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</row>
    <row r="620">
      <c r="A620" s="11"/>
      <c r="B620" s="138"/>
      <c r="C620" s="119"/>
      <c r="D620" s="119"/>
      <c r="E620" s="119"/>
      <c r="F620" s="50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</row>
    <row r="621">
      <c r="A621" s="11"/>
      <c r="B621" s="138"/>
      <c r="C621" s="119"/>
      <c r="D621" s="119"/>
      <c r="E621" s="119"/>
      <c r="F621" s="50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</row>
    <row r="622">
      <c r="A622" s="11"/>
      <c r="B622" s="138"/>
      <c r="C622" s="119"/>
      <c r="D622" s="119"/>
      <c r="E622" s="119"/>
      <c r="F622" s="50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</row>
    <row r="623">
      <c r="A623" s="11"/>
      <c r="B623" s="138"/>
      <c r="C623" s="119"/>
      <c r="D623" s="119"/>
      <c r="E623" s="119"/>
      <c r="F623" s="50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</row>
    <row r="624">
      <c r="A624" s="11"/>
      <c r="B624" s="138"/>
      <c r="C624" s="119"/>
      <c r="D624" s="119"/>
      <c r="E624" s="119"/>
      <c r="F624" s="50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</row>
    <row r="625">
      <c r="A625" s="11"/>
      <c r="B625" s="138"/>
      <c r="C625" s="119"/>
      <c r="D625" s="119"/>
      <c r="E625" s="119"/>
      <c r="F625" s="50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</row>
    <row r="626">
      <c r="A626" s="11"/>
      <c r="B626" s="138"/>
      <c r="C626" s="119"/>
      <c r="D626" s="119"/>
      <c r="E626" s="119"/>
      <c r="F626" s="50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</row>
    <row r="627">
      <c r="A627" s="11"/>
      <c r="B627" s="138"/>
      <c r="C627" s="119"/>
      <c r="D627" s="119"/>
      <c r="E627" s="119"/>
      <c r="F627" s="50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</row>
    <row r="628">
      <c r="A628" s="11"/>
      <c r="B628" s="138"/>
      <c r="C628" s="119"/>
      <c r="D628" s="119"/>
      <c r="E628" s="119"/>
      <c r="F628" s="50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</row>
    <row r="629">
      <c r="A629" s="11"/>
      <c r="B629" s="138"/>
      <c r="C629" s="119"/>
      <c r="D629" s="119"/>
      <c r="E629" s="119"/>
      <c r="F629" s="50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</row>
    <row r="630">
      <c r="A630" s="11"/>
      <c r="B630" s="138"/>
      <c r="C630" s="119"/>
      <c r="D630" s="119"/>
      <c r="E630" s="119"/>
      <c r="F630" s="50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</row>
    <row r="631">
      <c r="A631" s="11"/>
      <c r="B631" s="138"/>
      <c r="C631" s="119"/>
      <c r="D631" s="119"/>
      <c r="E631" s="119"/>
      <c r="F631" s="50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</row>
    <row r="632">
      <c r="A632" s="11"/>
      <c r="B632" s="138"/>
      <c r="C632" s="119"/>
      <c r="D632" s="119"/>
      <c r="E632" s="119"/>
      <c r="F632" s="50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</row>
    <row r="633">
      <c r="A633" s="11"/>
      <c r="B633" s="138"/>
      <c r="C633" s="119"/>
      <c r="D633" s="119"/>
      <c r="E633" s="119"/>
      <c r="F633" s="50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</row>
    <row r="634">
      <c r="A634" s="11"/>
      <c r="B634" s="138"/>
      <c r="C634" s="119"/>
      <c r="D634" s="119"/>
      <c r="E634" s="119"/>
      <c r="F634" s="50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</row>
    <row r="635">
      <c r="A635" s="11"/>
      <c r="B635" s="138"/>
      <c r="C635" s="119"/>
      <c r="D635" s="119"/>
      <c r="E635" s="119"/>
      <c r="F635" s="50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</row>
    <row r="636">
      <c r="A636" s="11"/>
      <c r="B636" s="138"/>
      <c r="C636" s="119"/>
      <c r="D636" s="119"/>
      <c r="E636" s="119"/>
      <c r="F636" s="50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</row>
    <row r="637">
      <c r="A637" s="11"/>
      <c r="B637" s="138"/>
      <c r="C637" s="119"/>
      <c r="D637" s="119"/>
      <c r="E637" s="119"/>
      <c r="F637" s="50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</row>
    <row r="638">
      <c r="A638" s="11"/>
      <c r="B638" s="138"/>
      <c r="C638" s="119"/>
      <c r="D638" s="119"/>
      <c r="E638" s="119"/>
      <c r="F638" s="50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</row>
    <row r="639">
      <c r="A639" s="11"/>
      <c r="B639" s="138"/>
      <c r="C639" s="119"/>
      <c r="D639" s="119"/>
      <c r="E639" s="119"/>
      <c r="F639" s="50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</row>
    <row r="640">
      <c r="A640" s="11"/>
      <c r="B640" s="138"/>
      <c r="C640" s="119"/>
      <c r="D640" s="119"/>
      <c r="E640" s="119"/>
      <c r="F640" s="50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</row>
    <row r="641">
      <c r="A641" s="11"/>
      <c r="B641" s="138"/>
      <c r="C641" s="119"/>
      <c r="D641" s="119"/>
      <c r="E641" s="119"/>
      <c r="F641" s="50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</row>
    <row r="642">
      <c r="A642" s="11"/>
      <c r="B642" s="138"/>
      <c r="C642" s="119"/>
      <c r="D642" s="119"/>
      <c r="E642" s="119"/>
      <c r="F642" s="50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</row>
    <row r="643">
      <c r="A643" s="11"/>
      <c r="B643" s="138"/>
      <c r="C643" s="119"/>
      <c r="D643" s="119"/>
      <c r="E643" s="119"/>
      <c r="F643" s="50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</row>
    <row r="644">
      <c r="A644" s="11"/>
      <c r="B644" s="138"/>
      <c r="C644" s="119"/>
      <c r="D644" s="119"/>
      <c r="E644" s="119"/>
      <c r="F644" s="50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</row>
    <row r="645">
      <c r="A645" s="11"/>
      <c r="B645" s="138"/>
      <c r="C645" s="119"/>
      <c r="D645" s="119"/>
      <c r="E645" s="119"/>
      <c r="F645" s="50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</row>
    <row r="646">
      <c r="A646" s="11"/>
      <c r="B646" s="138"/>
      <c r="C646" s="119"/>
      <c r="D646" s="119"/>
      <c r="E646" s="119"/>
      <c r="F646" s="50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</row>
    <row r="647">
      <c r="A647" s="11"/>
      <c r="B647" s="138"/>
      <c r="C647" s="119"/>
      <c r="D647" s="119"/>
      <c r="E647" s="119"/>
      <c r="F647" s="50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</row>
    <row r="648">
      <c r="A648" s="11"/>
      <c r="B648" s="138"/>
      <c r="C648" s="119"/>
      <c r="D648" s="119"/>
      <c r="E648" s="119"/>
      <c r="F648" s="50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</row>
    <row r="649">
      <c r="A649" s="11"/>
      <c r="B649" s="138"/>
      <c r="C649" s="119"/>
      <c r="D649" s="119"/>
      <c r="E649" s="119"/>
      <c r="F649" s="50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</row>
    <row r="650">
      <c r="A650" s="11"/>
      <c r="B650" s="138"/>
      <c r="C650" s="119"/>
      <c r="D650" s="119"/>
      <c r="E650" s="119"/>
      <c r="F650" s="50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</row>
    <row r="651">
      <c r="A651" s="11"/>
      <c r="B651" s="138"/>
      <c r="C651" s="119"/>
      <c r="D651" s="119"/>
      <c r="E651" s="119"/>
      <c r="F651" s="50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</row>
    <row r="652">
      <c r="A652" s="11"/>
      <c r="B652" s="138"/>
      <c r="C652" s="119"/>
      <c r="D652" s="119"/>
      <c r="E652" s="119"/>
      <c r="F652" s="50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</row>
    <row r="653">
      <c r="A653" s="11"/>
      <c r="B653" s="138"/>
      <c r="C653" s="119"/>
      <c r="D653" s="119"/>
      <c r="E653" s="119"/>
      <c r="F653" s="50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</row>
    <row r="654">
      <c r="A654" s="11"/>
      <c r="B654" s="138"/>
      <c r="C654" s="119"/>
      <c r="D654" s="119"/>
      <c r="E654" s="119"/>
      <c r="F654" s="50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</row>
    <row r="655">
      <c r="A655" s="11"/>
      <c r="B655" s="138"/>
      <c r="C655" s="119"/>
      <c r="D655" s="119"/>
      <c r="E655" s="119"/>
      <c r="F655" s="50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</row>
    <row r="656">
      <c r="A656" s="11"/>
      <c r="B656" s="138"/>
      <c r="C656" s="119"/>
      <c r="D656" s="119"/>
      <c r="E656" s="119"/>
      <c r="F656" s="50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</row>
    <row r="657">
      <c r="A657" s="11"/>
      <c r="B657" s="138"/>
      <c r="C657" s="119"/>
      <c r="D657" s="119"/>
      <c r="E657" s="119"/>
      <c r="F657" s="50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</row>
    <row r="658">
      <c r="A658" s="11"/>
      <c r="B658" s="138"/>
      <c r="C658" s="119"/>
      <c r="D658" s="119"/>
      <c r="E658" s="119"/>
      <c r="F658" s="50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</row>
    <row r="659">
      <c r="A659" s="11"/>
      <c r="B659" s="138"/>
      <c r="C659" s="119"/>
      <c r="D659" s="119"/>
      <c r="E659" s="119"/>
      <c r="F659" s="50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</row>
    <row r="660">
      <c r="A660" s="11"/>
      <c r="B660" s="138"/>
      <c r="C660" s="119"/>
      <c r="D660" s="119"/>
      <c r="E660" s="119"/>
      <c r="F660" s="50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</row>
    <row r="661">
      <c r="A661" s="11"/>
      <c r="B661" s="138"/>
      <c r="C661" s="119"/>
      <c r="D661" s="119"/>
      <c r="E661" s="119"/>
      <c r="F661" s="50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</row>
    <row r="662">
      <c r="A662" s="11"/>
      <c r="B662" s="138"/>
      <c r="C662" s="119"/>
      <c r="D662" s="119"/>
      <c r="E662" s="119"/>
      <c r="F662" s="50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</row>
    <row r="663">
      <c r="A663" s="11"/>
      <c r="B663" s="138"/>
      <c r="C663" s="119"/>
      <c r="D663" s="119"/>
      <c r="E663" s="119"/>
      <c r="F663" s="50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</row>
    <row r="664">
      <c r="A664" s="11"/>
      <c r="B664" s="138"/>
      <c r="C664" s="119"/>
      <c r="D664" s="119"/>
      <c r="E664" s="119"/>
      <c r="F664" s="50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</row>
    <row r="665">
      <c r="A665" s="11"/>
      <c r="B665" s="138"/>
      <c r="C665" s="119"/>
      <c r="D665" s="119"/>
      <c r="E665" s="119"/>
      <c r="F665" s="50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</row>
    <row r="666">
      <c r="A666" s="11"/>
      <c r="B666" s="138"/>
      <c r="C666" s="119"/>
      <c r="D666" s="119"/>
      <c r="E666" s="119"/>
      <c r="F666" s="50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</row>
    <row r="667">
      <c r="A667" s="11"/>
      <c r="B667" s="138"/>
      <c r="C667" s="119"/>
      <c r="D667" s="119"/>
      <c r="E667" s="119"/>
      <c r="F667" s="50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</row>
    <row r="668">
      <c r="A668" s="11"/>
      <c r="B668" s="138"/>
      <c r="C668" s="119"/>
      <c r="D668" s="119"/>
      <c r="E668" s="119"/>
      <c r="F668" s="50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</row>
    <row r="669">
      <c r="A669" s="11"/>
      <c r="B669" s="138"/>
      <c r="C669" s="119"/>
      <c r="D669" s="119"/>
      <c r="E669" s="119"/>
      <c r="F669" s="50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</row>
    <row r="670">
      <c r="A670" s="11"/>
      <c r="B670" s="138"/>
      <c r="C670" s="119"/>
      <c r="D670" s="119"/>
      <c r="E670" s="119"/>
      <c r="F670" s="50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</row>
    <row r="671">
      <c r="A671" s="11"/>
      <c r="B671" s="138"/>
      <c r="C671" s="119"/>
      <c r="D671" s="119"/>
      <c r="E671" s="119"/>
      <c r="F671" s="50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</row>
    <row r="672">
      <c r="A672" s="11"/>
      <c r="B672" s="138"/>
      <c r="C672" s="119"/>
      <c r="D672" s="119"/>
      <c r="E672" s="119"/>
      <c r="F672" s="50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</row>
    <row r="673">
      <c r="A673" s="11"/>
      <c r="B673" s="138"/>
      <c r="C673" s="119"/>
      <c r="D673" s="119"/>
      <c r="E673" s="119"/>
      <c r="F673" s="50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</row>
    <row r="674">
      <c r="A674" s="11"/>
      <c r="B674" s="138"/>
      <c r="C674" s="119"/>
      <c r="D674" s="119"/>
      <c r="E674" s="119"/>
      <c r="F674" s="50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</row>
    <row r="675">
      <c r="A675" s="11"/>
      <c r="B675" s="138"/>
      <c r="C675" s="119"/>
      <c r="D675" s="119"/>
      <c r="E675" s="119"/>
      <c r="F675" s="50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</row>
    <row r="676">
      <c r="A676" s="11"/>
      <c r="B676" s="138"/>
      <c r="C676" s="119"/>
      <c r="D676" s="119"/>
      <c r="E676" s="119"/>
      <c r="F676" s="50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</row>
    <row r="677">
      <c r="A677" s="11"/>
      <c r="B677" s="138"/>
      <c r="C677" s="119"/>
      <c r="D677" s="119"/>
      <c r="E677" s="119"/>
      <c r="F677" s="50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</row>
    <row r="678">
      <c r="A678" s="11"/>
      <c r="B678" s="138"/>
      <c r="C678" s="119"/>
      <c r="D678" s="119"/>
      <c r="E678" s="119"/>
      <c r="F678" s="50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</row>
    <row r="679">
      <c r="A679" s="11"/>
      <c r="B679" s="138"/>
      <c r="C679" s="119"/>
      <c r="D679" s="119"/>
      <c r="E679" s="119"/>
      <c r="F679" s="50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</row>
    <row r="680">
      <c r="A680" s="11"/>
      <c r="B680" s="138"/>
      <c r="C680" s="119"/>
      <c r="D680" s="119"/>
      <c r="E680" s="119"/>
      <c r="F680" s="50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</row>
    <row r="681">
      <c r="A681" s="11"/>
      <c r="B681" s="138"/>
      <c r="C681" s="119"/>
      <c r="D681" s="119"/>
      <c r="E681" s="119"/>
      <c r="F681" s="50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</row>
    <row r="682">
      <c r="A682" s="11"/>
      <c r="B682" s="138"/>
      <c r="C682" s="119"/>
      <c r="D682" s="119"/>
      <c r="E682" s="119"/>
      <c r="F682" s="50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</row>
    <row r="683">
      <c r="A683" s="11"/>
      <c r="B683" s="138"/>
      <c r="C683" s="119"/>
      <c r="D683" s="119"/>
      <c r="E683" s="119"/>
      <c r="F683" s="50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</row>
    <row r="684">
      <c r="A684" s="11"/>
      <c r="B684" s="138"/>
      <c r="C684" s="119"/>
      <c r="D684" s="119"/>
      <c r="E684" s="119"/>
      <c r="F684" s="50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</row>
    <row r="685">
      <c r="A685" s="11"/>
      <c r="B685" s="138"/>
      <c r="C685" s="119"/>
      <c r="D685" s="119"/>
      <c r="E685" s="119"/>
      <c r="F685" s="50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</row>
    <row r="686">
      <c r="A686" s="11"/>
      <c r="B686" s="138"/>
      <c r="C686" s="119"/>
      <c r="D686" s="119"/>
      <c r="E686" s="119"/>
      <c r="F686" s="50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</row>
    <row r="687">
      <c r="A687" s="11"/>
      <c r="B687" s="138"/>
      <c r="C687" s="119"/>
      <c r="D687" s="119"/>
      <c r="E687" s="119"/>
      <c r="F687" s="50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</row>
    <row r="688">
      <c r="A688" s="11"/>
      <c r="B688" s="138"/>
      <c r="C688" s="119"/>
      <c r="D688" s="119"/>
      <c r="E688" s="119"/>
      <c r="F688" s="50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</row>
    <row r="689">
      <c r="A689" s="11"/>
      <c r="B689" s="138"/>
      <c r="C689" s="119"/>
      <c r="D689" s="119"/>
      <c r="E689" s="119"/>
      <c r="F689" s="50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</row>
    <row r="690">
      <c r="A690" s="11"/>
      <c r="B690" s="138"/>
      <c r="C690" s="119"/>
      <c r="D690" s="119"/>
      <c r="E690" s="119"/>
      <c r="F690" s="50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</row>
    <row r="691">
      <c r="A691" s="11"/>
      <c r="B691" s="138"/>
      <c r="C691" s="119"/>
      <c r="D691" s="119"/>
      <c r="E691" s="119"/>
      <c r="F691" s="50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</row>
    <row r="692">
      <c r="A692" s="11"/>
      <c r="B692" s="138"/>
      <c r="C692" s="119"/>
      <c r="D692" s="119"/>
      <c r="E692" s="119"/>
      <c r="F692" s="50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</row>
    <row r="693">
      <c r="A693" s="11"/>
      <c r="B693" s="138"/>
      <c r="C693" s="119"/>
      <c r="D693" s="119"/>
      <c r="E693" s="119"/>
      <c r="F693" s="50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</row>
    <row r="694">
      <c r="A694" s="11"/>
      <c r="B694" s="138"/>
      <c r="C694" s="119"/>
      <c r="D694" s="119"/>
      <c r="E694" s="119"/>
      <c r="F694" s="50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</row>
    <row r="695">
      <c r="A695" s="11"/>
      <c r="B695" s="138"/>
      <c r="C695" s="119"/>
      <c r="D695" s="119"/>
      <c r="E695" s="119"/>
      <c r="F695" s="50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</row>
    <row r="696">
      <c r="A696" s="11"/>
      <c r="B696" s="138"/>
      <c r="C696" s="119"/>
      <c r="D696" s="119"/>
      <c r="E696" s="119"/>
      <c r="F696" s="50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</row>
    <row r="697">
      <c r="A697" s="11"/>
      <c r="B697" s="138"/>
      <c r="C697" s="119"/>
      <c r="D697" s="119"/>
      <c r="E697" s="119"/>
      <c r="F697" s="50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</row>
    <row r="698">
      <c r="A698" s="11"/>
      <c r="B698" s="138"/>
      <c r="C698" s="119"/>
      <c r="D698" s="119"/>
      <c r="E698" s="119"/>
      <c r="F698" s="50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</row>
    <row r="699">
      <c r="A699" s="11"/>
      <c r="B699" s="138"/>
      <c r="C699" s="119"/>
      <c r="D699" s="119"/>
      <c r="E699" s="119"/>
      <c r="F699" s="50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</row>
    <row r="700">
      <c r="A700" s="11"/>
      <c r="B700" s="138"/>
      <c r="C700" s="119"/>
      <c r="D700" s="119"/>
      <c r="E700" s="119"/>
      <c r="F700" s="50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</row>
    <row r="701">
      <c r="A701" s="11"/>
      <c r="B701" s="138"/>
      <c r="C701" s="119"/>
      <c r="D701" s="119"/>
      <c r="E701" s="119"/>
      <c r="F701" s="50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</row>
    <row r="702">
      <c r="A702" s="11"/>
      <c r="B702" s="138"/>
      <c r="C702" s="119"/>
      <c r="D702" s="119"/>
      <c r="E702" s="119"/>
      <c r="F702" s="50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</row>
    <row r="703">
      <c r="A703" s="11"/>
      <c r="B703" s="138"/>
      <c r="C703" s="119"/>
      <c r="D703" s="119"/>
      <c r="E703" s="119"/>
      <c r="F703" s="50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</row>
    <row r="704">
      <c r="A704" s="11"/>
      <c r="B704" s="138"/>
      <c r="C704" s="119"/>
      <c r="D704" s="119"/>
      <c r="E704" s="119"/>
      <c r="F704" s="50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</row>
    <row r="705">
      <c r="A705" s="11"/>
      <c r="B705" s="138"/>
      <c r="C705" s="119"/>
      <c r="D705" s="119"/>
      <c r="E705" s="119"/>
      <c r="F705" s="50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</row>
    <row r="706">
      <c r="A706" s="11"/>
      <c r="B706" s="138"/>
      <c r="C706" s="119"/>
      <c r="D706" s="119"/>
      <c r="E706" s="119"/>
      <c r="F706" s="50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</row>
    <row r="707">
      <c r="A707" s="11"/>
      <c r="B707" s="138"/>
      <c r="C707" s="119"/>
      <c r="D707" s="119"/>
      <c r="E707" s="119"/>
      <c r="F707" s="50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</row>
    <row r="708">
      <c r="A708" s="11"/>
      <c r="B708" s="138"/>
      <c r="C708" s="119"/>
      <c r="D708" s="119"/>
      <c r="E708" s="119"/>
      <c r="F708" s="50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</row>
    <row r="709">
      <c r="A709" s="11"/>
      <c r="B709" s="138"/>
      <c r="C709" s="119"/>
      <c r="D709" s="119"/>
      <c r="E709" s="119"/>
      <c r="F709" s="50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</row>
    <row r="710">
      <c r="A710" s="11"/>
      <c r="B710" s="138"/>
      <c r="C710" s="119"/>
      <c r="D710" s="119"/>
      <c r="E710" s="119"/>
      <c r="F710" s="50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</row>
    <row r="711">
      <c r="A711" s="11"/>
      <c r="B711" s="138"/>
      <c r="C711" s="119"/>
      <c r="D711" s="119"/>
      <c r="E711" s="119"/>
      <c r="F711" s="50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</row>
    <row r="712">
      <c r="A712" s="11"/>
      <c r="B712" s="138"/>
      <c r="C712" s="119"/>
      <c r="D712" s="119"/>
      <c r="E712" s="119"/>
      <c r="F712" s="50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</row>
    <row r="713">
      <c r="A713" s="11"/>
      <c r="B713" s="138"/>
      <c r="C713" s="119"/>
      <c r="D713" s="119"/>
      <c r="E713" s="119"/>
      <c r="F713" s="50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</row>
    <row r="714">
      <c r="A714" s="11"/>
      <c r="B714" s="138"/>
      <c r="C714" s="119"/>
      <c r="D714" s="119"/>
      <c r="E714" s="119"/>
      <c r="F714" s="50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</row>
    <row r="715">
      <c r="A715" s="11"/>
      <c r="B715" s="138"/>
      <c r="C715" s="119"/>
      <c r="D715" s="119"/>
      <c r="E715" s="119"/>
      <c r="F715" s="50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</row>
    <row r="716">
      <c r="A716" s="11"/>
      <c r="B716" s="138"/>
      <c r="C716" s="119"/>
      <c r="D716" s="119"/>
      <c r="E716" s="119"/>
      <c r="F716" s="50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</row>
    <row r="717">
      <c r="A717" s="11"/>
      <c r="B717" s="138"/>
      <c r="C717" s="119"/>
      <c r="D717" s="119"/>
      <c r="E717" s="119"/>
      <c r="F717" s="50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</row>
    <row r="718">
      <c r="A718" s="11"/>
      <c r="B718" s="138"/>
      <c r="C718" s="119"/>
      <c r="D718" s="119"/>
      <c r="E718" s="119"/>
      <c r="F718" s="50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</row>
    <row r="719">
      <c r="A719" s="11"/>
      <c r="B719" s="138"/>
      <c r="C719" s="119"/>
      <c r="D719" s="119"/>
      <c r="E719" s="119"/>
      <c r="F719" s="50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</row>
    <row r="720">
      <c r="A720" s="11"/>
      <c r="B720" s="138"/>
      <c r="C720" s="119"/>
      <c r="D720" s="119"/>
      <c r="E720" s="119"/>
      <c r="F720" s="50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</row>
    <row r="721">
      <c r="A721" s="11"/>
      <c r="B721" s="138"/>
      <c r="C721" s="119"/>
      <c r="D721" s="119"/>
      <c r="E721" s="119"/>
      <c r="F721" s="50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</row>
    <row r="722">
      <c r="A722" s="11"/>
      <c r="B722" s="138"/>
      <c r="C722" s="119"/>
      <c r="D722" s="119"/>
      <c r="E722" s="119"/>
      <c r="F722" s="50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</row>
    <row r="723">
      <c r="A723" s="11"/>
      <c r="B723" s="138"/>
      <c r="C723" s="119"/>
      <c r="D723" s="119"/>
      <c r="E723" s="119"/>
      <c r="F723" s="50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</row>
    <row r="724">
      <c r="A724" s="11"/>
      <c r="B724" s="138"/>
      <c r="C724" s="119"/>
      <c r="D724" s="119"/>
      <c r="E724" s="119"/>
      <c r="F724" s="50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</row>
    <row r="725">
      <c r="A725" s="11"/>
      <c r="B725" s="138"/>
      <c r="C725" s="119"/>
      <c r="D725" s="119"/>
      <c r="E725" s="119"/>
      <c r="F725" s="50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</row>
    <row r="726">
      <c r="A726" s="11"/>
      <c r="B726" s="138"/>
      <c r="C726" s="119"/>
      <c r="D726" s="119"/>
      <c r="E726" s="119"/>
      <c r="F726" s="50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</row>
    <row r="727">
      <c r="A727" s="11"/>
      <c r="B727" s="138"/>
      <c r="C727" s="119"/>
      <c r="D727" s="119"/>
      <c r="E727" s="119"/>
      <c r="F727" s="50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</row>
    <row r="728">
      <c r="A728" s="11"/>
      <c r="B728" s="138"/>
      <c r="C728" s="119"/>
      <c r="D728" s="119"/>
      <c r="E728" s="119"/>
      <c r="F728" s="50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</row>
    <row r="729">
      <c r="A729" s="11"/>
      <c r="B729" s="138"/>
      <c r="C729" s="119"/>
      <c r="D729" s="119"/>
      <c r="E729" s="119"/>
      <c r="F729" s="50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</row>
    <row r="730">
      <c r="A730" s="11"/>
      <c r="B730" s="138"/>
      <c r="C730" s="119"/>
      <c r="D730" s="119"/>
      <c r="E730" s="119"/>
      <c r="F730" s="50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</row>
    <row r="731">
      <c r="A731" s="11"/>
      <c r="B731" s="138"/>
      <c r="C731" s="119"/>
      <c r="D731" s="119"/>
      <c r="E731" s="119"/>
      <c r="F731" s="50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</row>
    <row r="732">
      <c r="A732" s="11"/>
      <c r="B732" s="138"/>
      <c r="C732" s="119"/>
      <c r="D732" s="119"/>
      <c r="E732" s="119"/>
      <c r="F732" s="50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</row>
    <row r="733">
      <c r="A733" s="11"/>
      <c r="B733" s="138"/>
      <c r="C733" s="119"/>
      <c r="D733" s="119"/>
      <c r="E733" s="119"/>
      <c r="F733" s="50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</row>
    <row r="734">
      <c r="A734" s="11"/>
      <c r="B734" s="138"/>
      <c r="C734" s="119"/>
      <c r="D734" s="119"/>
      <c r="E734" s="119"/>
      <c r="F734" s="50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</row>
    <row r="735">
      <c r="A735" s="11"/>
      <c r="B735" s="138"/>
      <c r="C735" s="119"/>
      <c r="D735" s="119"/>
      <c r="E735" s="119"/>
      <c r="F735" s="50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</row>
    <row r="736">
      <c r="A736" s="11"/>
      <c r="B736" s="138"/>
      <c r="C736" s="119"/>
      <c r="D736" s="119"/>
      <c r="E736" s="119"/>
      <c r="F736" s="50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</row>
    <row r="737">
      <c r="A737" s="11"/>
      <c r="B737" s="138"/>
      <c r="C737" s="119"/>
      <c r="D737" s="119"/>
      <c r="E737" s="119"/>
      <c r="F737" s="50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</row>
    <row r="738">
      <c r="A738" s="11"/>
      <c r="B738" s="138"/>
      <c r="C738" s="119"/>
      <c r="D738" s="119"/>
      <c r="E738" s="119"/>
      <c r="F738" s="50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</row>
    <row r="739">
      <c r="A739" s="11"/>
      <c r="B739" s="138"/>
      <c r="C739" s="119"/>
      <c r="D739" s="119"/>
      <c r="E739" s="119"/>
      <c r="F739" s="50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</row>
    <row r="740">
      <c r="A740" s="11"/>
      <c r="B740" s="138"/>
      <c r="C740" s="119"/>
      <c r="D740" s="119"/>
      <c r="E740" s="119"/>
      <c r="F740" s="50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</row>
    <row r="741">
      <c r="A741" s="11"/>
      <c r="B741" s="138"/>
      <c r="C741" s="119"/>
      <c r="D741" s="119"/>
      <c r="E741" s="119"/>
      <c r="F741" s="50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</row>
    <row r="742">
      <c r="A742" s="11"/>
      <c r="B742" s="138"/>
      <c r="C742" s="119"/>
      <c r="D742" s="119"/>
      <c r="E742" s="119"/>
      <c r="F742" s="50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</row>
    <row r="743">
      <c r="A743" s="11"/>
      <c r="B743" s="138"/>
      <c r="C743" s="119"/>
      <c r="D743" s="119"/>
      <c r="E743" s="119"/>
      <c r="F743" s="50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</row>
    <row r="744">
      <c r="A744" s="11"/>
      <c r="B744" s="138"/>
      <c r="C744" s="119"/>
      <c r="D744" s="119"/>
      <c r="E744" s="119"/>
      <c r="F744" s="50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</row>
    <row r="745">
      <c r="A745" s="11"/>
      <c r="B745" s="138"/>
      <c r="C745" s="119"/>
      <c r="D745" s="119"/>
      <c r="E745" s="119"/>
      <c r="F745" s="50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</row>
    <row r="746">
      <c r="A746" s="11"/>
      <c r="B746" s="138"/>
      <c r="C746" s="119"/>
      <c r="D746" s="119"/>
      <c r="E746" s="119"/>
      <c r="F746" s="50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</row>
    <row r="747">
      <c r="A747" s="11"/>
      <c r="B747" s="138"/>
      <c r="C747" s="119"/>
      <c r="D747" s="119"/>
      <c r="E747" s="119"/>
      <c r="F747" s="50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</row>
    <row r="748">
      <c r="A748" s="11"/>
      <c r="B748" s="138"/>
      <c r="C748" s="119"/>
      <c r="D748" s="119"/>
      <c r="E748" s="119"/>
      <c r="F748" s="50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</row>
    <row r="749">
      <c r="A749" s="11"/>
      <c r="B749" s="138"/>
      <c r="C749" s="119"/>
      <c r="D749" s="119"/>
      <c r="E749" s="119"/>
      <c r="F749" s="50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</row>
    <row r="750">
      <c r="A750" s="11"/>
      <c r="B750" s="138"/>
      <c r="C750" s="119"/>
      <c r="D750" s="119"/>
      <c r="E750" s="119"/>
      <c r="F750" s="50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</row>
    <row r="751">
      <c r="A751" s="11"/>
      <c r="B751" s="138"/>
      <c r="C751" s="119"/>
      <c r="D751" s="119"/>
      <c r="E751" s="119"/>
      <c r="F751" s="50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</row>
    <row r="752">
      <c r="A752" s="11"/>
      <c r="B752" s="138"/>
      <c r="C752" s="119"/>
      <c r="D752" s="119"/>
      <c r="E752" s="119"/>
      <c r="F752" s="50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</row>
    <row r="753">
      <c r="A753" s="11"/>
      <c r="B753" s="138"/>
      <c r="C753" s="119"/>
      <c r="D753" s="119"/>
      <c r="E753" s="119"/>
      <c r="F753" s="50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</row>
    <row r="754">
      <c r="A754" s="11"/>
      <c r="B754" s="138"/>
      <c r="C754" s="119"/>
      <c r="D754" s="119"/>
      <c r="E754" s="119"/>
      <c r="F754" s="50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</row>
    <row r="755">
      <c r="A755" s="11"/>
      <c r="B755" s="138"/>
      <c r="C755" s="119"/>
      <c r="D755" s="119"/>
      <c r="E755" s="119"/>
      <c r="F755" s="50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</row>
    <row r="756">
      <c r="A756" s="11"/>
      <c r="B756" s="138"/>
      <c r="C756" s="119"/>
      <c r="D756" s="119"/>
      <c r="E756" s="119"/>
      <c r="F756" s="50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</row>
    <row r="757">
      <c r="A757" s="11"/>
      <c r="B757" s="138"/>
      <c r="C757" s="119"/>
      <c r="D757" s="119"/>
      <c r="E757" s="119"/>
      <c r="F757" s="50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</row>
    <row r="758">
      <c r="A758" s="11"/>
      <c r="B758" s="138"/>
      <c r="C758" s="119"/>
      <c r="D758" s="119"/>
      <c r="E758" s="119"/>
      <c r="F758" s="50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</row>
    <row r="759">
      <c r="A759" s="11"/>
      <c r="B759" s="138"/>
      <c r="C759" s="119"/>
      <c r="D759" s="119"/>
      <c r="E759" s="119"/>
      <c r="F759" s="50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</row>
    <row r="760">
      <c r="A760" s="11"/>
      <c r="B760" s="138"/>
      <c r="C760" s="119"/>
      <c r="D760" s="119"/>
      <c r="E760" s="119"/>
      <c r="F760" s="50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</row>
    <row r="761">
      <c r="A761" s="11"/>
      <c r="B761" s="138"/>
      <c r="C761" s="119"/>
      <c r="D761" s="119"/>
      <c r="E761" s="119"/>
      <c r="F761" s="50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</row>
    <row r="762">
      <c r="A762" s="11"/>
      <c r="B762" s="138"/>
      <c r="C762" s="119"/>
      <c r="D762" s="119"/>
      <c r="E762" s="119"/>
      <c r="F762" s="50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</row>
    <row r="763">
      <c r="A763" s="11"/>
      <c r="B763" s="138"/>
      <c r="C763" s="119"/>
      <c r="D763" s="119"/>
      <c r="E763" s="119"/>
      <c r="F763" s="50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</row>
    <row r="764">
      <c r="A764" s="11"/>
      <c r="B764" s="138"/>
      <c r="C764" s="119"/>
      <c r="D764" s="119"/>
      <c r="E764" s="119"/>
      <c r="F764" s="50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</row>
    <row r="765">
      <c r="A765" s="11"/>
      <c r="B765" s="138"/>
      <c r="C765" s="119"/>
      <c r="D765" s="119"/>
      <c r="E765" s="119"/>
      <c r="F765" s="50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</row>
    <row r="766">
      <c r="A766" s="11"/>
      <c r="B766" s="138"/>
      <c r="C766" s="119"/>
      <c r="D766" s="119"/>
      <c r="E766" s="119"/>
      <c r="F766" s="50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</row>
    <row r="767">
      <c r="A767" s="11"/>
      <c r="B767" s="138"/>
      <c r="C767" s="119"/>
      <c r="D767" s="119"/>
      <c r="E767" s="119"/>
      <c r="F767" s="50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</row>
    <row r="768">
      <c r="A768" s="11"/>
      <c r="B768" s="138"/>
      <c r="C768" s="119"/>
      <c r="D768" s="119"/>
      <c r="E768" s="119"/>
      <c r="F768" s="50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</row>
    <row r="769">
      <c r="A769" s="11"/>
      <c r="B769" s="138"/>
      <c r="C769" s="119"/>
      <c r="D769" s="119"/>
      <c r="E769" s="119"/>
      <c r="F769" s="50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</row>
    <row r="770">
      <c r="A770" s="11"/>
      <c r="B770" s="138"/>
      <c r="C770" s="119"/>
      <c r="D770" s="119"/>
      <c r="E770" s="119"/>
      <c r="F770" s="50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</row>
    <row r="771">
      <c r="A771" s="11"/>
      <c r="B771" s="138"/>
      <c r="C771" s="119"/>
      <c r="D771" s="119"/>
      <c r="E771" s="119"/>
      <c r="F771" s="50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</row>
    <row r="772">
      <c r="A772" s="11"/>
      <c r="B772" s="138"/>
      <c r="C772" s="119"/>
      <c r="D772" s="119"/>
      <c r="E772" s="119"/>
      <c r="F772" s="50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</row>
    <row r="773">
      <c r="A773" s="11"/>
      <c r="B773" s="138"/>
      <c r="C773" s="119"/>
      <c r="D773" s="119"/>
      <c r="E773" s="119"/>
      <c r="F773" s="50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</row>
    <row r="774">
      <c r="A774" s="11"/>
      <c r="B774" s="138"/>
      <c r="C774" s="119"/>
      <c r="D774" s="119"/>
      <c r="E774" s="119"/>
      <c r="F774" s="50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</row>
    <row r="775">
      <c r="A775" s="11"/>
      <c r="B775" s="138"/>
      <c r="C775" s="119"/>
      <c r="D775" s="119"/>
      <c r="E775" s="119"/>
      <c r="F775" s="50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</row>
    <row r="776">
      <c r="A776" s="11"/>
      <c r="B776" s="138"/>
      <c r="C776" s="119"/>
      <c r="D776" s="119"/>
      <c r="E776" s="119"/>
      <c r="F776" s="50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</row>
    <row r="777">
      <c r="A777" s="11"/>
      <c r="B777" s="138"/>
      <c r="C777" s="119"/>
      <c r="D777" s="119"/>
      <c r="E777" s="119"/>
      <c r="F777" s="50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</row>
    <row r="778">
      <c r="A778" s="11"/>
      <c r="B778" s="138"/>
      <c r="C778" s="119"/>
      <c r="D778" s="119"/>
      <c r="E778" s="119"/>
      <c r="F778" s="50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</row>
    <row r="779">
      <c r="A779" s="11"/>
      <c r="B779" s="138"/>
      <c r="C779" s="119"/>
      <c r="D779" s="119"/>
      <c r="E779" s="119"/>
      <c r="F779" s="50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</row>
    <row r="780">
      <c r="A780" s="11"/>
      <c r="B780" s="138"/>
      <c r="C780" s="119"/>
      <c r="D780" s="119"/>
      <c r="E780" s="119"/>
      <c r="F780" s="50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</row>
    <row r="781">
      <c r="A781" s="11"/>
      <c r="B781" s="138"/>
      <c r="C781" s="119"/>
      <c r="D781" s="119"/>
      <c r="E781" s="119"/>
      <c r="F781" s="50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</row>
    <row r="782">
      <c r="A782" s="11"/>
      <c r="B782" s="138"/>
      <c r="C782" s="119"/>
      <c r="D782" s="119"/>
      <c r="E782" s="119"/>
      <c r="F782" s="50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</row>
    <row r="783">
      <c r="A783" s="11"/>
      <c r="B783" s="138"/>
      <c r="C783" s="119"/>
      <c r="D783" s="119"/>
      <c r="E783" s="119"/>
      <c r="F783" s="50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</row>
    <row r="784">
      <c r="A784" s="11"/>
      <c r="B784" s="138"/>
      <c r="C784" s="119"/>
      <c r="D784" s="119"/>
      <c r="E784" s="119"/>
      <c r="F784" s="50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</row>
    <row r="785">
      <c r="A785" s="11"/>
      <c r="B785" s="138"/>
      <c r="C785" s="119"/>
      <c r="D785" s="119"/>
      <c r="E785" s="119"/>
      <c r="F785" s="50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</row>
    <row r="786">
      <c r="A786" s="11"/>
      <c r="B786" s="138"/>
      <c r="C786" s="119"/>
      <c r="D786" s="119"/>
      <c r="E786" s="119"/>
      <c r="F786" s="50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</row>
    <row r="787">
      <c r="A787" s="11"/>
      <c r="B787" s="138"/>
      <c r="C787" s="119"/>
      <c r="D787" s="119"/>
      <c r="E787" s="119"/>
      <c r="F787" s="50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</row>
    <row r="788">
      <c r="A788" s="11"/>
      <c r="B788" s="138"/>
      <c r="C788" s="119"/>
      <c r="D788" s="119"/>
      <c r="E788" s="119"/>
      <c r="F788" s="50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</row>
    <row r="789">
      <c r="A789" s="11"/>
      <c r="B789" s="138"/>
      <c r="C789" s="119"/>
      <c r="D789" s="119"/>
      <c r="E789" s="119"/>
      <c r="F789" s="50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</row>
    <row r="790">
      <c r="A790" s="11"/>
      <c r="B790" s="138"/>
      <c r="C790" s="119"/>
      <c r="D790" s="119"/>
      <c r="E790" s="119"/>
      <c r="F790" s="50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</row>
    <row r="791">
      <c r="A791" s="11"/>
      <c r="B791" s="138"/>
      <c r="C791" s="119"/>
      <c r="D791" s="119"/>
      <c r="E791" s="119"/>
      <c r="F791" s="50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</row>
    <row r="792">
      <c r="A792" s="11"/>
      <c r="B792" s="138"/>
      <c r="C792" s="119"/>
      <c r="D792" s="119"/>
      <c r="E792" s="119"/>
      <c r="F792" s="50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</row>
    <row r="793">
      <c r="A793" s="11"/>
      <c r="B793" s="138"/>
      <c r="C793" s="119"/>
      <c r="D793" s="119"/>
      <c r="E793" s="119"/>
      <c r="F793" s="50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</row>
    <row r="794">
      <c r="A794" s="11"/>
      <c r="B794" s="138"/>
      <c r="C794" s="119"/>
      <c r="D794" s="119"/>
      <c r="E794" s="119"/>
      <c r="F794" s="50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</row>
    <row r="795">
      <c r="A795" s="11"/>
      <c r="B795" s="138"/>
      <c r="C795" s="119"/>
      <c r="D795" s="119"/>
      <c r="E795" s="119"/>
      <c r="F795" s="50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</row>
    <row r="796">
      <c r="A796" s="11"/>
      <c r="B796" s="138"/>
      <c r="C796" s="119"/>
      <c r="D796" s="119"/>
      <c r="E796" s="119"/>
      <c r="F796" s="50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</row>
    <row r="797">
      <c r="A797" s="11"/>
      <c r="B797" s="138"/>
      <c r="C797" s="119"/>
      <c r="D797" s="119"/>
      <c r="E797" s="119"/>
      <c r="F797" s="50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</row>
    <row r="798">
      <c r="A798" s="11"/>
      <c r="B798" s="138"/>
      <c r="C798" s="119"/>
      <c r="D798" s="119"/>
      <c r="E798" s="119"/>
      <c r="F798" s="50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</row>
    <row r="799">
      <c r="A799" s="11"/>
      <c r="B799" s="138"/>
      <c r="C799" s="119"/>
      <c r="D799" s="119"/>
      <c r="E799" s="119"/>
      <c r="F799" s="50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</row>
    <row r="800">
      <c r="A800" s="11"/>
      <c r="B800" s="138"/>
      <c r="C800" s="119"/>
      <c r="D800" s="119"/>
      <c r="E800" s="119"/>
      <c r="F800" s="50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</row>
    <row r="801">
      <c r="A801" s="11"/>
      <c r="B801" s="138"/>
      <c r="C801" s="119"/>
      <c r="D801" s="119"/>
      <c r="E801" s="119"/>
      <c r="F801" s="50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</row>
    <row r="802">
      <c r="A802" s="11"/>
      <c r="B802" s="138"/>
      <c r="C802" s="119"/>
      <c r="D802" s="119"/>
      <c r="E802" s="119"/>
      <c r="F802" s="50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</row>
    <row r="803">
      <c r="A803" s="11"/>
      <c r="B803" s="138"/>
      <c r="C803" s="119"/>
      <c r="D803" s="119"/>
      <c r="E803" s="119"/>
      <c r="F803" s="50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</row>
    <row r="804">
      <c r="A804" s="11"/>
      <c r="B804" s="138"/>
      <c r="C804" s="119"/>
      <c r="D804" s="119"/>
      <c r="E804" s="119"/>
      <c r="F804" s="50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</row>
    <row r="805">
      <c r="A805" s="11"/>
      <c r="B805" s="138"/>
      <c r="C805" s="119"/>
      <c r="D805" s="119"/>
      <c r="E805" s="119"/>
      <c r="F805" s="50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</row>
    <row r="806">
      <c r="A806" s="11"/>
      <c r="B806" s="138"/>
      <c r="C806" s="119"/>
      <c r="D806" s="119"/>
      <c r="E806" s="119"/>
      <c r="F806" s="50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</row>
    <row r="807">
      <c r="A807" s="11"/>
      <c r="B807" s="138"/>
      <c r="C807" s="119"/>
      <c r="D807" s="119"/>
      <c r="E807" s="119"/>
      <c r="F807" s="50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</row>
    <row r="808">
      <c r="A808" s="11"/>
      <c r="B808" s="138"/>
      <c r="C808" s="119"/>
      <c r="D808" s="119"/>
      <c r="E808" s="119"/>
      <c r="F808" s="50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</row>
    <row r="809">
      <c r="A809" s="11"/>
      <c r="B809" s="138"/>
      <c r="C809" s="119"/>
      <c r="D809" s="119"/>
      <c r="E809" s="119"/>
      <c r="F809" s="50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</row>
    <row r="810">
      <c r="A810" s="11"/>
      <c r="B810" s="138"/>
      <c r="C810" s="119"/>
      <c r="D810" s="119"/>
      <c r="E810" s="119"/>
      <c r="F810" s="50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</row>
    <row r="811">
      <c r="A811" s="11"/>
      <c r="B811" s="138"/>
      <c r="C811" s="119"/>
      <c r="D811" s="119"/>
      <c r="E811" s="119"/>
      <c r="F811" s="50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</row>
    <row r="812">
      <c r="A812" s="11"/>
      <c r="B812" s="138"/>
      <c r="C812" s="119"/>
      <c r="D812" s="119"/>
      <c r="E812" s="119"/>
      <c r="F812" s="50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</row>
    <row r="813">
      <c r="A813" s="11"/>
      <c r="B813" s="138"/>
      <c r="C813" s="119"/>
      <c r="D813" s="119"/>
      <c r="E813" s="119"/>
      <c r="F813" s="50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</row>
    <row r="814">
      <c r="A814" s="11"/>
      <c r="B814" s="138"/>
      <c r="C814" s="119"/>
      <c r="D814" s="119"/>
      <c r="E814" s="119"/>
      <c r="F814" s="50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</row>
    <row r="815">
      <c r="A815" s="11"/>
      <c r="B815" s="138"/>
      <c r="C815" s="119"/>
      <c r="D815" s="119"/>
      <c r="E815" s="119"/>
      <c r="F815" s="50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</row>
    <row r="816">
      <c r="A816" s="11"/>
      <c r="B816" s="138"/>
      <c r="C816" s="119"/>
      <c r="D816" s="119"/>
      <c r="E816" s="119"/>
      <c r="F816" s="50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</row>
    <row r="817">
      <c r="A817" s="11"/>
      <c r="B817" s="138"/>
      <c r="C817" s="119"/>
      <c r="D817" s="119"/>
      <c r="E817" s="119"/>
      <c r="F817" s="50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</row>
    <row r="818">
      <c r="A818" s="11"/>
      <c r="B818" s="138"/>
      <c r="C818" s="119"/>
      <c r="D818" s="119"/>
      <c r="E818" s="119"/>
      <c r="F818" s="50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</row>
    <row r="819">
      <c r="A819" s="11"/>
      <c r="B819" s="138"/>
      <c r="C819" s="119"/>
      <c r="D819" s="119"/>
      <c r="E819" s="119"/>
      <c r="F819" s="50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</row>
    <row r="820">
      <c r="A820" s="11"/>
      <c r="B820" s="138"/>
      <c r="C820" s="119"/>
      <c r="D820" s="119"/>
      <c r="E820" s="119"/>
      <c r="F820" s="50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</row>
    <row r="821">
      <c r="A821" s="11"/>
      <c r="B821" s="138"/>
      <c r="C821" s="119"/>
      <c r="D821" s="119"/>
      <c r="E821" s="119"/>
      <c r="F821" s="50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</row>
    <row r="822">
      <c r="A822" s="11"/>
      <c r="B822" s="138"/>
      <c r="C822" s="119"/>
      <c r="D822" s="119"/>
      <c r="E822" s="119"/>
      <c r="F822" s="50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</row>
    <row r="823">
      <c r="A823" s="11"/>
      <c r="B823" s="138"/>
      <c r="C823" s="119"/>
      <c r="D823" s="119"/>
      <c r="E823" s="119"/>
      <c r="F823" s="50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</row>
    <row r="824">
      <c r="A824" s="11"/>
      <c r="B824" s="138"/>
      <c r="C824" s="119"/>
      <c r="D824" s="119"/>
      <c r="E824" s="119"/>
      <c r="F824" s="50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</row>
    <row r="825">
      <c r="A825" s="11"/>
      <c r="B825" s="138"/>
      <c r="C825" s="119"/>
      <c r="D825" s="119"/>
      <c r="E825" s="119"/>
      <c r="F825" s="50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</row>
    <row r="826">
      <c r="A826" s="11"/>
      <c r="B826" s="138"/>
      <c r="C826" s="119"/>
      <c r="D826" s="119"/>
      <c r="E826" s="119"/>
      <c r="F826" s="50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</row>
    <row r="827">
      <c r="A827" s="11"/>
      <c r="B827" s="138"/>
      <c r="C827" s="119"/>
      <c r="D827" s="119"/>
      <c r="E827" s="119"/>
      <c r="F827" s="50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</row>
    <row r="828">
      <c r="A828" s="11"/>
      <c r="B828" s="138"/>
      <c r="C828" s="119"/>
      <c r="D828" s="119"/>
      <c r="E828" s="119"/>
      <c r="F828" s="50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</row>
    <row r="829">
      <c r="A829" s="11"/>
      <c r="B829" s="138"/>
      <c r="C829" s="119"/>
      <c r="D829" s="119"/>
      <c r="E829" s="119"/>
      <c r="F829" s="50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</row>
    <row r="830">
      <c r="A830" s="11"/>
      <c r="B830" s="138"/>
      <c r="C830" s="119"/>
      <c r="D830" s="119"/>
      <c r="E830" s="119"/>
      <c r="F830" s="50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</row>
    <row r="831">
      <c r="A831" s="11"/>
      <c r="B831" s="138"/>
      <c r="C831" s="119"/>
      <c r="D831" s="119"/>
      <c r="E831" s="119"/>
      <c r="F831" s="50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</row>
    <row r="832">
      <c r="A832" s="11"/>
      <c r="B832" s="138"/>
      <c r="C832" s="119"/>
      <c r="D832" s="119"/>
      <c r="E832" s="119"/>
      <c r="F832" s="50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</row>
    <row r="833">
      <c r="A833" s="11"/>
      <c r="B833" s="138"/>
      <c r="C833" s="119"/>
      <c r="D833" s="119"/>
      <c r="E833" s="119"/>
      <c r="F833" s="50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</row>
    <row r="834">
      <c r="A834" s="11"/>
      <c r="B834" s="138"/>
      <c r="C834" s="119"/>
      <c r="D834" s="119"/>
      <c r="E834" s="119"/>
      <c r="F834" s="50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</row>
    <row r="835">
      <c r="A835" s="11"/>
      <c r="B835" s="138"/>
      <c r="C835" s="119"/>
      <c r="D835" s="119"/>
      <c r="E835" s="119"/>
      <c r="F835" s="50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</row>
    <row r="836">
      <c r="A836" s="11"/>
      <c r="B836" s="138"/>
      <c r="C836" s="119"/>
      <c r="D836" s="119"/>
      <c r="E836" s="119"/>
      <c r="F836" s="50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</row>
    <row r="837">
      <c r="A837" s="11"/>
      <c r="B837" s="138"/>
      <c r="C837" s="119"/>
      <c r="D837" s="119"/>
      <c r="E837" s="119"/>
      <c r="F837" s="50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</row>
    <row r="838">
      <c r="A838" s="11"/>
      <c r="B838" s="138"/>
      <c r="C838" s="119"/>
      <c r="D838" s="119"/>
      <c r="E838" s="119"/>
      <c r="F838" s="50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</row>
    <row r="839">
      <c r="A839" s="11"/>
      <c r="B839" s="138"/>
      <c r="C839" s="119"/>
      <c r="D839" s="119"/>
      <c r="E839" s="119"/>
      <c r="F839" s="50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</row>
    <row r="840">
      <c r="A840" s="11"/>
      <c r="B840" s="138"/>
      <c r="C840" s="119"/>
      <c r="D840" s="119"/>
      <c r="E840" s="119"/>
      <c r="F840" s="50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</row>
    <row r="841">
      <c r="A841" s="11"/>
      <c r="B841" s="138"/>
      <c r="C841" s="119"/>
      <c r="D841" s="119"/>
      <c r="E841" s="119"/>
      <c r="F841" s="50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</row>
    <row r="842">
      <c r="A842" s="11"/>
      <c r="B842" s="138"/>
      <c r="C842" s="119"/>
      <c r="D842" s="119"/>
      <c r="E842" s="119"/>
      <c r="F842" s="50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</row>
    <row r="843">
      <c r="A843" s="11"/>
      <c r="B843" s="138"/>
      <c r="C843" s="119"/>
      <c r="D843" s="119"/>
      <c r="E843" s="119"/>
      <c r="F843" s="50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</row>
    <row r="844">
      <c r="A844" s="11"/>
      <c r="B844" s="138"/>
      <c r="C844" s="119"/>
      <c r="D844" s="119"/>
      <c r="E844" s="119"/>
      <c r="F844" s="50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</row>
    <row r="845">
      <c r="A845" s="11"/>
      <c r="B845" s="138"/>
      <c r="C845" s="119"/>
      <c r="D845" s="119"/>
      <c r="E845" s="119"/>
      <c r="F845" s="50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</row>
    <row r="846">
      <c r="A846" s="11"/>
      <c r="B846" s="138"/>
      <c r="C846" s="119"/>
      <c r="D846" s="119"/>
      <c r="E846" s="119"/>
      <c r="F846" s="50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</row>
    <row r="847">
      <c r="A847" s="11"/>
      <c r="B847" s="138"/>
      <c r="C847" s="119"/>
      <c r="D847" s="119"/>
      <c r="E847" s="119"/>
      <c r="F847" s="50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</row>
    <row r="848">
      <c r="A848" s="11"/>
      <c r="B848" s="138"/>
      <c r="C848" s="119"/>
      <c r="D848" s="119"/>
      <c r="E848" s="119"/>
      <c r="F848" s="50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</row>
    <row r="849">
      <c r="A849" s="11"/>
      <c r="B849" s="138"/>
      <c r="C849" s="119"/>
      <c r="D849" s="119"/>
      <c r="E849" s="119"/>
      <c r="F849" s="50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</row>
    <row r="850">
      <c r="A850" s="11"/>
      <c r="B850" s="138"/>
      <c r="C850" s="119"/>
      <c r="D850" s="119"/>
      <c r="E850" s="119"/>
      <c r="F850" s="50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</row>
    <row r="851">
      <c r="A851" s="11"/>
      <c r="B851" s="138"/>
      <c r="C851" s="119"/>
      <c r="D851" s="119"/>
      <c r="E851" s="119"/>
      <c r="F851" s="50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</row>
    <row r="852">
      <c r="A852" s="11"/>
      <c r="B852" s="138"/>
      <c r="C852" s="119"/>
      <c r="D852" s="119"/>
      <c r="E852" s="119"/>
      <c r="F852" s="50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</row>
    <row r="853">
      <c r="A853" s="11"/>
      <c r="B853" s="138"/>
      <c r="C853" s="119"/>
      <c r="D853" s="119"/>
      <c r="E853" s="119"/>
      <c r="F853" s="50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</row>
    <row r="854">
      <c r="A854" s="11"/>
      <c r="B854" s="138"/>
      <c r="C854" s="119"/>
      <c r="D854" s="119"/>
      <c r="E854" s="119"/>
      <c r="F854" s="50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</row>
    <row r="855">
      <c r="A855" s="11"/>
      <c r="B855" s="138"/>
      <c r="C855" s="119"/>
      <c r="D855" s="119"/>
      <c r="E855" s="119"/>
      <c r="F855" s="50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</row>
    <row r="856">
      <c r="A856" s="11"/>
      <c r="B856" s="138"/>
      <c r="C856" s="119"/>
      <c r="D856" s="119"/>
      <c r="E856" s="119"/>
      <c r="F856" s="50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</row>
    <row r="857">
      <c r="A857" s="11"/>
      <c r="B857" s="138"/>
      <c r="C857" s="119"/>
      <c r="D857" s="119"/>
      <c r="E857" s="119"/>
      <c r="F857" s="50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</row>
    <row r="858">
      <c r="A858" s="11"/>
      <c r="B858" s="138"/>
      <c r="C858" s="119"/>
      <c r="D858" s="119"/>
      <c r="E858" s="119"/>
      <c r="F858" s="50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</row>
    <row r="859">
      <c r="A859" s="11"/>
      <c r="B859" s="138"/>
      <c r="C859" s="119"/>
      <c r="D859" s="119"/>
      <c r="E859" s="119"/>
      <c r="F859" s="50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</row>
    <row r="860">
      <c r="A860" s="11"/>
      <c r="B860" s="138"/>
      <c r="C860" s="119"/>
      <c r="D860" s="119"/>
      <c r="E860" s="119"/>
      <c r="F860" s="50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</row>
    <row r="861">
      <c r="A861" s="11"/>
      <c r="B861" s="138"/>
      <c r="C861" s="119"/>
      <c r="D861" s="119"/>
      <c r="E861" s="119"/>
      <c r="F861" s="50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</row>
    <row r="862">
      <c r="A862" s="11"/>
      <c r="B862" s="138"/>
      <c r="C862" s="119"/>
      <c r="D862" s="119"/>
      <c r="E862" s="119"/>
      <c r="F862" s="50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</row>
    <row r="863">
      <c r="A863" s="11"/>
      <c r="B863" s="138"/>
      <c r="C863" s="119"/>
      <c r="D863" s="119"/>
      <c r="E863" s="119"/>
      <c r="F863" s="50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</row>
    <row r="864">
      <c r="A864" s="11"/>
      <c r="B864" s="138"/>
      <c r="C864" s="119"/>
      <c r="D864" s="119"/>
      <c r="E864" s="119"/>
      <c r="F864" s="50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</row>
    <row r="865">
      <c r="A865" s="11"/>
      <c r="B865" s="138"/>
      <c r="C865" s="119"/>
      <c r="D865" s="119"/>
      <c r="E865" s="119"/>
      <c r="F865" s="50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</row>
    <row r="866">
      <c r="A866" s="11"/>
      <c r="B866" s="138"/>
      <c r="C866" s="119"/>
      <c r="D866" s="119"/>
      <c r="E866" s="119"/>
      <c r="F866" s="50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</row>
    <row r="867">
      <c r="A867" s="11"/>
      <c r="B867" s="138"/>
      <c r="C867" s="119"/>
      <c r="D867" s="119"/>
      <c r="E867" s="119"/>
      <c r="F867" s="50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</row>
    <row r="868">
      <c r="A868" s="11"/>
      <c r="B868" s="138"/>
      <c r="C868" s="119"/>
      <c r="D868" s="119"/>
      <c r="E868" s="119"/>
      <c r="F868" s="50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</row>
    <row r="869">
      <c r="A869" s="11"/>
      <c r="B869" s="138"/>
      <c r="C869" s="119"/>
      <c r="D869" s="119"/>
      <c r="E869" s="119"/>
      <c r="F869" s="50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</row>
    <row r="870">
      <c r="A870" s="11"/>
      <c r="B870" s="138"/>
      <c r="C870" s="119"/>
      <c r="D870" s="119"/>
      <c r="E870" s="119"/>
      <c r="F870" s="50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</row>
    <row r="871">
      <c r="A871" s="11"/>
      <c r="B871" s="138"/>
      <c r="C871" s="119"/>
      <c r="D871" s="119"/>
      <c r="E871" s="119"/>
      <c r="F871" s="50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</row>
    <row r="872">
      <c r="A872" s="11"/>
      <c r="B872" s="138"/>
      <c r="C872" s="119"/>
      <c r="D872" s="119"/>
      <c r="E872" s="119"/>
      <c r="F872" s="50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</row>
    <row r="873">
      <c r="A873" s="11"/>
      <c r="B873" s="138"/>
      <c r="C873" s="119"/>
      <c r="D873" s="119"/>
      <c r="E873" s="119"/>
      <c r="F873" s="50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</row>
    <row r="874">
      <c r="A874" s="11"/>
      <c r="B874" s="138"/>
      <c r="C874" s="119"/>
      <c r="D874" s="119"/>
      <c r="E874" s="119"/>
      <c r="F874" s="50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</row>
    <row r="875">
      <c r="A875" s="11"/>
      <c r="B875" s="138"/>
      <c r="C875" s="119"/>
      <c r="D875" s="119"/>
      <c r="E875" s="119"/>
      <c r="F875" s="50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</row>
    <row r="876">
      <c r="A876" s="11"/>
      <c r="B876" s="138"/>
      <c r="C876" s="119"/>
      <c r="D876" s="119"/>
      <c r="E876" s="119"/>
      <c r="F876" s="50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</row>
    <row r="877">
      <c r="A877" s="11"/>
      <c r="B877" s="138"/>
      <c r="C877" s="119"/>
      <c r="D877" s="119"/>
      <c r="E877" s="119"/>
      <c r="F877" s="50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</row>
    <row r="878">
      <c r="A878" s="11"/>
      <c r="B878" s="138"/>
      <c r="C878" s="119"/>
      <c r="D878" s="119"/>
      <c r="E878" s="119"/>
      <c r="F878" s="50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</row>
    <row r="879">
      <c r="A879" s="11"/>
      <c r="B879" s="138"/>
      <c r="C879" s="119"/>
      <c r="D879" s="119"/>
      <c r="E879" s="119"/>
      <c r="F879" s="50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</row>
    <row r="880">
      <c r="A880" s="11"/>
      <c r="B880" s="138"/>
      <c r="C880" s="119"/>
      <c r="D880" s="119"/>
      <c r="E880" s="119"/>
      <c r="F880" s="50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</row>
    <row r="881">
      <c r="A881" s="11"/>
      <c r="B881" s="138"/>
      <c r="C881" s="119"/>
      <c r="D881" s="119"/>
      <c r="E881" s="119"/>
      <c r="F881" s="50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</row>
    <row r="882">
      <c r="A882" s="11"/>
      <c r="B882" s="138"/>
      <c r="C882" s="119"/>
      <c r="D882" s="119"/>
      <c r="E882" s="119"/>
      <c r="F882" s="50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</row>
    <row r="883">
      <c r="A883" s="11"/>
      <c r="B883" s="138"/>
      <c r="C883" s="119"/>
      <c r="D883" s="119"/>
      <c r="E883" s="119"/>
      <c r="F883" s="50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</row>
    <row r="884">
      <c r="A884" s="11"/>
      <c r="B884" s="138"/>
      <c r="C884" s="119"/>
      <c r="D884" s="119"/>
      <c r="E884" s="119"/>
      <c r="F884" s="50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</row>
    <row r="885">
      <c r="A885" s="11"/>
      <c r="B885" s="138"/>
      <c r="C885" s="119"/>
      <c r="D885" s="119"/>
      <c r="E885" s="119"/>
      <c r="F885" s="50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</row>
    <row r="886">
      <c r="A886" s="11"/>
      <c r="B886" s="138"/>
      <c r="C886" s="119"/>
      <c r="D886" s="119"/>
      <c r="E886" s="119"/>
      <c r="F886" s="50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</row>
    <row r="887">
      <c r="A887" s="11"/>
      <c r="B887" s="138"/>
      <c r="C887" s="119"/>
      <c r="D887" s="119"/>
      <c r="E887" s="119"/>
      <c r="F887" s="50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</row>
    <row r="888">
      <c r="A888" s="11"/>
      <c r="B888" s="138"/>
      <c r="C888" s="119"/>
      <c r="D888" s="119"/>
      <c r="E888" s="119"/>
      <c r="F888" s="50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</row>
    <row r="889">
      <c r="A889" s="11"/>
      <c r="B889" s="138"/>
      <c r="C889" s="119"/>
      <c r="D889" s="119"/>
      <c r="E889" s="119"/>
      <c r="F889" s="50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</row>
    <row r="890">
      <c r="A890" s="11"/>
      <c r="B890" s="138"/>
      <c r="C890" s="119"/>
      <c r="D890" s="119"/>
      <c r="E890" s="119"/>
      <c r="F890" s="50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</row>
    <row r="891">
      <c r="A891" s="11"/>
      <c r="B891" s="138"/>
      <c r="C891" s="119"/>
      <c r="D891" s="119"/>
      <c r="E891" s="119"/>
      <c r="F891" s="50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</row>
    <row r="892">
      <c r="A892" s="11"/>
      <c r="B892" s="138"/>
      <c r="C892" s="119"/>
      <c r="D892" s="119"/>
      <c r="E892" s="119"/>
      <c r="F892" s="50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</row>
    <row r="893">
      <c r="A893" s="11"/>
      <c r="B893" s="138"/>
      <c r="C893" s="119"/>
      <c r="D893" s="119"/>
      <c r="E893" s="119"/>
      <c r="F893" s="50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</row>
    <row r="894">
      <c r="A894" s="11"/>
      <c r="B894" s="138"/>
      <c r="C894" s="119"/>
      <c r="D894" s="119"/>
      <c r="E894" s="119"/>
      <c r="F894" s="50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</row>
    <row r="895">
      <c r="A895" s="11"/>
      <c r="B895" s="138"/>
      <c r="C895" s="119"/>
      <c r="D895" s="119"/>
      <c r="E895" s="119"/>
      <c r="F895" s="50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</row>
    <row r="896">
      <c r="A896" s="11"/>
      <c r="B896" s="138"/>
      <c r="C896" s="119"/>
      <c r="D896" s="119"/>
      <c r="E896" s="119"/>
      <c r="F896" s="50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</row>
    <row r="897">
      <c r="A897" s="11"/>
      <c r="B897" s="138"/>
      <c r="C897" s="119"/>
      <c r="D897" s="119"/>
      <c r="E897" s="119"/>
      <c r="F897" s="50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</row>
    <row r="898">
      <c r="A898" s="11"/>
      <c r="B898" s="138"/>
      <c r="C898" s="119"/>
      <c r="D898" s="119"/>
      <c r="E898" s="119"/>
      <c r="F898" s="50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</row>
    <row r="899">
      <c r="A899" s="11"/>
      <c r="B899" s="138"/>
      <c r="C899" s="119"/>
      <c r="D899" s="119"/>
      <c r="E899" s="119"/>
      <c r="F899" s="50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</row>
    <row r="900">
      <c r="A900" s="11"/>
      <c r="B900" s="138"/>
      <c r="C900" s="119"/>
      <c r="D900" s="119"/>
      <c r="E900" s="119"/>
      <c r="F900" s="50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</row>
    <row r="901">
      <c r="A901" s="11"/>
      <c r="B901" s="138"/>
      <c r="C901" s="119"/>
      <c r="D901" s="119"/>
      <c r="E901" s="119"/>
      <c r="F901" s="50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</row>
    <row r="902">
      <c r="A902" s="11"/>
      <c r="B902" s="138"/>
      <c r="C902" s="119"/>
      <c r="D902" s="119"/>
      <c r="E902" s="119"/>
      <c r="F902" s="50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</row>
    <row r="903">
      <c r="A903" s="11"/>
      <c r="B903" s="138"/>
      <c r="C903" s="119"/>
      <c r="D903" s="119"/>
      <c r="E903" s="119"/>
      <c r="F903" s="50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</row>
    <row r="904">
      <c r="A904" s="11"/>
      <c r="B904" s="138"/>
      <c r="C904" s="119"/>
      <c r="D904" s="119"/>
      <c r="E904" s="119"/>
      <c r="F904" s="50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</row>
    <row r="905">
      <c r="A905" s="11"/>
      <c r="B905" s="138"/>
      <c r="C905" s="119"/>
      <c r="D905" s="119"/>
      <c r="E905" s="119"/>
      <c r="F905" s="50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</row>
    <row r="906">
      <c r="A906" s="11"/>
      <c r="B906" s="138"/>
      <c r="C906" s="119"/>
      <c r="D906" s="119"/>
      <c r="E906" s="119"/>
      <c r="F906" s="50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</row>
    <row r="907">
      <c r="A907" s="11"/>
      <c r="B907" s="138"/>
      <c r="C907" s="119"/>
      <c r="D907" s="119"/>
      <c r="E907" s="119"/>
      <c r="F907" s="50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</row>
    <row r="908">
      <c r="A908" s="11"/>
      <c r="B908" s="138"/>
      <c r="C908" s="119"/>
      <c r="D908" s="119"/>
      <c r="E908" s="119"/>
      <c r="F908" s="50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</row>
    <row r="909">
      <c r="A909" s="11"/>
      <c r="B909" s="138"/>
      <c r="C909" s="119"/>
      <c r="D909" s="119"/>
      <c r="E909" s="119"/>
      <c r="F909" s="50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</row>
    <row r="910">
      <c r="A910" s="11"/>
      <c r="B910" s="138"/>
      <c r="C910" s="119"/>
      <c r="D910" s="119"/>
      <c r="E910" s="119"/>
      <c r="F910" s="50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</row>
    <row r="911">
      <c r="A911" s="11"/>
      <c r="B911" s="138"/>
      <c r="C911" s="119"/>
      <c r="D911" s="119"/>
      <c r="E911" s="119"/>
      <c r="F911" s="50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</row>
    <row r="912">
      <c r="A912" s="11"/>
      <c r="B912" s="138"/>
      <c r="C912" s="119"/>
      <c r="D912" s="119"/>
      <c r="E912" s="119"/>
      <c r="F912" s="50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</row>
    <row r="913">
      <c r="A913" s="11"/>
      <c r="B913" s="138"/>
      <c r="C913" s="119"/>
      <c r="D913" s="119"/>
      <c r="E913" s="119"/>
      <c r="F913" s="50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</row>
    <row r="914">
      <c r="A914" s="11"/>
      <c r="B914" s="138"/>
      <c r="C914" s="119"/>
      <c r="D914" s="119"/>
      <c r="E914" s="119"/>
      <c r="F914" s="50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</row>
    <row r="915">
      <c r="A915" s="11"/>
      <c r="B915" s="138"/>
      <c r="C915" s="119"/>
      <c r="D915" s="119"/>
      <c r="E915" s="119"/>
      <c r="F915" s="50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</row>
    <row r="916">
      <c r="A916" s="11"/>
      <c r="B916" s="138"/>
      <c r="C916" s="119"/>
      <c r="D916" s="119"/>
      <c r="E916" s="119"/>
      <c r="F916" s="50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</row>
    <row r="917">
      <c r="A917" s="11"/>
      <c r="B917" s="138"/>
      <c r="C917" s="119"/>
      <c r="D917" s="119"/>
      <c r="E917" s="119"/>
      <c r="F917" s="50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</row>
    <row r="918">
      <c r="A918" s="11"/>
      <c r="B918" s="138"/>
      <c r="C918" s="119"/>
      <c r="D918" s="119"/>
      <c r="E918" s="119"/>
      <c r="F918" s="50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</row>
    <row r="919">
      <c r="A919" s="11"/>
      <c r="B919" s="138"/>
      <c r="C919" s="119"/>
      <c r="D919" s="119"/>
      <c r="E919" s="119"/>
      <c r="F919" s="50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</row>
    <row r="920">
      <c r="A920" s="11"/>
      <c r="B920" s="138"/>
      <c r="C920" s="119"/>
      <c r="D920" s="119"/>
      <c r="E920" s="119"/>
      <c r="F920" s="50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</row>
    <row r="921">
      <c r="A921" s="11"/>
      <c r="B921" s="138"/>
      <c r="C921" s="119"/>
      <c r="D921" s="119"/>
      <c r="E921" s="119"/>
      <c r="F921" s="50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</row>
    <row r="922">
      <c r="A922" s="11"/>
      <c r="B922" s="138"/>
      <c r="C922" s="119"/>
      <c r="D922" s="119"/>
      <c r="E922" s="119"/>
      <c r="F922" s="50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</row>
    <row r="923">
      <c r="A923" s="11"/>
      <c r="B923" s="138"/>
      <c r="C923" s="119"/>
      <c r="D923" s="119"/>
      <c r="E923" s="119"/>
      <c r="F923" s="50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</row>
    <row r="924">
      <c r="A924" s="11"/>
      <c r="B924" s="138"/>
      <c r="C924" s="119"/>
      <c r="D924" s="119"/>
      <c r="E924" s="119"/>
      <c r="F924" s="50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</row>
    <row r="925">
      <c r="A925" s="11"/>
      <c r="B925" s="138"/>
      <c r="C925" s="119"/>
      <c r="D925" s="119"/>
      <c r="E925" s="119"/>
      <c r="F925" s="50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</row>
    <row r="926">
      <c r="A926" s="11"/>
      <c r="B926" s="138"/>
      <c r="C926" s="119"/>
      <c r="D926" s="119"/>
      <c r="E926" s="119"/>
      <c r="F926" s="50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</row>
    <row r="927">
      <c r="A927" s="11"/>
      <c r="B927" s="138"/>
      <c r="C927" s="119"/>
      <c r="D927" s="119"/>
      <c r="E927" s="119"/>
      <c r="F927" s="50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</row>
    <row r="928">
      <c r="A928" s="11"/>
      <c r="B928" s="138"/>
      <c r="C928" s="119"/>
      <c r="D928" s="119"/>
      <c r="E928" s="119"/>
      <c r="F928" s="50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</row>
    <row r="929">
      <c r="A929" s="11"/>
      <c r="B929" s="138"/>
      <c r="C929" s="119"/>
      <c r="D929" s="119"/>
      <c r="E929" s="119"/>
      <c r="F929" s="50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</row>
    <row r="930">
      <c r="A930" s="11"/>
      <c r="B930" s="138"/>
      <c r="C930" s="119"/>
      <c r="D930" s="119"/>
      <c r="E930" s="119"/>
      <c r="F930" s="50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</row>
    <row r="931">
      <c r="A931" s="11"/>
      <c r="B931" s="138"/>
      <c r="C931" s="119"/>
      <c r="D931" s="119"/>
      <c r="E931" s="119"/>
      <c r="F931" s="50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</row>
    <row r="932">
      <c r="A932" s="11"/>
      <c r="B932" s="138"/>
      <c r="C932" s="119"/>
      <c r="D932" s="119"/>
      <c r="E932" s="119"/>
      <c r="F932" s="50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</row>
    <row r="933">
      <c r="A933" s="11"/>
      <c r="B933" s="138"/>
      <c r="C933" s="119"/>
      <c r="D933" s="119"/>
      <c r="E933" s="119"/>
      <c r="F933" s="50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</row>
    <row r="934">
      <c r="A934" s="11"/>
      <c r="B934" s="138"/>
      <c r="C934" s="119"/>
      <c r="D934" s="119"/>
      <c r="E934" s="119"/>
      <c r="F934" s="50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</row>
    <row r="935">
      <c r="A935" s="11"/>
      <c r="B935" s="138"/>
      <c r="C935" s="119"/>
      <c r="D935" s="119"/>
      <c r="E935" s="119"/>
      <c r="F935" s="50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</row>
    <row r="936">
      <c r="A936" s="11"/>
      <c r="B936" s="138"/>
      <c r="C936" s="119"/>
      <c r="D936" s="119"/>
      <c r="E936" s="119"/>
      <c r="F936" s="50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</row>
    <row r="937">
      <c r="A937" s="11"/>
      <c r="B937" s="138"/>
      <c r="C937" s="119"/>
      <c r="D937" s="119"/>
      <c r="E937" s="119"/>
      <c r="F937" s="50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</row>
    <row r="938">
      <c r="A938" s="11"/>
      <c r="B938" s="138"/>
      <c r="C938" s="119"/>
      <c r="D938" s="119"/>
      <c r="E938" s="119"/>
      <c r="F938" s="50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</row>
    <row r="939">
      <c r="A939" s="11"/>
      <c r="B939" s="138"/>
      <c r="C939" s="119"/>
      <c r="D939" s="119"/>
      <c r="E939" s="119"/>
      <c r="F939" s="50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</row>
    <row r="940">
      <c r="A940" s="11"/>
      <c r="B940" s="138"/>
      <c r="C940" s="119"/>
      <c r="D940" s="119"/>
      <c r="E940" s="119"/>
      <c r="F940" s="50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</row>
    <row r="941">
      <c r="A941" s="11"/>
      <c r="B941" s="138"/>
      <c r="C941" s="119"/>
      <c r="D941" s="119"/>
      <c r="E941" s="119"/>
      <c r="F941" s="50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</row>
    <row r="942">
      <c r="A942" s="11"/>
      <c r="B942" s="138"/>
      <c r="C942" s="119"/>
      <c r="D942" s="119"/>
      <c r="E942" s="119"/>
      <c r="F942" s="50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</row>
    <row r="943">
      <c r="A943" s="11"/>
      <c r="B943" s="138"/>
      <c r="C943" s="119"/>
      <c r="D943" s="119"/>
      <c r="E943" s="119"/>
      <c r="F943" s="50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</row>
    <row r="944">
      <c r="A944" s="11"/>
      <c r="B944" s="138"/>
      <c r="C944" s="119"/>
      <c r="D944" s="119"/>
      <c r="E944" s="119"/>
      <c r="F944" s="50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</row>
    <row r="945">
      <c r="A945" s="11"/>
      <c r="B945" s="138"/>
      <c r="C945" s="119"/>
      <c r="D945" s="119"/>
      <c r="E945" s="119"/>
      <c r="F945" s="50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</row>
    <row r="946">
      <c r="A946" s="11"/>
      <c r="B946" s="138"/>
      <c r="C946" s="119"/>
      <c r="D946" s="119"/>
      <c r="E946" s="119"/>
      <c r="F946" s="50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</row>
    <row r="947">
      <c r="A947" s="11"/>
      <c r="B947" s="138"/>
      <c r="C947" s="119"/>
      <c r="D947" s="119"/>
      <c r="E947" s="119"/>
      <c r="F947" s="50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</row>
    <row r="948">
      <c r="A948" s="11"/>
      <c r="B948" s="138"/>
      <c r="C948" s="119"/>
      <c r="D948" s="119"/>
      <c r="E948" s="119"/>
      <c r="F948" s="50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</row>
    <row r="949">
      <c r="A949" s="11"/>
      <c r="B949" s="138"/>
      <c r="C949" s="119"/>
      <c r="D949" s="119"/>
      <c r="E949" s="119"/>
      <c r="F949" s="50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</row>
    <row r="950">
      <c r="A950" s="11"/>
      <c r="B950" s="138"/>
      <c r="C950" s="119"/>
      <c r="D950" s="119"/>
      <c r="E950" s="119"/>
      <c r="F950" s="50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</row>
    <row r="951">
      <c r="A951" s="11"/>
      <c r="B951" s="138"/>
      <c r="C951" s="119"/>
      <c r="D951" s="119"/>
      <c r="E951" s="119"/>
      <c r="F951" s="50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</row>
    <row r="952">
      <c r="A952" s="11"/>
      <c r="B952" s="138"/>
      <c r="C952" s="119"/>
      <c r="D952" s="119"/>
      <c r="E952" s="119"/>
      <c r="F952" s="50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</row>
    <row r="953">
      <c r="A953" s="11"/>
      <c r="B953" s="138"/>
      <c r="C953" s="119"/>
      <c r="D953" s="119"/>
      <c r="E953" s="119"/>
      <c r="F953" s="50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</row>
    <row r="954">
      <c r="A954" s="11"/>
      <c r="B954" s="138"/>
      <c r="C954" s="119"/>
      <c r="D954" s="119"/>
      <c r="E954" s="119"/>
      <c r="F954" s="50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</row>
    <row r="955">
      <c r="A955" s="11"/>
      <c r="B955" s="138"/>
      <c r="C955" s="119"/>
      <c r="D955" s="119"/>
      <c r="E955" s="119"/>
      <c r="F955" s="50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</row>
    <row r="956">
      <c r="A956" s="11"/>
      <c r="B956" s="138"/>
      <c r="C956" s="119"/>
      <c r="D956" s="119"/>
      <c r="E956" s="119"/>
      <c r="F956" s="50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</row>
    <row r="957">
      <c r="A957" s="11"/>
      <c r="B957" s="138"/>
      <c r="C957" s="119"/>
      <c r="D957" s="119"/>
      <c r="E957" s="119"/>
      <c r="F957" s="50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</row>
    <row r="958">
      <c r="A958" s="11"/>
      <c r="B958" s="138"/>
      <c r="C958" s="119"/>
      <c r="D958" s="119"/>
      <c r="E958" s="119"/>
      <c r="F958" s="50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</row>
    <row r="959">
      <c r="A959" s="11"/>
      <c r="B959" s="138"/>
      <c r="C959" s="119"/>
      <c r="D959" s="119"/>
      <c r="E959" s="119"/>
      <c r="F959" s="50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</row>
    <row r="960">
      <c r="A960" s="11"/>
      <c r="B960" s="138"/>
      <c r="C960" s="119"/>
      <c r="D960" s="119"/>
      <c r="E960" s="119"/>
      <c r="F960" s="50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</row>
    <row r="961">
      <c r="A961" s="11"/>
      <c r="B961" s="138"/>
      <c r="C961" s="119"/>
      <c r="D961" s="119"/>
      <c r="E961" s="119"/>
      <c r="F961" s="50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</row>
    <row r="962">
      <c r="A962" s="11"/>
      <c r="B962" s="138"/>
      <c r="C962" s="119"/>
      <c r="D962" s="119"/>
      <c r="E962" s="119"/>
      <c r="F962" s="50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</row>
    <row r="963">
      <c r="A963" s="11"/>
      <c r="B963" s="138"/>
      <c r="C963" s="119"/>
      <c r="D963" s="119"/>
      <c r="E963" s="119"/>
      <c r="F963" s="50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</row>
    <row r="964">
      <c r="A964" s="11"/>
      <c r="B964" s="138"/>
      <c r="C964" s="119"/>
      <c r="D964" s="119"/>
      <c r="E964" s="119"/>
      <c r="F964" s="50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</row>
    <row r="965">
      <c r="A965" s="11"/>
      <c r="B965" s="138"/>
      <c r="C965" s="119"/>
      <c r="D965" s="119"/>
      <c r="E965" s="119"/>
      <c r="F965" s="50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</row>
    <row r="966">
      <c r="A966" s="11"/>
      <c r="B966" s="138"/>
      <c r="C966" s="119"/>
      <c r="D966" s="119"/>
      <c r="E966" s="119"/>
      <c r="F966" s="50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</row>
    <row r="967">
      <c r="A967" s="11"/>
      <c r="B967" s="138"/>
      <c r="C967" s="119"/>
      <c r="D967" s="119"/>
      <c r="E967" s="119"/>
      <c r="F967" s="50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</row>
    <row r="968">
      <c r="A968" s="11"/>
      <c r="B968" s="138"/>
      <c r="C968" s="119"/>
      <c r="D968" s="119"/>
      <c r="E968" s="119"/>
      <c r="F968" s="50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</row>
    <row r="969">
      <c r="A969" s="11"/>
      <c r="B969" s="138"/>
      <c r="C969" s="119"/>
      <c r="D969" s="119"/>
      <c r="E969" s="119"/>
      <c r="F969" s="50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</row>
    <row r="970">
      <c r="A970" s="11"/>
      <c r="B970" s="138"/>
      <c r="C970" s="119"/>
      <c r="D970" s="119"/>
      <c r="E970" s="119"/>
      <c r="F970" s="50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</row>
    <row r="971">
      <c r="A971" s="11"/>
      <c r="B971" s="138"/>
      <c r="C971" s="119"/>
      <c r="D971" s="119"/>
      <c r="E971" s="119"/>
      <c r="F971" s="50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</row>
    <row r="972">
      <c r="A972" s="11"/>
      <c r="B972" s="138"/>
      <c r="C972" s="119"/>
      <c r="D972" s="119"/>
      <c r="E972" s="119"/>
      <c r="F972" s="50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</row>
    <row r="973">
      <c r="A973" s="11"/>
      <c r="B973" s="138"/>
      <c r="C973" s="119"/>
      <c r="D973" s="119"/>
      <c r="E973" s="119"/>
      <c r="F973" s="50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</row>
    <row r="974">
      <c r="A974" s="11"/>
      <c r="B974" s="138"/>
      <c r="C974" s="119"/>
      <c r="D974" s="119"/>
      <c r="E974" s="119"/>
      <c r="F974" s="50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</row>
    <row r="975">
      <c r="A975" s="11"/>
      <c r="B975" s="138"/>
      <c r="C975" s="119"/>
      <c r="D975" s="119"/>
      <c r="E975" s="119"/>
      <c r="F975" s="50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</row>
    <row r="976">
      <c r="A976" s="11"/>
      <c r="B976" s="138"/>
      <c r="C976" s="119"/>
      <c r="D976" s="119"/>
      <c r="E976" s="119"/>
      <c r="F976" s="50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</row>
    <row r="977">
      <c r="A977" s="11"/>
      <c r="B977" s="138"/>
      <c r="C977" s="119"/>
      <c r="D977" s="119"/>
      <c r="E977" s="119"/>
      <c r="F977" s="50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</row>
    <row r="978">
      <c r="A978" s="11"/>
      <c r="B978" s="138"/>
      <c r="C978" s="119"/>
      <c r="D978" s="119"/>
      <c r="E978" s="119"/>
      <c r="F978" s="50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</row>
    <row r="979">
      <c r="A979" s="11"/>
      <c r="B979" s="138"/>
      <c r="C979" s="119"/>
      <c r="D979" s="119"/>
      <c r="E979" s="119"/>
      <c r="F979" s="50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</row>
    <row r="980">
      <c r="A980" s="11"/>
      <c r="B980" s="138"/>
      <c r="C980" s="119"/>
      <c r="D980" s="119"/>
      <c r="E980" s="119"/>
      <c r="F980" s="50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</row>
    <row r="981">
      <c r="A981" s="11"/>
      <c r="B981" s="138"/>
      <c r="C981" s="119"/>
      <c r="D981" s="119"/>
      <c r="E981" s="119"/>
      <c r="F981" s="50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</row>
    <row r="982">
      <c r="A982" s="11"/>
      <c r="B982" s="138"/>
      <c r="C982" s="119"/>
      <c r="D982" s="119"/>
      <c r="E982" s="119"/>
      <c r="F982" s="50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</row>
    <row r="983">
      <c r="A983" s="11"/>
      <c r="B983" s="138"/>
      <c r="C983" s="119"/>
      <c r="D983" s="119"/>
      <c r="E983" s="119"/>
      <c r="F983" s="50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</row>
    <row r="984">
      <c r="A984" s="11"/>
      <c r="B984" s="138"/>
      <c r="C984" s="119"/>
      <c r="D984" s="119"/>
      <c r="E984" s="119"/>
      <c r="F984" s="50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</row>
    <row r="985">
      <c r="A985" s="11"/>
      <c r="B985" s="138"/>
      <c r="C985" s="119"/>
      <c r="D985" s="119"/>
      <c r="E985" s="119"/>
      <c r="F985" s="50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</row>
    <row r="986">
      <c r="A986" s="11"/>
      <c r="B986" s="138"/>
      <c r="C986" s="119"/>
      <c r="D986" s="119"/>
      <c r="E986" s="119"/>
      <c r="F986" s="50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</row>
    <row r="987">
      <c r="A987" s="11"/>
      <c r="B987" s="138"/>
      <c r="C987" s="119"/>
      <c r="D987" s="119"/>
      <c r="E987" s="119"/>
      <c r="F987" s="50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</row>
    <row r="988">
      <c r="A988" s="11"/>
      <c r="B988" s="138"/>
      <c r="C988" s="119"/>
      <c r="D988" s="119"/>
      <c r="E988" s="119"/>
      <c r="F988" s="50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</row>
    <row r="989">
      <c r="A989" s="11"/>
      <c r="B989" s="138"/>
      <c r="C989" s="119"/>
      <c r="D989" s="119"/>
      <c r="E989" s="119"/>
      <c r="F989" s="50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</row>
    <row r="990">
      <c r="A990" s="11"/>
      <c r="B990" s="138"/>
      <c r="C990" s="119"/>
      <c r="D990" s="119"/>
      <c r="E990" s="119"/>
      <c r="F990" s="50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</row>
    <row r="991">
      <c r="A991" s="11"/>
      <c r="B991" s="138"/>
      <c r="C991" s="119"/>
      <c r="D991" s="119"/>
      <c r="E991" s="119"/>
      <c r="F991" s="50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</row>
    <row r="992">
      <c r="A992" s="11"/>
      <c r="B992" s="138"/>
      <c r="C992" s="119"/>
      <c r="D992" s="119"/>
      <c r="E992" s="119"/>
      <c r="F992" s="50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</row>
    <row r="993">
      <c r="A993" s="11"/>
      <c r="B993" s="138"/>
      <c r="C993" s="119"/>
      <c r="D993" s="119"/>
      <c r="E993" s="119"/>
      <c r="F993" s="50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</row>
    <row r="994">
      <c r="A994" s="11"/>
      <c r="B994" s="138"/>
      <c r="C994" s="119"/>
      <c r="D994" s="119"/>
      <c r="E994" s="119"/>
      <c r="F994" s="50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</row>
    <row r="995">
      <c r="A995" s="11"/>
      <c r="B995" s="138"/>
      <c r="C995" s="119"/>
      <c r="D995" s="119"/>
      <c r="E995" s="119"/>
      <c r="F995" s="50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</row>
    <row r="996">
      <c r="A996" s="11"/>
      <c r="B996" s="138"/>
      <c r="C996" s="119"/>
      <c r="D996" s="119"/>
      <c r="E996" s="119"/>
      <c r="F996" s="50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</row>
    <row r="997">
      <c r="A997" s="11"/>
      <c r="B997" s="138"/>
      <c r="C997" s="119"/>
      <c r="D997" s="119"/>
      <c r="E997" s="119"/>
      <c r="F997" s="50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</row>
    <row r="998">
      <c r="A998" s="11"/>
      <c r="B998" s="138"/>
      <c r="C998" s="119"/>
      <c r="D998" s="119"/>
      <c r="E998" s="119"/>
      <c r="F998" s="50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</row>
    <row r="999">
      <c r="A999" s="11"/>
      <c r="B999" s="138"/>
      <c r="C999" s="119"/>
      <c r="D999" s="119"/>
      <c r="E999" s="119"/>
      <c r="F999" s="50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</row>
    <row r="1000">
      <c r="A1000" s="11"/>
      <c r="B1000" s="138"/>
      <c r="C1000" s="119"/>
      <c r="D1000" s="119"/>
      <c r="E1000" s="119"/>
      <c r="F1000" s="50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</row>
    <row r="1001">
      <c r="A1001" s="11"/>
      <c r="B1001" s="138"/>
      <c r="C1001" s="119"/>
      <c r="D1001" s="119"/>
      <c r="E1001" s="119"/>
      <c r="F1001" s="50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</row>
    <row r="1002">
      <c r="A1002" s="11"/>
      <c r="B1002" s="138"/>
      <c r="C1002" s="119"/>
      <c r="D1002" s="119"/>
      <c r="E1002" s="119"/>
      <c r="F1002" s="50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</row>
    <row r="1003">
      <c r="A1003" s="11"/>
      <c r="B1003" s="138"/>
      <c r="C1003" s="119"/>
      <c r="D1003" s="119"/>
      <c r="E1003" s="119"/>
      <c r="F1003" s="50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</row>
    <row r="1004">
      <c r="A1004" s="11"/>
      <c r="B1004" s="138"/>
      <c r="C1004" s="119"/>
      <c r="D1004" s="119"/>
      <c r="E1004" s="119"/>
      <c r="F1004" s="50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</row>
    <row r="1005">
      <c r="A1005" s="11"/>
      <c r="B1005" s="138"/>
      <c r="C1005" s="119"/>
      <c r="D1005" s="119"/>
      <c r="E1005" s="119"/>
      <c r="F1005" s="50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</row>
    <row r="1006">
      <c r="A1006" s="11"/>
      <c r="B1006" s="138"/>
      <c r="C1006" s="119"/>
      <c r="D1006" s="119"/>
      <c r="E1006" s="119"/>
      <c r="F1006" s="50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</row>
    <row r="1007">
      <c r="A1007" s="11"/>
      <c r="B1007" s="138"/>
      <c r="C1007" s="119"/>
      <c r="D1007" s="119"/>
      <c r="E1007" s="119"/>
      <c r="F1007" s="50"/>
      <c r="G1007" s="119"/>
      <c r="H1007" s="119"/>
      <c r="I1007" s="119"/>
      <c r="J1007" s="119"/>
      <c r="K1007" s="119"/>
      <c r="L1007" s="119"/>
      <c r="M1007" s="119"/>
      <c r="N1007" s="119"/>
      <c r="O1007" s="119"/>
      <c r="P1007" s="119"/>
      <c r="Q1007" s="119"/>
    </row>
    <row r="1008">
      <c r="A1008" s="11"/>
      <c r="B1008" s="138"/>
      <c r="C1008" s="119"/>
      <c r="D1008" s="119"/>
      <c r="E1008" s="119"/>
      <c r="F1008" s="50"/>
      <c r="G1008" s="119"/>
      <c r="H1008" s="119"/>
      <c r="I1008" s="119"/>
      <c r="J1008" s="119"/>
      <c r="K1008" s="119"/>
      <c r="L1008" s="119"/>
      <c r="M1008" s="119"/>
      <c r="N1008" s="119"/>
      <c r="O1008" s="119"/>
      <c r="P1008" s="119"/>
      <c r="Q1008" s="119"/>
    </row>
    <row r="1009">
      <c r="A1009" s="11"/>
      <c r="B1009" s="138"/>
      <c r="C1009" s="119"/>
      <c r="D1009" s="119"/>
      <c r="E1009" s="119"/>
      <c r="F1009" s="50"/>
      <c r="G1009" s="119"/>
      <c r="H1009" s="119"/>
      <c r="I1009" s="119"/>
      <c r="J1009" s="119"/>
      <c r="K1009" s="119"/>
      <c r="L1009" s="119"/>
      <c r="M1009" s="119"/>
      <c r="N1009" s="119"/>
      <c r="O1009" s="119"/>
      <c r="P1009" s="119"/>
      <c r="Q1009" s="119"/>
    </row>
    <row r="1010">
      <c r="A1010" s="11"/>
      <c r="B1010" s="138"/>
      <c r="C1010" s="119"/>
      <c r="D1010" s="119"/>
      <c r="E1010" s="119"/>
      <c r="F1010" s="50"/>
      <c r="G1010" s="119"/>
      <c r="H1010" s="119"/>
      <c r="I1010" s="119"/>
      <c r="J1010" s="119"/>
      <c r="K1010" s="119"/>
      <c r="L1010" s="119"/>
      <c r="M1010" s="119"/>
      <c r="N1010" s="119"/>
      <c r="O1010" s="119"/>
      <c r="P1010" s="119"/>
      <c r="Q1010" s="119"/>
    </row>
    <row r="1011">
      <c r="A1011" s="11"/>
      <c r="B1011" s="138"/>
      <c r="C1011" s="119"/>
      <c r="D1011" s="119"/>
      <c r="E1011" s="119"/>
      <c r="F1011" s="50"/>
      <c r="G1011" s="119"/>
      <c r="H1011" s="119"/>
      <c r="I1011" s="119"/>
      <c r="J1011" s="119"/>
      <c r="K1011" s="119"/>
      <c r="L1011" s="119"/>
      <c r="M1011" s="119"/>
      <c r="N1011" s="119"/>
      <c r="O1011" s="119"/>
      <c r="P1011" s="119"/>
      <c r="Q1011" s="119"/>
    </row>
    <row r="1012">
      <c r="A1012" s="11"/>
      <c r="B1012" s="138"/>
      <c r="C1012" s="119"/>
      <c r="D1012" s="119"/>
      <c r="E1012" s="119"/>
      <c r="F1012" s="50"/>
      <c r="G1012" s="119"/>
      <c r="H1012" s="119"/>
      <c r="I1012" s="119"/>
      <c r="J1012" s="119"/>
      <c r="K1012" s="119"/>
      <c r="L1012" s="119"/>
      <c r="M1012" s="119"/>
      <c r="N1012" s="119"/>
      <c r="O1012" s="119"/>
      <c r="P1012" s="119"/>
      <c r="Q1012" s="119"/>
    </row>
    <row r="1013">
      <c r="A1013" s="11"/>
      <c r="B1013" s="138"/>
      <c r="C1013" s="119"/>
      <c r="D1013" s="119"/>
      <c r="E1013" s="119"/>
      <c r="F1013" s="50"/>
      <c r="G1013" s="119"/>
      <c r="H1013" s="119"/>
      <c r="I1013" s="119"/>
      <c r="J1013" s="119"/>
      <c r="K1013" s="119"/>
      <c r="L1013" s="119"/>
      <c r="M1013" s="119"/>
      <c r="N1013" s="119"/>
      <c r="O1013" s="119"/>
      <c r="P1013" s="119"/>
      <c r="Q1013" s="119"/>
    </row>
    <row r="1014">
      <c r="A1014" s="11"/>
      <c r="B1014" s="138"/>
      <c r="C1014" s="119"/>
      <c r="D1014" s="119"/>
      <c r="E1014" s="119"/>
      <c r="F1014" s="50"/>
      <c r="G1014" s="119"/>
      <c r="H1014" s="119"/>
      <c r="I1014" s="119"/>
      <c r="J1014" s="119"/>
      <c r="K1014" s="119"/>
      <c r="L1014" s="119"/>
      <c r="M1014" s="119"/>
      <c r="N1014" s="119"/>
      <c r="O1014" s="119"/>
      <c r="P1014" s="119"/>
      <c r="Q1014" s="119"/>
    </row>
    <row r="1015">
      <c r="A1015" s="11"/>
      <c r="B1015" s="138"/>
      <c r="C1015" s="119"/>
      <c r="D1015" s="119"/>
      <c r="E1015" s="119"/>
      <c r="F1015" s="50"/>
      <c r="G1015" s="119"/>
      <c r="H1015" s="119"/>
      <c r="I1015" s="119"/>
      <c r="J1015" s="119"/>
      <c r="K1015" s="119"/>
      <c r="L1015" s="119"/>
      <c r="M1015" s="119"/>
      <c r="N1015" s="119"/>
      <c r="O1015" s="119"/>
      <c r="P1015" s="119"/>
      <c r="Q1015" s="119"/>
    </row>
  </sheetData>
  <mergeCells count="16">
    <mergeCell ref="C6:C12"/>
    <mergeCell ref="D6:D12"/>
    <mergeCell ref="E6:E12"/>
    <mergeCell ref="G6:G11"/>
    <mergeCell ref="H6:H11"/>
    <mergeCell ref="I6:I11"/>
    <mergeCell ref="J6:J11"/>
    <mergeCell ref="K6:K11"/>
    <mergeCell ref="B2:C2"/>
    <mergeCell ref="F2:Q2"/>
    <mergeCell ref="B3:Q3"/>
    <mergeCell ref="B4:E4"/>
    <mergeCell ref="G4:K4"/>
    <mergeCell ref="M4:Q4"/>
    <mergeCell ref="B6:B12"/>
    <mergeCell ref="M12:Q12"/>
  </mergeCell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8.63"/>
    <col customWidth="1" min="4" max="4" width="8.38"/>
    <col customWidth="1" min="5" max="5" width="3.88"/>
    <col customWidth="1" min="6" max="6" width="3.5"/>
    <col customWidth="1" min="7" max="7" width="32.13"/>
    <col customWidth="1" min="8" max="8" width="33.75"/>
    <col customWidth="1" min="9" max="9" width="37.25"/>
    <col customWidth="1" min="10" max="10" width="8.63"/>
    <col customWidth="1" min="11" max="11" width="4.63"/>
    <col customWidth="1" min="12" max="12" width="4.38"/>
    <col customWidth="1" min="13" max="13" width="22.0"/>
    <col customWidth="1" min="14" max="14" width="33.75"/>
    <col customWidth="1" min="15" max="15" width="36.63"/>
  </cols>
  <sheetData>
    <row r="1" ht="15.0" customHeight="1">
      <c r="A1" s="11" t="s">
        <v>204</v>
      </c>
      <c r="B1" s="53"/>
      <c r="C1" s="53"/>
      <c r="D1" s="54"/>
      <c r="E1" s="54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ht="73.5" customHeight="1">
      <c r="A2" s="11"/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</row>
    <row r="3">
      <c r="A3" s="11"/>
      <c r="B3" s="59" t="s">
        <v>3</v>
      </c>
      <c r="Q3" s="60"/>
    </row>
    <row r="4">
      <c r="A4" s="11"/>
      <c r="B4" s="61" t="s">
        <v>91</v>
      </c>
      <c r="E4" s="60"/>
      <c r="F4" s="50"/>
      <c r="G4" s="61" t="s">
        <v>128</v>
      </c>
      <c r="K4" s="60"/>
      <c r="L4" s="10"/>
      <c r="M4" s="10" t="s">
        <v>128</v>
      </c>
      <c r="Q4" s="60"/>
    </row>
    <row r="5">
      <c r="A5" s="11"/>
      <c r="B5" s="125" t="s">
        <v>92</v>
      </c>
      <c r="C5" s="126" t="s">
        <v>93</v>
      </c>
      <c r="D5" s="127" t="s">
        <v>94</v>
      </c>
      <c r="E5" s="128" t="s">
        <v>95</v>
      </c>
      <c r="F5" s="50"/>
      <c r="G5" s="125" t="s">
        <v>92</v>
      </c>
      <c r="H5" s="126" t="s">
        <v>166</v>
      </c>
      <c r="I5" s="126" t="s">
        <v>93</v>
      </c>
      <c r="J5" s="127" t="s">
        <v>94</v>
      </c>
      <c r="K5" s="128" t="s">
        <v>95</v>
      </c>
      <c r="L5" s="64"/>
      <c r="M5" s="125" t="s">
        <v>92</v>
      </c>
      <c r="N5" s="126" t="s">
        <v>166</v>
      </c>
      <c r="O5" s="126" t="s">
        <v>93</v>
      </c>
      <c r="P5" s="127" t="s">
        <v>94</v>
      </c>
      <c r="Q5" s="128" t="s">
        <v>95</v>
      </c>
    </row>
    <row r="6">
      <c r="A6" s="11"/>
      <c r="B6" s="25" t="s">
        <v>3</v>
      </c>
      <c r="C6" s="69" t="s">
        <v>205</v>
      </c>
      <c r="D6" s="11" t="s">
        <v>97</v>
      </c>
      <c r="E6" s="70" t="s">
        <v>97</v>
      </c>
      <c r="F6" s="50"/>
      <c r="G6" s="34" t="s">
        <v>25</v>
      </c>
      <c r="H6" s="139" t="s">
        <v>182</v>
      </c>
      <c r="I6" s="69" t="s">
        <v>206</v>
      </c>
      <c r="J6" s="30" t="s">
        <v>97</v>
      </c>
      <c r="K6" s="72" t="s">
        <v>97</v>
      </c>
      <c r="L6" s="55"/>
      <c r="M6" s="140" t="s">
        <v>97</v>
      </c>
      <c r="N6" s="141"/>
      <c r="O6" s="141"/>
      <c r="P6" s="141"/>
      <c r="Q6" s="142"/>
    </row>
    <row r="7">
      <c r="A7" s="11"/>
      <c r="B7" s="79"/>
      <c r="E7" s="60"/>
      <c r="F7" s="50"/>
      <c r="G7" s="143" t="s">
        <v>37</v>
      </c>
      <c r="H7" s="144" t="s">
        <v>182</v>
      </c>
      <c r="I7" s="144" t="s">
        <v>201</v>
      </c>
      <c r="J7" s="144" t="s">
        <v>97</v>
      </c>
      <c r="K7" s="145" t="s">
        <v>97</v>
      </c>
      <c r="L7" s="55"/>
      <c r="M7" s="140" t="s">
        <v>97</v>
      </c>
      <c r="N7" s="141"/>
      <c r="O7" s="141"/>
      <c r="P7" s="141"/>
      <c r="Q7" s="142"/>
    </row>
    <row r="8">
      <c r="A8" s="11"/>
      <c r="B8" s="79"/>
      <c r="E8" s="60"/>
      <c r="F8" s="50"/>
      <c r="G8" s="143" t="s">
        <v>47</v>
      </c>
      <c r="H8" s="144"/>
      <c r="I8" s="144" t="s">
        <v>207</v>
      </c>
      <c r="J8" s="144" t="s">
        <v>97</v>
      </c>
      <c r="K8" s="145" t="s">
        <v>97</v>
      </c>
      <c r="L8" s="55"/>
      <c r="M8" s="143" t="s">
        <v>208</v>
      </c>
      <c r="N8" s="47"/>
      <c r="O8" s="47"/>
      <c r="P8" s="47"/>
      <c r="Q8" s="48"/>
    </row>
    <row r="9">
      <c r="A9" s="11"/>
      <c r="B9" s="79"/>
      <c r="E9" s="60"/>
      <c r="F9" s="50"/>
      <c r="G9" s="33" t="s">
        <v>56</v>
      </c>
      <c r="H9" s="11" t="s">
        <v>209</v>
      </c>
      <c r="I9" s="80" t="s">
        <v>210</v>
      </c>
      <c r="J9" s="11" t="s">
        <v>97</v>
      </c>
      <c r="K9" s="28" t="s">
        <v>97</v>
      </c>
      <c r="L9" s="11"/>
      <c r="M9" s="16" t="s">
        <v>97</v>
      </c>
      <c r="N9" s="141"/>
      <c r="O9" s="141"/>
      <c r="P9" s="141"/>
      <c r="Q9" s="142"/>
    </row>
    <row r="10">
      <c r="A10" s="11"/>
      <c r="B10" s="79"/>
      <c r="E10" s="60"/>
      <c r="F10" s="50"/>
      <c r="G10" s="143" t="s">
        <v>63</v>
      </c>
      <c r="H10" s="144" t="s">
        <v>182</v>
      </c>
      <c r="I10" s="144" t="s">
        <v>211</v>
      </c>
      <c r="J10" s="144"/>
      <c r="K10" s="145"/>
      <c r="L10" s="55"/>
      <c r="M10" s="146" t="s">
        <v>97</v>
      </c>
      <c r="N10" s="141"/>
      <c r="O10" s="141"/>
      <c r="P10" s="141"/>
      <c r="Q10" s="142"/>
    </row>
    <row r="11">
      <c r="A11" s="11"/>
      <c r="B11" s="79"/>
      <c r="E11" s="60"/>
      <c r="F11" s="50"/>
      <c r="G11" s="34" t="s">
        <v>212</v>
      </c>
      <c r="H11" s="139" t="s">
        <v>182</v>
      </c>
      <c r="I11" s="147" t="s">
        <v>213</v>
      </c>
      <c r="J11" s="30" t="s">
        <v>97</v>
      </c>
      <c r="K11" s="72" t="s">
        <v>97</v>
      </c>
      <c r="L11" s="55"/>
      <c r="M11" s="16" t="s">
        <v>97</v>
      </c>
      <c r="N11" s="141"/>
      <c r="O11" s="141"/>
      <c r="P11" s="141"/>
      <c r="Q11" s="142"/>
    </row>
    <row r="12">
      <c r="A12" s="11"/>
      <c r="B12" s="81"/>
      <c r="C12" s="82"/>
      <c r="D12" s="82"/>
      <c r="E12" s="83"/>
      <c r="F12" s="50"/>
      <c r="G12" s="143" t="s">
        <v>70</v>
      </c>
      <c r="H12" s="144"/>
      <c r="I12" s="144" t="s">
        <v>214</v>
      </c>
      <c r="J12" s="144" t="s">
        <v>97</v>
      </c>
      <c r="K12" s="148" t="s">
        <v>97</v>
      </c>
      <c r="L12" s="55"/>
      <c r="M12" s="149" t="s">
        <v>97</v>
      </c>
      <c r="N12" s="47"/>
      <c r="O12" s="47"/>
      <c r="P12" s="47"/>
      <c r="Q12" s="48"/>
    </row>
    <row r="13">
      <c r="A13" s="11"/>
      <c r="B13" s="11"/>
      <c r="C13" s="69"/>
      <c r="D13" s="11"/>
      <c r="E13" s="55"/>
      <c r="F13" s="55"/>
      <c r="G13" s="55"/>
      <c r="H13" s="55"/>
      <c r="I13" s="55"/>
      <c r="J13" s="55"/>
      <c r="K13" s="55"/>
      <c r="L13" s="55"/>
      <c r="M13" s="11"/>
      <c r="N13" s="11"/>
      <c r="O13" s="11"/>
      <c r="P13" s="11"/>
      <c r="Q13" s="11"/>
    </row>
    <row r="14">
      <c r="A14" s="11"/>
      <c r="B14" s="11"/>
      <c r="C14" s="69"/>
      <c r="D14" s="11"/>
      <c r="E14" s="55"/>
      <c r="F14" s="55"/>
      <c r="G14" s="55"/>
      <c r="H14" s="55"/>
      <c r="I14" s="55"/>
      <c r="J14" s="55"/>
      <c r="K14" s="55"/>
      <c r="L14" s="55"/>
      <c r="M14" s="11"/>
      <c r="N14" s="11"/>
      <c r="O14" s="11"/>
      <c r="P14" s="11"/>
      <c r="Q14" s="11"/>
    </row>
    <row r="15">
      <c r="A15" s="11"/>
      <c r="B15" s="11"/>
      <c r="C15" s="69"/>
      <c r="D15" s="11"/>
      <c r="E15" s="55"/>
      <c r="F15" s="55"/>
      <c r="G15" s="55"/>
      <c r="H15" s="55"/>
      <c r="I15" s="55"/>
      <c r="J15" s="55"/>
      <c r="K15" s="55"/>
      <c r="L15" s="55"/>
      <c r="M15" s="11"/>
      <c r="N15" s="11"/>
      <c r="O15" s="11"/>
      <c r="P15" s="11"/>
      <c r="Q15" s="11"/>
    </row>
    <row r="16">
      <c r="A16" s="11"/>
      <c r="B16" s="11"/>
      <c r="C16" s="69"/>
      <c r="D16" s="11"/>
      <c r="E16" s="55"/>
      <c r="F16" s="55"/>
      <c r="G16" s="55"/>
      <c r="H16" s="55"/>
      <c r="I16" s="55"/>
      <c r="J16" s="55"/>
      <c r="K16" s="55"/>
      <c r="L16" s="55"/>
      <c r="M16" s="11"/>
      <c r="N16" s="11"/>
      <c r="O16" s="11"/>
      <c r="P16" s="11"/>
      <c r="Q16" s="11"/>
    </row>
    <row r="17">
      <c r="A17" s="11"/>
      <c r="B17" s="11"/>
      <c r="C17" s="69"/>
      <c r="D17" s="11"/>
      <c r="E17" s="55"/>
      <c r="F17" s="55"/>
      <c r="G17" s="55"/>
      <c r="H17" s="55"/>
      <c r="I17" s="55"/>
      <c r="J17" s="55"/>
      <c r="K17" s="55"/>
      <c r="L17" s="55"/>
      <c r="M17" s="11"/>
      <c r="N17" s="11"/>
      <c r="O17" s="11"/>
      <c r="P17" s="11"/>
      <c r="Q17" s="11"/>
    </row>
    <row r="18">
      <c r="A18" s="11"/>
      <c r="B18" s="11"/>
      <c r="C18" s="69"/>
      <c r="D18" s="11"/>
      <c r="E18" s="55"/>
      <c r="F18" s="55"/>
      <c r="G18" s="55"/>
      <c r="H18" s="55"/>
      <c r="I18" s="55"/>
      <c r="J18" s="55"/>
      <c r="K18" s="55"/>
      <c r="L18" s="55"/>
      <c r="M18" s="11"/>
      <c r="N18" s="11"/>
      <c r="O18" s="11"/>
      <c r="P18" s="11"/>
      <c r="Q18" s="11"/>
    </row>
  </sheetData>
  <mergeCells count="16">
    <mergeCell ref="D6:D12"/>
    <mergeCell ref="E6:E12"/>
    <mergeCell ref="M6:Q6"/>
    <mergeCell ref="M7:Q7"/>
    <mergeCell ref="M8:Q8"/>
    <mergeCell ref="M9:Q9"/>
    <mergeCell ref="M10:Q10"/>
    <mergeCell ref="M11:Q11"/>
    <mergeCell ref="B2:Q2"/>
    <mergeCell ref="B3:Q3"/>
    <mergeCell ref="B4:E4"/>
    <mergeCell ref="G4:K4"/>
    <mergeCell ref="M4:Q4"/>
    <mergeCell ref="B6:B12"/>
    <mergeCell ref="C6:C12"/>
    <mergeCell ref="M12:Q12"/>
  </mergeCells>
  <hyperlinks>
    <hyperlink r:id="rId4" ref="I11"/>
  </hyperlinks>
  <drawing r:id="rId5"/>
  <legacy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02.13"/>
    <col customWidth="1" hidden="1" min="2" max="2" width="91.25"/>
    <col customWidth="1" min="3" max="3" width="93.5"/>
  </cols>
  <sheetData>
    <row r="1">
      <c r="A1" s="150" t="s">
        <v>215</v>
      </c>
      <c r="C1" s="116" t="s">
        <v>215</v>
      </c>
    </row>
    <row r="2">
      <c r="A2" s="151" t="s">
        <v>216</v>
      </c>
      <c r="B2" s="152" t="str">
        <f>IFERROR(__xludf.DUMMYFUNCTION("REGEXREPLACE(A2, ""&lt;loc&gt;"", """")"),"https://odysia-cruise-uk.client.prod.eu-west.dreamlake.io/cruise-lines/regent-seven-seas-cruises/seven-seas-mariner&lt;/loc&gt;")</f>
        <v>https://odysia-cruise-uk.client.prod.eu-west.dreamlake.io/cruise-lines/regent-seven-seas-cruises/seven-seas-mariner&lt;/loc&gt;</v>
      </c>
      <c r="C2" s="153" t="str">
        <f>IFERROR(__xludf.DUMMYFUNCTION("REGEXREPLACE(B2, ""&lt;/loc&gt;"", """")"),"https://odysia-cruise-uk.client.prod.eu-west.dreamlake.io/cruise-lines/regent-seven-seas-cruises/seven-seas-mariner")</f>
        <v>https://odysia-cruise-uk.client.prod.eu-west.dreamlake.io/cruise-lines/regent-seven-seas-cruises/seven-seas-mariner</v>
      </c>
      <c r="D2" s="152" t="s">
        <v>217</v>
      </c>
      <c r="E2" s="152" t="str">
        <f>IFERROR(__xludf.DUMMYFUNCTION("REGEXREPLACE(D2, ""https://odysia-cruise-uk.client.prod.eu-west.dreamlake.io"", """")"),"/cruise-lines/regent-seven-seas-cruises/seven-seas-mariner")</f>
        <v>/cruise-lines/regent-seven-seas-cruises/seven-seas-mariner</v>
      </c>
    </row>
    <row r="3">
      <c r="A3" s="154" t="s">
        <v>218</v>
      </c>
      <c r="B3" s="152" t="str">
        <f>IFERROR(__xludf.DUMMYFUNCTION("REGEXREPLACE(A3, ""&lt;loc&gt;"", """")"),"https://odysia-cruise-uk.client.prod.eu-west.dreamlake.io/cruise-lines/princess-cruises/royal-princess/cruises&lt;/loc&gt;")</f>
        <v>https://odysia-cruise-uk.client.prod.eu-west.dreamlake.io/cruise-lines/princess-cruises/royal-princess/cruises&lt;/loc&gt;</v>
      </c>
      <c r="C3" s="153" t="str">
        <f>IFERROR(__xludf.DUMMYFUNCTION("REGEXREPLACE(B3, ""&lt;/loc&gt;"", """")"),"https://odysia-cruise-uk.client.prod.eu-west.dreamlake.io/cruise-lines/princess-cruises/royal-princess/cruises")</f>
        <v>https://odysia-cruise-uk.client.prod.eu-west.dreamlake.io/cruise-lines/princess-cruises/royal-princess/cruises</v>
      </c>
      <c r="D3" s="152" t="s">
        <v>219</v>
      </c>
      <c r="E3" s="152" t="str">
        <f>IFERROR(__xludf.DUMMYFUNCTION("REGEXREPLACE(D3, ""https://odysia-cruise-uk.client.prod.eu-west.dreamlake.io"", """")"),"/cruise-lines/princess-cruises/royal-princess/cruises")</f>
        <v>/cruise-lines/princess-cruises/royal-princess/cruises</v>
      </c>
    </row>
    <row r="4">
      <c r="A4" s="154" t="s">
        <v>220</v>
      </c>
      <c r="B4" s="152" t="str">
        <f>IFERROR(__xludf.DUMMYFUNCTION("REGEXREPLACE(A4, ""&lt;loc&gt;"", """")"),"https://odysia-cruise-uk.client.prod.eu-west.dreamlake.io/cruise-lines/royal-caribbean/anthem-of-the-seas/cruises&lt;/loc&gt;")</f>
        <v>https://odysia-cruise-uk.client.prod.eu-west.dreamlake.io/cruise-lines/royal-caribbean/anthem-of-the-seas/cruises&lt;/loc&gt;</v>
      </c>
      <c r="C4" s="153" t="str">
        <f>IFERROR(__xludf.DUMMYFUNCTION("REGEXREPLACE(B4, ""&lt;/loc&gt;"", """")"),"https://odysia-cruise-uk.client.prod.eu-west.dreamlake.io/cruise-lines/royal-caribbean/anthem-of-the-seas/cruises")</f>
        <v>https://odysia-cruise-uk.client.prod.eu-west.dreamlake.io/cruise-lines/royal-caribbean/anthem-of-the-seas/cruises</v>
      </c>
      <c r="D4" s="152" t="s">
        <v>221</v>
      </c>
      <c r="E4" s="152" t="str">
        <f>IFERROR(__xludf.DUMMYFUNCTION("REGEXREPLACE(D4, ""https://odysia-cruise-uk.client.prod.eu-west.dreamlake.io"", """")"),"/cruise-lines/royal-caribbean/anthem-of-the-seas/cruises")</f>
        <v>/cruise-lines/royal-caribbean/anthem-of-the-seas/cruises</v>
      </c>
    </row>
    <row r="5">
      <c r="A5" s="154" t="s">
        <v>222</v>
      </c>
      <c r="B5" s="152" t="str">
        <f>IFERROR(__xludf.DUMMYFUNCTION("REGEXREPLACE(A5, ""&lt;loc&gt;"", """")"),"https://odysia-cruise-uk.client.prod.eu-west.dreamlake.io/cruise-lines/holland-america-line/zaandam&lt;/loc&gt;")</f>
        <v>https://odysia-cruise-uk.client.prod.eu-west.dreamlake.io/cruise-lines/holland-america-line/zaandam&lt;/loc&gt;</v>
      </c>
      <c r="C5" s="153" t="str">
        <f>IFERROR(__xludf.DUMMYFUNCTION("REGEXREPLACE(B5, ""&lt;/loc&gt;"", """")"),"https://odysia-cruise-uk.client.prod.eu-west.dreamlake.io/cruise-lines/holland-america-line/zaandam")</f>
        <v>https://odysia-cruise-uk.client.prod.eu-west.dreamlake.io/cruise-lines/holland-america-line/zaandam</v>
      </c>
      <c r="D5" s="152" t="s">
        <v>223</v>
      </c>
      <c r="E5" s="152" t="str">
        <f>IFERROR(__xludf.DUMMYFUNCTION("REGEXREPLACE(D5, ""https://odysia-cruise-uk.client.prod.eu-west.dreamlake.io"", """")"),"/cruise-lines/holland-america-line/zaandam")</f>
        <v>/cruise-lines/holland-america-line/zaandam</v>
      </c>
    </row>
    <row r="6">
      <c r="A6" s="154" t="s">
        <v>224</v>
      </c>
      <c r="B6" s="152" t="str">
        <f>IFERROR(__xludf.DUMMYFUNCTION("REGEXREPLACE(A6, ""&lt;loc&gt;"", """")"),"https://odysia-cruise-uk.client.prod.eu-west.dreamlake.io/cruise-lines/regent-seven-seas-cruises/seven-seas-splendor/cruises&lt;/loc&gt;")</f>
        <v>https://odysia-cruise-uk.client.prod.eu-west.dreamlake.io/cruise-lines/regent-seven-seas-cruises/seven-seas-splendor/cruises&lt;/loc&gt;</v>
      </c>
      <c r="C6" s="153" t="str">
        <f>IFERROR(__xludf.DUMMYFUNCTION("REGEXREPLACE(B6, ""&lt;/loc&gt;"", """")"),"https://odysia-cruise-uk.client.prod.eu-west.dreamlake.io/cruise-lines/regent-seven-seas-cruises/seven-seas-splendor/cruises")</f>
        <v>https://odysia-cruise-uk.client.prod.eu-west.dreamlake.io/cruise-lines/regent-seven-seas-cruises/seven-seas-splendor/cruises</v>
      </c>
      <c r="D6" s="152" t="s">
        <v>225</v>
      </c>
      <c r="E6" s="152" t="str">
        <f>IFERROR(__xludf.DUMMYFUNCTION("REGEXREPLACE(D6, ""https://odysia-cruise-uk.client.prod.eu-west.dreamlake.io"", """")"),"/cruise-lines/regent-seven-seas-cruises/seven-seas-splendor/cruises")</f>
        <v>/cruise-lines/regent-seven-seas-cruises/seven-seas-splendor/cruises</v>
      </c>
    </row>
    <row r="7">
      <c r="A7" s="154" t="s">
        <v>226</v>
      </c>
      <c r="B7" s="152" t="str">
        <f>IFERROR(__xludf.DUMMYFUNCTION("REGEXREPLACE(A7, ""&lt;loc&gt;"", """")"),"https://odysia-cruise-uk.client.prod.eu-west.dreamlake.io&lt;/loc&gt;")</f>
        <v>https://odysia-cruise-uk.client.prod.eu-west.dreamlake.io&lt;/loc&gt;</v>
      </c>
      <c r="C7" s="153" t="str">
        <f>IFERROR(__xludf.DUMMYFUNCTION("REGEXREPLACE(B7, ""&lt;/loc&gt;"", """")"),"https://odysia-cruise-uk.client.prod.eu-west.dreamlake.io")</f>
        <v>https://odysia-cruise-uk.client.prod.eu-west.dreamlake.io</v>
      </c>
    </row>
    <row r="8">
      <c r="A8" s="154" t="s">
        <v>227</v>
      </c>
      <c r="B8" s="152" t="str">
        <f>IFERROR(__xludf.DUMMYFUNCTION("REGEXREPLACE(A8, ""&lt;loc&gt;"", """")"),"https://odysia-cruise-uk.client.prod.eu-west.dreamlake.io/cruise-lines/msc-cruises/msc-armonia&lt;/loc&gt;")</f>
        <v>https://odysia-cruise-uk.client.prod.eu-west.dreamlake.io/cruise-lines/msc-cruises/msc-armonia&lt;/loc&gt;</v>
      </c>
      <c r="C8" s="153" t="str">
        <f>IFERROR(__xludf.DUMMYFUNCTION("REGEXREPLACE(B8, ""&lt;/loc&gt;"", """")"),"https://odysia-cruise-uk.client.prod.eu-west.dreamlake.io/cruise-lines/msc-cruises/msc-armonia")</f>
        <v>https://odysia-cruise-uk.client.prod.eu-west.dreamlake.io/cruise-lines/msc-cruises/msc-armonia</v>
      </c>
      <c r="D8" s="155" t="s">
        <v>228</v>
      </c>
      <c r="E8" s="152" t="str">
        <f>IFERROR(__xludf.DUMMYFUNCTION("REGEXREPLACE(D8, ""https://odysia-cruise-uk.client.prod.eu-west.dreamlake.io"", """")"),"/cruise-lines/msc-cruises/msc-armonia")</f>
        <v>/cruise-lines/msc-cruises/msc-armonia</v>
      </c>
    </row>
    <row r="9">
      <c r="A9" s="154" t="s">
        <v>229</v>
      </c>
      <c r="B9" s="152" t="str">
        <f>IFERROR(__xludf.DUMMYFUNCTION("REGEXREPLACE(A9, ""&lt;loc&gt;"", """")"),"https://odysia-cruise-uk.client.prod.eu-west.dreamlake.io/destinations/british-isles-cruises&lt;/loc&gt;")</f>
        <v>https://odysia-cruise-uk.client.prod.eu-west.dreamlake.io/destinations/british-isles-cruises&lt;/loc&gt;</v>
      </c>
      <c r="C9" s="153" t="str">
        <f>IFERROR(__xludf.DUMMYFUNCTION("REGEXREPLACE(B9, ""&lt;/loc&gt;"", """")"),"https://odysia-cruise-uk.client.prod.eu-west.dreamlake.io/destinations/british-isles-cruises")</f>
        <v>https://odysia-cruise-uk.client.prod.eu-west.dreamlake.io/destinations/british-isles-cruises</v>
      </c>
    </row>
    <row r="10">
      <c r="A10" s="154" t="s">
        <v>230</v>
      </c>
      <c r="B10" s="152" t="str">
        <f>IFERROR(__xludf.DUMMYFUNCTION("REGEXREPLACE(A10, ""&lt;loc&gt;"", """")"),"https://odysia-cruise-uk.client.prod.eu-west.dreamlake.io/cruise-lines/costa-cruises/costa-smeralda/cruises&lt;/loc&gt;")</f>
        <v>https://odysia-cruise-uk.client.prod.eu-west.dreamlake.io/cruise-lines/costa-cruises/costa-smeralda/cruises&lt;/loc&gt;</v>
      </c>
      <c r="C10" s="153" t="str">
        <f>IFERROR(__xludf.DUMMYFUNCTION("REGEXREPLACE(B10, ""&lt;/loc&gt;"", """")"),"https://odysia-cruise-uk.client.prod.eu-west.dreamlake.io/cruise-lines/costa-cruises/costa-smeralda/cruises")</f>
        <v>https://odysia-cruise-uk.client.prod.eu-west.dreamlake.io/cruise-lines/costa-cruises/costa-smeralda/cruises</v>
      </c>
      <c r="D10" s="152" t="s">
        <v>231</v>
      </c>
      <c r="E10" s="152" t="str">
        <f>IFERROR(__xludf.DUMMYFUNCTION("REGEXREPLACE(D10, ""https://odysia-cruise-uk.client.prod.eu-west.dreamlake.io"", """")"),"/cruise-lines/costa-cruises/costa-smeralda/cruises")</f>
        <v>/cruise-lines/costa-cruises/costa-smeralda/cruises</v>
      </c>
    </row>
    <row r="11">
      <c r="A11" s="154" t="s">
        <v>232</v>
      </c>
      <c r="B11" s="152" t="str">
        <f>IFERROR(__xludf.DUMMYFUNCTION("REGEXREPLACE(A11, ""&lt;loc&gt;"", """")"),"https://odysia-cruise-uk.client.prod.eu-west.dreamlake.io/cruise-lines/holland-america-line/rotterdam/cruises&lt;/loc&gt;")</f>
        <v>https://odysia-cruise-uk.client.prod.eu-west.dreamlake.io/cruise-lines/holland-america-line/rotterdam/cruises&lt;/loc&gt;</v>
      </c>
      <c r="C11" s="153" t="str">
        <f>IFERROR(__xludf.DUMMYFUNCTION("REGEXREPLACE(B11, ""&lt;/loc&gt;"", """")"),"https://odysia-cruise-uk.client.prod.eu-west.dreamlake.io/cruise-lines/holland-america-line/rotterdam/cruises")</f>
        <v>https://odysia-cruise-uk.client.prod.eu-west.dreamlake.io/cruise-lines/holland-america-line/rotterdam/cruises</v>
      </c>
      <c r="D11" s="152" t="s">
        <v>233</v>
      </c>
      <c r="E11" s="152" t="str">
        <f>IFERROR(__xludf.DUMMYFUNCTION("REGEXREPLACE(D11, ""https://odysia-cruise-uk.client.prod.eu-west.dreamlake.io"", """")"),"/cruise-lines/holland-america-line/rotterdam/cruises")</f>
        <v>/cruise-lines/holland-america-line/rotterdam/cruises</v>
      </c>
    </row>
    <row r="12">
      <c r="A12" s="154" t="s">
        <v>234</v>
      </c>
      <c r="B12" s="152" t="str">
        <f>IFERROR(__xludf.DUMMYFUNCTION("REGEXREPLACE(A12, ""&lt;loc&gt;"", """")"),"https://odysia-cruise-uk.client.prod.eu-west.dreamlake.io/cruise-lines/regent-seven-seas-cruises/seven-seas-grandeur/cruises&lt;/loc&gt;")</f>
        <v>https://odysia-cruise-uk.client.prod.eu-west.dreamlake.io/cruise-lines/regent-seven-seas-cruises/seven-seas-grandeur/cruises&lt;/loc&gt;</v>
      </c>
      <c r="C12" s="153" t="str">
        <f>IFERROR(__xludf.DUMMYFUNCTION("REGEXREPLACE(B12, ""&lt;/loc&gt;"", """")"),"https://odysia-cruise-uk.client.prod.eu-west.dreamlake.io/cruise-lines/regent-seven-seas-cruises/seven-seas-grandeur/cruises")</f>
        <v>https://odysia-cruise-uk.client.prod.eu-west.dreamlake.io/cruise-lines/regent-seven-seas-cruises/seven-seas-grandeur/cruises</v>
      </c>
      <c r="D12" s="152" t="s">
        <v>235</v>
      </c>
      <c r="E12" s="152" t="str">
        <f>IFERROR(__xludf.DUMMYFUNCTION("REGEXREPLACE(D12, ""https://odysia-cruise-uk.client.prod.eu-west.dreamlake.io"", """")"),"/cruise-lines/regent-seven-seas-cruises/seven-seas-grandeur/cruises")</f>
        <v>/cruise-lines/regent-seven-seas-cruises/seven-seas-grandeur/cruises</v>
      </c>
    </row>
    <row r="13">
      <c r="A13" s="154" t="s">
        <v>236</v>
      </c>
      <c r="B13" s="152" t="str">
        <f>IFERROR(__xludf.DUMMYFUNCTION("REGEXREPLACE(A13, ""&lt;loc&gt;"", """")"),"https://odysia-cruise-uk.client.prod.eu-west.dreamlake.io/cruise-lines/royal-caribbean/icon-of-the-seas/cruises&lt;/loc&gt;")</f>
        <v>https://odysia-cruise-uk.client.prod.eu-west.dreamlake.io/cruise-lines/royal-caribbean/icon-of-the-seas/cruises&lt;/loc&gt;</v>
      </c>
      <c r="C13" s="153" t="str">
        <f>IFERROR(__xludf.DUMMYFUNCTION("REGEXREPLACE(B13, ""&lt;/loc&gt;"", """")"),"https://odysia-cruise-uk.client.prod.eu-west.dreamlake.io/cruise-lines/royal-caribbean/icon-of-the-seas/cruises")</f>
        <v>https://odysia-cruise-uk.client.prod.eu-west.dreamlake.io/cruise-lines/royal-caribbean/icon-of-the-seas/cruises</v>
      </c>
      <c r="D13" s="152" t="s">
        <v>237</v>
      </c>
      <c r="E13" s="152" t="str">
        <f>IFERROR(__xludf.DUMMYFUNCTION("REGEXREPLACE(D13, ""https://odysia-cruise-uk.client.prod.eu-west.dreamlake.io"", """")"),"/cruise-lines/royal-caribbean/icon-of-the-seas/cruises")</f>
        <v>/cruise-lines/royal-caribbean/icon-of-the-seas/cruises</v>
      </c>
    </row>
    <row r="14">
      <c r="A14" s="154" t="s">
        <v>238</v>
      </c>
      <c r="B14" s="152" t="str">
        <f>IFERROR(__xludf.DUMMYFUNCTION("REGEXREPLACE(A14, ""&lt;loc&gt;"", """")"),"https://odysia-cruise-uk.client.prod.eu-west.dreamlake.io/cruise-lines/virgin-voyages/resilient-lady&lt;/loc&gt;")</f>
        <v>https://odysia-cruise-uk.client.prod.eu-west.dreamlake.io/cruise-lines/virgin-voyages/resilient-lady&lt;/loc&gt;</v>
      </c>
      <c r="C14" s="153" t="str">
        <f>IFERROR(__xludf.DUMMYFUNCTION("REGEXREPLACE(B14, ""&lt;/loc&gt;"", """")"),"https://odysia-cruise-uk.client.prod.eu-west.dreamlake.io/cruise-lines/virgin-voyages/resilient-lady")</f>
        <v>https://odysia-cruise-uk.client.prod.eu-west.dreamlake.io/cruise-lines/virgin-voyages/resilient-lady</v>
      </c>
      <c r="D14" s="152" t="s">
        <v>239</v>
      </c>
      <c r="E14" s="152" t="str">
        <f>IFERROR(__xludf.DUMMYFUNCTION("REGEXREPLACE(D14, ""https://odysia-cruise-uk.client.prod.eu-west.dreamlake.io"", """")"),"/cruise-lines/virgin-voyages/resilient-lady")</f>
        <v>/cruise-lines/virgin-voyages/resilient-lady</v>
      </c>
    </row>
    <row r="15">
      <c r="A15" s="154" t="s">
        <v>240</v>
      </c>
      <c r="B15" s="152" t="str">
        <f>IFERROR(__xludf.DUMMYFUNCTION("REGEXREPLACE(A15, ""&lt;loc&gt;"", """")"),"https://odysia-cruise-uk.client.prod.eu-west.dreamlake.io/cruise-lines/norwegian-cruise-line/norwegian-jade/cruises&lt;/loc&gt;")</f>
        <v>https://odysia-cruise-uk.client.prod.eu-west.dreamlake.io/cruise-lines/norwegian-cruise-line/norwegian-jade/cruises&lt;/loc&gt;</v>
      </c>
      <c r="C15" s="153" t="str">
        <f>IFERROR(__xludf.DUMMYFUNCTION("REGEXREPLACE(B15, ""&lt;/loc&gt;"", """")"),"https://odysia-cruise-uk.client.prod.eu-west.dreamlake.io/cruise-lines/norwegian-cruise-line/norwegian-jade/cruises")</f>
        <v>https://odysia-cruise-uk.client.prod.eu-west.dreamlake.io/cruise-lines/norwegian-cruise-line/norwegian-jade/cruises</v>
      </c>
      <c r="D15" s="152" t="s">
        <v>241</v>
      </c>
      <c r="E15" s="152" t="str">
        <f>IFERROR(__xludf.DUMMYFUNCTION("REGEXREPLACE(D15, ""https://odysia-cruise-uk.client.prod.eu-west.dreamlake.io"", """")"),"/cruise-lines/norwegian-cruise-line/norwegian-jade/cruises")</f>
        <v>/cruise-lines/norwegian-cruise-line/norwegian-jade/cruises</v>
      </c>
    </row>
    <row r="16">
      <c r="A16" s="154" t="s">
        <v>242</v>
      </c>
      <c r="B16" s="152" t="str">
        <f>IFERROR(__xludf.DUMMYFUNCTION("REGEXREPLACE(A16, ""&lt;loc&gt;"", """")"),"https://odysia-cruise-uk.client.prod.eu-west.dreamlake.io/cruise-lines/cunard/cruises&lt;/loc&gt;")</f>
        <v>https://odysia-cruise-uk.client.prod.eu-west.dreamlake.io/cruise-lines/cunard/cruises&lt;/loc&gt;</v>
      </c>
      <c r="C16" s="153" t="str">
        <f>IFERROR(__xludf.DUMMYFUNCTION("REGEXREPLACE(B16, ""&lt;/loc&gt;"", """")"),"https://odysia-cruise-uk.client.prod.eu-west.dreamlake.io/cruise-lines/cunard/cruises")</f>
        <v>https://odysia-cruise-uk.client.prod.eu-west.dreamlake.io/cruise-lines/cunard/cruises</v>
      </c>
      <c r="D16" s="152" t="s">
        <v>243</v>
      </c>
      <c r="E16" s="152" t="str">
        <f>IFERROR(__xludf.DUMMYFUNCTION("REGEXREPLACE(D16, ""https://odysia-cruise-uk.client.prod.eu-west.dreamlake.io"", """")"),"/cruise-lines/cunard/cruises")</f>
        <v>/cruise-lines/cunard/cruises</v>
      </c>
    </row>
    <row r="17">
      <c r="A17" s="154" t="s">
        <v>244</v>
      </c>
      <c r="B17" s="152" t="str">
        <f>IFERROR(__xludf.DUMMYFUNCTION("REGEXREPLACE(A17, ""&lt;loc&gt;"", """")"),"https://odysia-cruise-uk.client.prod.eu-west.dreamlake.io/cruise-lines/celebrity-cruises/celebrity-beyond/cruises&lt;/loc&gt;")</f>
        <v>https://odysia-cruise-uk.client.prod.eu-west.dreamlake.io/cruise-lines/celebrity-cruises/celebrity-beyond/cruises&lt;/loc&gt;</v>
      </c>
      <c r="C17" s="153" t="str">
        <f>IFERROR(__xludf.DUMMYFUNCTION("REGEXREPLACE(B17, ""&lt;/loc&gt;"", """")"),"https://odysia-cruise-uk.client.prod.eu-west.dreamlake.io/cruise-lines/celebrity-cruises/celebrity-beyond/cruises")</f>
        <v>https://odysia-cruise-uk.client.prod.eu-west.dreamlake.io/cruise-lines/celebrity-cruises/celebrity-beyond/cruises</v>
      </c>
      <c r="D17" s="152" t="s">
        <v>245</v>
      </c>
      <c r="E17" s="152" t="str">
        <f>IFERROR(__xludf.DUMMYFUNCTION("REGEXREPLACE(D17, ""https://odysia-cruise-uk.client.prod.eu-west.dreamlake.io"", """")"),"/cruise-lines/celebrity-cruises/celebrity-beyond/cruises")</f>
        <v>/cruise-lines/celebrity-cruises/celebrity-beyond/cruises</v>
      </c>
    </row>
    <row r="18">
      <c r="A18" s="154" t="s">
        <v>246</v>
      </c>
      <c r="B18" s="152" t="str">
        <f>IFERROR(__xludf.DUMMYFUNCTION("REGEXREPLACE(A18, ""&lt;loc&gt;"", """")"),"https://odysia-cruise-uk.client.prod.eu-west.dreamlake.io/cruise-lines/royal-caribbean/icon-of-the-seas&lt;/loc&gt;")</f>
        <v>https://odysia-cruise-uk.client.prod.eu-west.dreamlake.io/cruise-lines/royal-caribbean/icon-of-the-seas&lt;/loc&gt;</v>
      </c>
      <c r="C18" s="153" t="str">
        <f>IFERROR(__xludf.DUMMYFUNCTION("REGEXREPLACE(B18, ""&lt;/loc&gt;"", """")"),"https://odysia-cruise-uk.client.prod.eu-west.dreamlake.io/cruise-lines/royal-caribbean/icon-of-the-seas")</f>
        <v>https://odysia-cruise-uk.client.prod.eu-west.dreamlake.io/cruise-lines/royal-caribbean/icon-of-the-seas</v>
      </c>
      <c r="D18" s="152" t="s">
        <v>247</v>
      </c>
      <c r="E18" s="152" t="str">
        <f>IFERROR(__xludf.DUMMYFUNCTION("REGEXREPLACE(D18, ""https://odysia-cruise-uk.client.prod.eu-west.dreamlake.io"", """")"),"/cruise-lines/royal-caribbean/icon-of-the-seas")</f>
        <v>/cruise-lines/royal-caribbean/icon-of-the-seas</v>
      </c>
    </row>
    <row r="19">
      <c r="A19" s="154" t="s">
        <v>248</v>
      </c>
      <c r="B19" s="152" t="str">
        <f>IFERROR(__xludf.DUMMYFUNCTION("REGEXREPLACE(A19, ""&lt;loc&gt;"", """")"),"https://odysia-cruise-uk.client.prod.eu-west.dreamlake.io/cruise-lines/princess-cruises/regal-princess&lt;/loc&gt;")</f>
        <v>https://odysia-cruise-uk.client.prod.eu-west.dreamlake.io/cruise-lines/princess-cruises/regal-princess&lt;/loc&gt;</v>
      </c>
      <c r="C19" s="153" t="str">
        <f>IFERROR(__xludf.DUMMYFUNCTION("REGEXREPLACE(B19, ""&lt;/loc&gt;"", """")"),"https://odysia-cruise-uk.client.prod.eu-west.dreamlake.io/cruise-lines/princess-cruises/regal-princess")</f>
        <v>https://odysia-cruise-uk.client.prod.eu-west.dreamlake.io/cruise-lines/princess-cruises/regal-princess</v>
      </c>
      <c r="D19" s="152" t="s">
        <v>249</v>
      </c>
      <c r="E19" s="152" t="str">
        <f>IFERROR(__xludf.DUMMYFUNCTION("REGEXREPLACE(D19, ""https://odysia-cruise-uk.client.prod.eu-west.dreamlake.io"", """")"),"/cruise-lines/princess-cruises/regal-princess")</f>
        <v>/cruise-lines/princess-cruises/regal-princess</v>
      </c>
    </row>
    <row r="20">
      <c r="A20" s="154" t="s">
        <v>250</v>
      </c>
      <c r="B20" s="152" t="str">
        <f>IFERROR(__xludf.DUMMYFUNCTION("REGEXREPLACE(A20, ""&lt;loc&gt;"", """")"),"https://odysia-cruise-uk.client.prod.eu-west.dreamlake.io/cruise-lines/royal-caribbean/utopia-of-the-seas/cruises&lt;/loc&gt;")</f>
        <v>https://odysia-cruise-uk.client.prod.eu-west.dreamlake.io/cruise-lines/royal-caribbean/utopia-of-the-seas/cruises&lt;/loc&gt;</v>
      </c>
      <c r="C20" s="153" t="str">
        <f>IFERROR(__xludf.DUMMYFUNCTION("REGEXREPLACE(B20, ""&lt;/loc&gt;"", """")"),"https://odysia-cruise-uk.client.prod.eu-west.dreamlake.io/cruise-lines/royal-caribbean/utopia-of-the-seas/cruises")</f>
        <v>https://odysia-cruise-uk.client.prod.eu-west.dreamlake.io/cruise-lines/royal-caribbean/utopia-of-the-seas/cruises</v>
      </c>
      <c r="D20" s="152" t="s">
        <v>251</v>
      </c>
      <c r="E20" s="152" t="str">
        <f>IFERROR(__xludf.DUMMYFUNCTION("REGEXREPLACE(D20, ""https://odysia-cruise-uk.client.prod.eu-west.dreamlake.io"", """")"),"/cruise-lines/royal-caribbean/utopia-of-the-seas/cruises")</f>
        <v>/cruise-lines/royal-caribbean/utopia-of-the-seas/cruises</v>
      </c>
    </row>
    <row r="21">
      <c r="A21" s="154" t="s">
        <v>252</v>
      </c>
      <c r="B21" s="152" t="str">
        <f>IFERROR(__xludf.DUMMYFUNCTION("REGEXREPLACE(A21, ""&lt;loc&gt;"", """")"),"https://odysia-cruise-uk.client.prod.eu-west.dreamlake.io/cruise-lines/oceania-cruises/oceania-riviera/cruises&lt;/loc&gt;")</f>
        <v>https://odysia-cruise-uk.client.prod.eu-west.dreamlake.io/cruise-lines/oceania-cruises/oceania-riviera/cruises&lt;/loc&gt;</v>
      </c>
      <c r="C21" s="153" t="str">
        <f>IFERROR(__xludf.DUMMYFUNCTION("REGEXREPLACE(B21, ""&lt;/loc&gt;"", """")"),"https://odysia-cruise-uk.client.prod.eu-west.dreamlake.io/cruise-lines/oceania-cruises/oceania-riviera/cruises")</f>
        <v>https://odysia-cruise-uk.client.prod.eu-west.dreamlake.io/cruise-lines/oceania-cruises/oceania-riviera/cruises</v>
      </c>
      <c r="D21" s="152" t="s">
        <v>253</v>
      </c>
      <c r="E21" s="152" t="str">
        <f>IFERROR(__xludf.DUMMYFUNCTION("REGEXREPLACE(D21, ""https://odysia-cruise-uk.client.prod.eu-west.dreamlake.io"", """")"),"/cruise-lines/oceania-cruises/oceania-riviera/cruises")</f>
        <v>/cruise-lines/oceania-cruises/oceania-riviera/cruises</v>
      </c>
    </row>
    <row r="22">
      <c r="A22" s="154" t="s">
        <v>254</v>
      </c>
      <c r="B22" s="152" t="str">
        <f>IFERROR(__xludf.DUMMYFUNCTION("REGEXREPLACE(A22, ""&lt;loc&gt;"", """")"),"https://odysia-cruise-uk.client.prod.eu-west.dreamlake.io/cruise-lines/cunard/queen-anne/cruises&lt;/loc&gt;")</f>
        <v>https://odysia-cruise-uk.client.prod.eu-west.dreamlake.io/cruise-lines/cunard/queen-anne/cruises&lt;/loc&gt;</v>
      </c>
      <c r="C22" s="153" t="str">
        <f>IFERROR(__xludf.DUMMYFUNCTION("REGEXREPLACE(B22, ""&lt;/loc&gt;"", """")"),"https://odysia-cruise-uk.client.prod.eu-west.dreamlake.io/cruise-lines/cunard/queen-anne/cruises")</f>
        <v>https://odysia-cruise-uk.client.prod.eu-west.dreamlake.io/cruise-lines/cunard/queen-anne/cruises</v>
      </c>
      <c r="D22" s="152" t="s">
        <v>255</v>
      </c>
      <c r="E22" s="152" t="str">
        <f>IFERROR(__xludf.DUMMYFUNCTION("REGEXREPLACE(D22, ""https://odysia-cruise-uk.client.prod.eu-west.dreamlake.io"", """")"),"/cruise-lines/cunard/queen-anne/cruises")</f>
        <v>/cruise-lines/cunard/queen-anne/cruises</v>
      </c>
    </row>
    <row r="23">
      <c r="A23" s="154" t="s">
        <v>256</v>
      </c>
      <c r="B23" s="152" t="str">
        <f>IFERROR(__xludf.DUMMYFUNCTION("REGEXREPLACE(A23, ""&lt;loc&gt;"", """")"),"https://odysia-cruise-uk.client.prod.eu-west.dreamlake.io/cruise-lines/norwegian-cruise-line/norwegian-dawn&lt;/loc&gt;")</f>
        <v>https://odysia-cruise-uk.client.prod.eu-west.dreamlake.io/cruise-lines/norwegian-cruise-line/norwegian-dawn&lt;/loc&gt;</v>
      </c>
      <c r="C23" s="153" t="str">
        <f>IFERROR(__xludf.DUMMYFUNCTION("REGEXREPLACE(B23, ""&lt;/loc&gt;"", """")"),"https://odysia-cruise-uk.client.prod.eu-west.dreamlake.io/cruise-lines/norwegian-cruise-line/norwegian-dawn")</f>
        <v>https://odysia-cruise-uk.client.prod.eu-west.dreamlake.io/cruise-lines/norwegian-cruise-line/norwegian-dawn</v>
      </c>
      <c r="D23" s="152" t="s">
        <v>257</v>
      </c>
      <c r="E23" s="152" t="str">
        <f>IFERROR(__xludf.DUMMYFUNCTION("REGEXREPLACE(D23, ""https://odysia-cruise-uk.client.prod.eu-west.dreamlake.io"", """")"),"/cruise-lines/norwegian-cruise-line/norwegian-dawn")</f>
        <v>/cruise-lines/norwegian-cruise-line/norwegian-dawn</v>
      </c>
    </row>
    <row r="24">
      <c r="A24" s="154" t="s">
        <v>258</v>
      </c>
      <c r="B24" s="152" t="str">
        <f>IFERROR(__xludf.DUMMYFUNCTION("REGEXREPLACE(A24, ""&lt;loc&gt;"", """")"),"https://odysia-cruise-uk.client.prod.eu-west.dreamlake.io/destinations/mediterranean-cruises&lt;/loc&gt;")</f>
        <v>https://odysia-cruise-uk.client.prod.eu-west.dreamlake.io/destinations/mediterranean-cruises&lt;/loc&gt;</v>
      </c>
      <c r="C24" s="153" t="str">
        <f>IFERROR(__xludf.DUMMYFUNCTION("REGEXREPLACE(B24, ""&lt;/loc&gt;"", """")"),"https://odysia-cruise-uk.client.prod.eu-west.dreamlake.io/destinations/mediterranean-cruises")</f>
        <v>https://odysia-cruise-uk.client.prod.eu-west.dreamlake.io/destinations/mediterranean-cruises</v>
      </c>
    </row>
    <row r="25">
      <c r="A25" s="154" t="s">
        <v>259</v>
      </c>
      <c r="B25" s="152" t="str">
        <f>IFERROR(__xludf.DUMMYFUNCTION("REGEXREPLACE(A25, ""&lt;loc&gt;"", """")"),"https://odysia-cruise-uk.client.prod.eu-west.dreamlake.io/cruise-lines/norwegian-cruise-line/norwegian-epic&lt;/loc&gt;")</f>
        <v>https://odysia-cruise-uk.client.prod.eu-west.dreamlake.io/cruise-lines/norwegian-cruise-line/norwegian-epic&lt;/loc&gt;</v>
      </c>
      <c r="C25" s="153" t="str">
        <f>IFERROR(__xludf.DUMMYFUNCTION("REGEXREPLACE(B25, ""&lt;/loc&gt;"", """")"),"https://odysia-cruise-uk.client.prod.eu-west.dreamlake.io/cruise-lines/norwegian-cruise-line/norwegian-epic")</f>
        <v>https://odysia-cruise-uk.client.prod.eu-west.dreamlake.io/cruise-lines/norwegian-cruise-line/norwegian-epic</v>
      </c>
      <c r="D25" s="152" t="s">
        <v>260</v>
      </c>
      <c r="E25" s="152" t="str">
        <f>IFERROR(__xludf.DUMMYFUNCTION("REGEXREPLACE(D25, ""https://odysia-cruise-uk.client.prod.eu-west.dreamlake.io"", """")"),"/cruise-lines/norwegian-cruise-line/norwegian-epic")</f>
        <v>/cruise-lines/norwegian-cruise-line/norwegian-epic</v>
      </c>
    </row>
    <row r="26">
      <c r="A26" s="154" t="s">
        <v>261</v>
      </c>
      <c r="B26" s="152" t="str">
        <f>IFERROR(__xludf.DUMMYFUNCTION("REGEXREPLACE(A26, ""&lt;loc&gt;"", """")"),"https://odysia-cruise-uk.client.prod.eu-west.dreamlake.io/cruise-lines/celebrity-cruises/celebrity-silhouette&lt;/loc&gt;")</f>
        <v>https://odysia-cruise-uk.client.prod.eu-west.dreamlake.io/cruise-lines/celebrity-cruises/celebrity-silhouette&lt;/loc&gt;</v>
      </c>
      <c r="C26" s="153" t="str">
        <f>IFERROR(__xludf.DUMMYFUNCTION("REGEXREPLACE(B26, ""&lt;/loc&gt;"", """")"),"https://odysia-cruise-uk.client.prod.eu-west.dreamlake.io/cruise-lines/celebrity-cruises/celebrity-silhouette")</f>
        <v>https://odysia-cruise-uk.client.prod.eu-west.dreamlake.io/cruise-lines/celebrity-cruises/celebrity-silhouette</v>
      </c>
      <c r="D26" s="152" t="s">
        <v>262</v>
      </c>
      <c r="E26" s="152" t="str">
        <f>IFERROR(__xludf.DUMMYFUNCTION("REGEXREPLACE(D26, ""https://odysia-cruise-uk.client.prod.eu-west.dreamlake.io"", """")"),"/cruise-lines/celebrity-cruises/celebrity-silhouette")</f>
        <v>/cruise-lines/celebrity-cruises/celebrity-silhouette</v>
      </c>
    </row>
    <row r="27">
      <c r="A27" s="154" t="s">
        <v>263</v>
      </c>
      <c r="B27" s="152" t="str">
        <f>IFERROR(__xludf.DUMMYFUNCTION("REGEXREPLACE(A27, ""&lt;loc&gt;"", """")"),"https://odysia-cruise-uk.client.prod.eu-west.dreamlake.io/destinations/usa-cruises&lt;/loc&gt;")</f>
        <v>https://odysia-cruise-uk.client.prod.eu-west.dreamlake.io/destinations/usa-cruises&lt;/loc&gt;</v>
      </c>
      <c r="C27" s="153" t="str">
        <f>IFERROR(__xludf.DUMMYFUNCTION("REGEXREPLACE(B27, ""&lt;/loc&gt;"", """")"),"https://odysia-cruise-uk.client.prod.eu-west.dreamlake.io/destinations/usa-cruises")</f>
        <v>https://odysia-cruise-uk.client.prod.eu-west.dreamlake.io/destinations/usa-cruises</v>
      </c>
    </row>
    <row r="28">
      <c r="A28" s="154" t="s">
        <v>264</v>
      </c>
      <c r="B28" s="152" t="str">
        <f>IFERROR(__xludf.DUMMYFUNCTION("REGEXREPLACE(A28, ""&lt;loc&gt;"", """")"),"https://odysia-cruise-uk.client.prod.eu-west.dreamlake.io/cruise-lines/royal-caribbean/radiance-of-the-seas/cruises&lt;/loc&gt;")</f>
        <v>https://odysia-cruise-uk.client.prod.eu-west.dreamlake.io/cruise-lines/royal-caribbean/radiance-of-the-seas/cruises&lt;/loc&gt;</v>
      </c>
      <c r="C28" s="153" t="str">
        <f>IFERROR(__xludf.DUMMYFUNCTION("REGEXREPLACE(B28, ""&lt;/loc&gt;"", """")"),"https://odysia-cruise-uk.client.prod.eu-west.dreamlake.io/cruise-lines/royal-caribbean/radiance-of-the-seas/cruises")</f>
        <v>https://odysia-cruise-uk.client.prod.eu-west.dreamlake.io/cruise-lines/royal-caribbean/radiance-of-the-seas/cruises</v>
      </c>
      <c r="D28" s="152" t="s">
        <v>265</v>
      </c>
      <c r="E28" s="152" t="str">
        <f>IFERROR(__xludf.DUMMYFUNCTION("REGEXREPLACE(D28, ""https://odysia-cruise-uk.client.prod.eu-west.dreamlake.io"", """")"),"/cruise-lines/royal-caribbean/radiance-of-the-seas/cruises")</f>
        <v>/cruise-lines/royal-caribbean/radiance-of-the-seas/cruises</v>
      </c>
    </row>
    <row r="29">
      <c r="A29" s="154" t="s">
        <v>266</v>
      </c>
      <c r="B29" s="152" t="str">
        <f>IFERROR(__xludf.DUMMYFUNCTION("REGEXREPLACE(A29, ""&lt;loc&gt;"", """")"),"https://odysia-cruise-uk.client.prod.eu-west.dreamlake.io/cruise-lines/holland-america-line/rotterdam&lt;/loc&gt;")</f>
        <v>https://odysia-cruise-uk.client.prod.eu-west.dreamlake.io/cruise-lines/holland-america-line/rotterdam&lt;/loc&gt;</v>
      </c>
      <c r="C29" s="153" t="str">
        <f>IFERROR(__xludf.DUMMYFUNCTION("REGEXREPLACE(B29, ""&lt;/loc&gt;"", """")"),"https://odysia-cruise-uk.client.prod.eu-west.dreamlake.io/cruise-lines/holland-america-line/rotterdam")</f>
        <v>https://odysia-cruise-uk.client.prod.eu-west.dreamlake.io/cruise-lines/holland-america-line/rotterdam</v>
      </c>
      <c r="D29" s="152" t="s">
        <v>267</v>
      </c>
      <c r="E29" s="152" t="str">
        <f>IFERROR(__xludf.DUMMYFUNCTION("REGEXREPLACE(D29, ""https://odysia-cruise-uk.client.prod.eu-west.dreamlake.io"", """")"),"/cruise-lines/holland-america-line/rotterdam")</f>
        <v>/cruise-lines/holland-america-line/rotterdam</v>
      </c>
    </row>
    <row r="30">
      <c r="A30" s="154" t="s">
        <v>268</v>
      </c>
      <c r="B30" s="152" t="str">
        <f>IFERROR(__xludf.DUMMYFUNCTION("REGEXREPLACE(A30, ""&lt;loc&gt;"", """")"),"https://odysia-cruise-uk.client.prod.eu-west.dreamlake.io/cruise-lines/royal-caribbean/anthem-of-the-seas&lt;/loc&gt;")</f>
        <v>https://odysia-cruise-uk.client.prod.eu-west.dreamlake.io/cruise-lines/royal-caribbean/anthem-of-the-seas&lt;/loc&gt;</v>
      </c>
      <c r="C30" s="153" t="str">
        <f>IFERROR(__xludf.DUMMYFUNCTION("REGEXREPLACE(B30, ""&lt;/loc&gt;"", """")"),"https://odysia-cruise-uk.client.prod.eu-west.dreamlake.io/cruise-lines/royal-caribbean/anthem-of-the-seas")</f>
        <v>https://odysia-cruise-uk.client.prod.eu-west.dreamlake.io/cruise-lines/royal-caribbean/anthem-of-the-seas</v>
      </c>
      <c r="D30" s="152" t="s">
        <v>269</v>
      </c>
      <c r="E30" s="152" t="str">
        <f>IFERROR(__xludf.DUMMYFUNCTION("REGEXREPLACE(D30, ""https://odysia-cruise-uk.client.prod.eu-west.dreamlake.io"", """")"),"/cruise-lines/royal-caribbean/anthem-of-the-seas")</f>
        <v>/cruise-lines/royal-caribbean/anthem-of-the-seas</v>
      </c>
    </row>
    <row r="31">
      <c r="A31" s="154" t="s">
        <v>270</v>
      </c>
      <c r="B31" s="152" t="str">
        <f>IFERROR(__xludf.DUMMYFUNCTION("REGEXREPLACE(A31, ""&lt;loc&gt;"", """")"),"https://odysia-cruise-uk.client.prod.eu-west.dreamlake.io/cruise-deals/cruises-from-southampton&lt;/loc&gt;")</f>
        <v>https://odysia-cruise-uk.client.prod.eu-west.dreamlake.io/cruise-deals/cruises-from-southampton&lt;/loc&gt;</v>
      </c>
      <c r="C31" s="153" t="str">
        <f>IFERROR(__xludf.DUMMYFUNCTION("REGEXREPLACE(B31, ""&lt;/loc&gt;"", """")"),"https://odysia-cruise-uk.client.prod.eu-west.dreamlake.io/cruise-deals/cruises-from-southampton")</f>
        <v>https://odysia-cruise-uk.client.prod.eu-west.dreamlake.io/cruise-deals/cruises-from-southampton</v>
      </c>
      <c r="D31" s="152" t="s">
        <v>271</v>
      </c>
    </row>
    <row r="32">
      <c r="A32" s="154" t="s">
        <v>272</v>
      </c>
      <c r="B32" s="152" t="str">
        <f>IFERROR(__xludf.DUMMYFUNCTION("REGEXREPLACE(A32, ""&lt;loc&gt;"", """")"),"https://odysia-cruise-uk.client.prod.eu-west.dreamlake.io/cruise-lines/celebrity-cruises/celebrity-silhouette/cruises&lt;/loc&gt;")</f>
        <v>https://odysia-cruise-uk.client.prod.eu-west.dreamlake.io/cruise-lines/celebrity-cruises/celebrity-silhouette/cruises&lt;/loc&gt;</v>
      </c>
      <c r="C32" s="153" t="str">
        <f>IFERROR(__xludf.DUMMYFUNCTION("REGEXREPLACE(B32, ""&lt;/loc&gt;"", """")"),"https://odysia-cruise-uk.client.prod.eu-west.dreamlake.io/cruise-lines/celebrity-cruises/celebrity-silhouette/cruises")</f>
        <v>https://odysia-cruise-uk.client.prod.eu-west.dreamlake.io/cruise-lines/celebrity-cruises/celebrity-silhouette/cruises</v>
      </c>
      <c r="D32" s="152" t="s">
        <v>273</v>
      </c>
      <c r="E32" s="152" t="str">
        <f>IFERROR(__xludf.DUMMYFUNCTION("REGEXREPLACE(D32, ""https://odysia-cruise-uk.client.prod.eu-west.dreamlake.io"", """")"),"/cruise-lines/celebrity-cruises/celebrity-silhouette/cruises")</f>
        <v>/cruise-lines/celebrity-cruises/celebrity-silhouette/cruises</v>
      </c>
    </row>
    <row r="33">
      <c r="A33" s="154" t="s">
        <v>274</v>
      </c>
      <c r="B33" s="152" t="str">
        <f>IFERROR(__xludf.DUMMYFUNCTION("REGEXREPLACE(A33, ""&lt;loc&gt;"", """")"),"https://odysia-cruise-uk.client.prod.eu-west.dreamlake.io/cruise-lines/royal-caribbean/enchantment-of-the-seas&lt;/loc&gt;")</f>
        <v>https://odysia-cruise-uk.client.prod.eu-west.dreamlake.io/cruise-lines/royal-caribbean/enchantment-of-the-seas&lt;/loc&gt;</v>
      </c>
      <c r="C33" s="153" t="str">
        <f>IFERROR(__xludf.DUMMYFUNCTION("REGEXREPLACE(B33, ""&lt;/loc&gt;"", """")"),"https://odysia-cruise-uk.client.prod.eu-west.dreamlake.io/cruise-lines/royal-caribbean/enchantment-of-the-seas")</f>
        <v>https://odysia-cruise-uk.client.prod.eu-west.dreamlake.io/cruise-lines/royal-caribbean/enchantment-of-the-seas</v>
      </c>
      <c r="D33" s="152" t="s">
        <v>275</v>
      </c>
      <c r="E33" s="152" t="str">
        <f>IFERROR(__xludf.DUMMYFUNCTION("REGEXREPLACE(D33, ""https://odysia-cruise-uk.client.prod.eu-west.dreamlake.io"", """")"),"/cruise-lines/royal-caribbean/enchantment-of-the-seas")</f>
        <v>/cruise-lines/royal-caribbean/enchantment-of-the-seas</v>
      </c>
    </row>
    <row r="34">
      <c r="A34" s="154" t="s">
        <v>276</v>
      </c>
      <c r="B34" s="152" t="str">
        <f>IFERROR(__xludf.DUMMYFUNCTION("REGEXREPLACE(A34, ""&lt;loc&gt;"", """")"),"https://odysia-cruise-uk.client.prod.eu-west.dreamlake.io/cruise-lines/norwegian-cruise-line/norwegian-gem/cruises&lt;/loc&gt;")</f>
        <v>https://odysia-cruise-uk.client.prod.eu-west.dreamlake.io/cruise-lines/norwegian-cruise-line/norwegian-gem/cruises&lt;/loc&gt;</v>
      </c>
      <c r="C34" s="153" t="str">
        <f>IFERROR(__xludf.DUMMYFUNCTION("REGEXREPLACE(B34, ""&lt;/loc&gt;"", """")"),"https://odysia-cruise-uk.client.prod.eu-west.dreamlake.io/cruise-lines/norwegian-cruise-line/norwegian-gem/cruises")</f>
        <v>https://odysia-cruise-uk.client.prod.eu-west.dreamlake.io/cruise-lines/norwegian-cruise-line/norwegian-gem/cruises</v>
      </c>
      <c r="D34" s="152" t="s">
        <v>277</v>
      </c>
      <c r="E34" s="152" t="str">
        <f>IFERROR(__xludf.DUMMYFUNCTION("REGEXREPLACE(D34, ""https://odysia-cruise-uk.client.prod.eu-west.dreamlake.io"", """")"),"/cruise-lines/norwegian-cruise-line/norwegian-gem/cruises")</f>
        <v>/cruise-lines/norwegian-cruise-line/norwegian-gem/cruises</v>
      </c>
    </row>
    <row r="35">
      <c r="A35" s="154" t="s">
        <v>278</v>
      </c>
      <c r="B35" s="152" t="str">
        <f>IFERROR(__xludf.DUMMYFUNCTION("REGEXREPLACE(A35, ""&lt;loc&gt;"", """")"),"https://odysia-cruise-uk.client.prod.eu-west.dreamlake.io/cruise-lines/virgin-voyages/scarlet-lady/cruises&lt;/loc&gt;")</f>
        <v>https://odysia-cruise-uk.client.prod.eu-west.dreamlake.io/cruise-lines/virgin-voyages/scarlet-lady/cruises&lt;/loc&gt;</v>
      </c>
      <c r="C35" s="153" t="str">
        <f>IFERROR(__xludf.DUMMYFUNCTION("REGEXREPLACE(B35, ""&lt;/loc&gt;"", """")"),"https://odysia-cruise-uk.client.prod.eu-west.dreamlake.io/cruise-lines/virgin-voyages/scarlet-lady/cruises")</f>
        <v>https://odysia-cruise-uk.client.prod.eu-west.dreamlake.io/cruise-lines/virgin-voyages/scarlet-lady/cruises</v>
      </c>
      <c r="D35" s="152" t="s">
        <v>279</v>
      </c>
      <c r="E35" s="152" t="str">
        <f>IFERROR(__xludf.DUMMYFUNCTION("REGEXREPLACE(D35, ""https://odysia-cruise-uk.client.prod.eu-west.dreamlake.io"", """")"),"/cruise-lines/virgin-voyages/scarlet-lady/cruises")</f>
        <v>/cruise-lines/virgin-voyages/scarlet-lady/cruises</v>
      </c>
    </row>
    <row r="36">
      <c r="A36" s="154" t="s">
        <v>280</v>
      </c>
      <c r="B36" s="152" t="str">
        <f>IFERROR(__xludf.DUMMYFUNCTION("REGEXREPLACE(A36, ""&lt;loc&gt;"", """")"),"https://odysia-cruise-uk.client.prod.eu-west.dreamlake.io/cruise-lines/msc-cruises/msc-splendida/cruises&lt;/loc&gt;")</f>
        <v>https://odysia-cruise-uk.client.prod.eu-west.dreamlake.io/cruise-lines/msc-cruises/msc-splendida/cruises&lt;/loc&gt;</v>
      </c>
      <c r="C36" s="153" t="str">
        <f>IFERROR(__xludf.DUMMYFUNCTION("REGEXREPLACE(B36, ""&lt;/loc&gt;"", """")"),"https://odysia-cruise-uk.client.prod.eu-west.dreamlake.io/cruise-lines/msc-cruises/msc-splendida/cruises")</f>
        <v>https://odysia-cruise-uk.client.prod.eu-west.dreamlake.io/cruise-lines/msc-cruises/msc-splendida/cruises</v>
      </c>
      <c r="D36" s="152" t="s">
        <v>281</v>
      </c>
      <c r="E36" s="152" t="str">
        <f>IFERROR(__xludf.DUMMYFUNCTION("REGEXREPLACE(D36, ""https://odysia-cruise-uk.client.prod.eu-west.dreamlake.io"", """")"),"/cruise-lines/msc-cruises/msc-splendida/cruises")</f>
        <v>/cruise-lines/msc-cruises/msc-splendida/cruises</v>
      </c>
    </row>
    <row r="37">
      <c r="A37" s="154" t="s">
        <v>282</v>
      </c>
      <c r="B37" s="152" t="str">
        <f>IFERROR(__xludf.DUMMYFUNCTION("REGEXREPLACE(A37, ""&lt;loc&gt;"", """")"),"https://odysia-cruise-uk.client.prod.eu-west.dreamlake.io/cruise-lines/norwegian-cruise-line/norwegian-dawn/cruises&lt;/loc&gt;")</f>
        <v>https://odysia-cruise-uk.client.prod.eu-west.dreamlake.io/cruise-lines/norwegian-cruise-line/norwegian-dawn/cruises&lt;/loc&gt;</v>
      </c>
      <c r="C37" s="153" t="str">
        <f>IFERROR(__xludf.DUMMYFUNCTION("REGEXREPLACE(B37, ""&lt;/loc&gt;"", """")"),"https://odysia-cruise-uk.client.prod.eu-west.dreamlake.io/cruise-lines/norwegian-cruise-line/norwegian-dawn/cruises")</f>
        <v>https://odysia-cruise-uk.client.prod.eu-west.dreamlake.io/cruise-lines/norwegian-cruise-line/norwegian-dawn/cruises</v>
      </c>
      <c r="D37" s="152" t="s">
        <v>283</v>
      </c>
      <c r="E37" s="152" t="str">
        <f>IFERROR(__xludf.DUMMYFUNCTION("REGEXREPLACE(D37, ""https://odysia-cruise-uk.client.prod.eu-west.dreamlake.io"", """")"),"/cruise-lines/norwegian-cruise-line/norwegian-dawn/cruises")</f>
        <v>/cruise-lines/norwegian-cruise-line/norwegian-dawn/cruises</v>
      </c>
    </row>
    <row r="38">
      <c r="A38" s="154" t="s">
        <v>284</v>
      </c>
      <c r="B38" s="152" t="str">
        <f>IFERROR(__xludf.DUMMYFUNCTION("REGEXREPLACE(A38, ""&lt;loc&gt;"", """")"),"https://odysia-cruise-uk.client.prod.eu-west.dreamlake.io/cruise-lines/msc-cruises/msc-seascape&lt;/loc&gt;")</f>
        <v>https://odysia-cruise-uk.client.prod.eu-west.dreamlake.io/cruise-lines/msc-cruises/msc-seascape&lt;/loc&gt;</v>
      </c>
      <c r="C38" s="153" t="str">
        <f>IFERROR(__xludf.DUMMYFUNCTION("REGEXREPLACE(B38, ""&lt;/loc&gt;"", """")"),"https://odysia-cruise-uk.client.prod.eu-west.dreamlake.io/cruise-lines/msc-cruises/msc-seascape")</f>
        <v>https://odysia-cruise-uk.client.prod.eu-west.dreamlake.io/cruise-lines/msc-cruises/msc-seascape</v>
      </c>
      <c r="D38" s="152" t="s">
        <v>285</v>
      </c>
      <c r="E38" s="152" t="str">
        <f>IFERROR(__xludf.DUMMYFUNCTION("REGEXREPLACE(D38, ""https://odysia-cruise-uk.client.prod.eu-west.dreamlake.io"", """")"),"/cruise-lines/msc-cruises/msc-seascape")</f>
        <v>/cruise-lines/msc-cruises/msc-seascape</v>
      </c>
    </row>
    <row r="39">
      <c r="A39" s="154" t="s">
        <v>286</v>
      </c>
      <c r="B39" s="152" t="str">
        <f>IFERROR(__xludf.DUMMYFUNCTION("REGEXREPLACE(A39, ""&lt;loc&gt;"", """")"),"https://odysia-cruise-uk.client.prod.eu-west.dreamlake.io/cruise-lines/msc-cruises/cruises&lt;/loc&gt;")</f>
        <v>https://odysia-cruise-uk.client.prod.eu-west.dreamlake.io/cruise-lines/msc-cruises/cruises&lt;/loc&gt;</v>
      </c>
      <c r="C39" s="153" t="str">
        <f>IFERROR(__xludf.DUMMYFUNCTION("REGEXREPLACE(B39, ""&lt;/loc&gt;"", """")"),"https://odysia-cruise-uk.client.prod.eu-west.dreamlake.io/cruise-lines/msc-cruises/cruises")</f>
        <v>https://odysia-cruise-uk.client.prod.eu-west.dreamlake.io/cruise-lines/msc-cruises/cruises</v>
      </c>
      <c r="D39" s="152" t="s">
        <v>287</v>
      </c>
      <c r="E39" s="152" t="str">
        <f>IFERROR(__xludf.DUMMYFUNCTION("REGEXREPLACE(D39, ""https://odysia-cruise-uk.client.prod.eu-west.dreamlake.io"", """")"),"/cruise-lines/msc-cruises/cruises")</f>
        <v>/cruise-lines/msc-cruises/cruises</v>
      </c>
    </row>
    <row r="40">
      <c r="A40" s="154" t="s">
        <v>288</v>
      </c>
      <c r="B40" s="152" t="str">
        <f>IFERROR(__xludf.DUMMYFUNCTION("REGEXREPLACE(A40, ""&lt;loc&gt;"", """")"),"https://odysia-cruise-uk.client.prod.eu-west.dreamlake.io/cruise-lines/virgin-voyages/valiant-lady/cruises&lt;/loc&gt;")</f>
        <v>https://odysia-cruise-uk.client.prod.eu-west.dreamlake.io/cruise-lines/virgin-voyages/valiant-lady/cruises&lt;/loc&gt;</v>
      </c>
      <c r="C40" s="153" t="str">
        <f>IFERROR(__xludf.DUMMYFUNCTION("REGEXREPLACE(B40, ""&lt;/loc&gt;"", """")"),"https://odysia-cruise-uk.client.prod.eu-west.dreamlake.io/cruise-lines/virgin-voyages/valiant-lady/cruises")</f>
        <v>https://odysia-cruise-uk.client.prod.eu-west.dreamlake.io/cruise-lines/virgin-voyages/valiant-lady/cruises</v>
      </c>
      <c r="D40" s="152" t="s">
        <v>289</v>
      </c>
      <c r="E40" s="152" t="str">
        <f>IFERROR(__xludf.DUMMYFUNCTION("REGEXREPLACE(D40, ""https://odysia-cruise-uk.client.prod.eu-west.dreamlake.io"", """")"),"/cruise-lines/virgin-voyages/valiant-lady/cruises")</f>
        <v>/cruise-lines/virgin-voyages/valiant-lady/cruises</v>
      </c>
    </row>
    <row r="41">
      <c r="A41" s="154" t="s">
        <v>290</v>
      </c>
      <c r="B41" s="152" t="str">
        <f>IFERROR(__xludf.DUMMYFUNCTION("REGEXREPLACE(A41, ""&lt;loc&gt;"", """")"),"https://odysia-cruise-uk.client.prod.eu-west.dreamlake.io/cruise-deals/fly-cruise-deals&lt;/loc&gt;")</f>
        <v>https://odysia-cruise-uk.client.prod.eu-west.dreamlake.io/cruise-deals/fly-cruise-deals&lt;/loc&gt;</v>
      </c>
      <c r="C41" s="153" t="str">
        <f>IFERROR(__xludf.DUMMYFUNCTION("REGEXREPLACE(B41, ""&lt;/loc&gt;"", """")"),"https://odysia-cruise-uk.client.prod.eu-west.dreamlake.io/cruise-deals/fly-cruise-deals")</f>
        <v>https://odysia-cruise-uk.client.prod.eu-west.dreamlake.io/cruise-deals/fly-cruise-deals</v>
      </c>
      <c r="D41" s="152" t="s">
        <v>291</v>
      </c>
    </row>
    <row r="42">
      <c r="A42" s="154" t="s">
        <v>292</v>
      </c>
      <c r="B42" s="152" t="str">
        <f>IFERROR(__xludf.DUMMYFUNCTION("REGEXREPLACE(A42, ""&lt;loc&gt;"", """")"),"https://odysia-cruise-uk.client.prod.eu-west.dreamlake.io/cruise-lines/virgin-voyages/cruises&lt;/loc&gt;")</f>
        <v>https://odysia-cruise-uk.client.prod.eu-west.dreamlake.io/cruise-lines/virgin-voyages/cruises&lt;/loc&gt;</v>
      </c>
      <c r="C42" s="153" t="str">
        <f>IFERROR(__xludf.DUMMYFUNCTION("REGEXREPLACE(B42, ""&lt;/loc&gt;"", """")"),"https://odysia-cruise-uk.client.prod.eu-west.dreamlake.io/cruise-lines/virgin-voyages/cruises")</f>
        <v>https://odysia-cruise-uk.client.prod.eu-west.dreamlake.io/cruise-lines/virgin-voyages/cruises</v>
      </c>
      <c r="D42" s="152" t="s">
        <v>293</v>
      </c>
      <c r="E42" s="152" t="str">
        <f>IFERROR(__xludf.DUMMYFUNCTION("REGEXREPLACE(D42, ""https://odysia-cruise-uk.client.prod.eu-west.dreamlake.io"", """")"),"/cruise-lines/virgin-voyages/cruises")</f>
        <v>/cruise-lines/virgin-voyages/cruises</v>
      </c>
    </row>
    <row r="43">
      <c r="A43" s="154" t="s">
        <v>294</v>
      </c>
      <c r="B43" s="152" t="str">
        <f>IFERROR(__xludf.DUMMYFUNCTION("REGEXREPLACE(A43, ""&lt;loc&gt;"", """")"),"https://odysia-cruise-uk.client.prod.eu-west.dreamlake.io/cruise-lines/royal-caribbean/vision-of-the-seas&lt;/loc&gt;")</f>
        <v>https://odysia-cruise-uk.client.prod.eu-west.dreamlake.io/cruise-lines/royal-caribbean/vision-of-the-seas&lt;/loc&gt;</v>
      </c>
      <c r="C43" s="153" t="str">
        <f>IFERROR(__xludf.DUMMYFUNCTION("REGEXREPLACE(B43, ""&lt;/loc&gt;"", """")"),"https://odysia-cruise-uk.client.prod.eu-west.dreamlake.io/cruise-lines/royal-caribbean/vision-of-the-seas")</f>
        <v>https://odysia-cruise-uk.client.prod.eu-west.dreamlake.io/cruise-lines/royal-caribbean/vision-of-the-seas</v>
      </c>
      <c r="D43" s="152" t="s">
        <v>295</v>
      </c>
      <c r="E43" s="152" t="str">
        <f>IFERROR(__xludf.DUMMYFUNCTION("REGEXREPLACE(D43, ""https://odysia-cruise-uk.client.prod.eu-west.dreamlake.io"", """")"),"/cruise-lines/royal-caribbean/vision-of-the-seas")</f>
        <v>/cruise-lines/royal-caribbean/vision-of-the-seas</v>
      </c>
    </row>
    <row r="44">
      <c r="A44" s="154" t="s">
        <v>296</v>
      </c>
      <c r="B44" s="152" t="str">
        <f>IFERROR(__xludf.DUMMYFUNCTION("REGEXREPLACE(A44, ""&lt;loc&gt;"", """")"),"https://odysia-cruise-uk.client.prod.eu-west.dreamlake.io/cruise-lines/explora-journeys/explora-iii/cruises&lt;/loc&gt;")</f>
        <v>https://odysia-cruise-uk.client.prod.eu-west.dreamlake.io/cruise-lines/explora-journeys/explora-iii/cruises&lt;/loc&gt;</v>
      </c>
      <c r="C44" s="153" t="str">
        <f>IFERROR(__xludf.DUMMYFUNCTION("REGEXREPLACE(B44, ""&lt;/loc&gt;"", """")"),"https://odysia-cruise-uk.client.prod.eu-west.dreamlake.io/cruise-lines/explora-journeys/explora-iii/cruises")</f>
        <v>https://odysia-cruise-uk.client.prod.eu-west.dreamlake.io/cruise-lines/explora-journeys/explora-iii/cruises</v>
      </c>
      <c r="D44" s="152" t="s">
        <v>297</v>
      </c>
      <c r="E44" s="152" t="str">
        <f>IFERROR(__xludf.DUMMYFUNCTION("REGEXREPLACE(D44, ""https://odysia-cruise-uk.client.prod.eu-west.dreamlake.io"", """")"),"/cruise-lines/explora-journeys/explora-iii/cruises")</f>
        <v>/cruise-lines/explora-journeys/explora-iii/cruises</v>
      </c>
    </row>
    <row r="45">
      <c r="A45" s="154" t="s">
        <v>298</v>
      </c>
      <c r="B45" s="152" t="str">
        <f>IFERROR(__xludf.DUMMYFUNCTION("REGEXREPLACE(A45, ""&lt;loc&gt;"", """")"),"https://odysia-cruise-uk.client.prod.eu-west.dreamlake.io/cruise-lines/holland-america-line/nieuw-amsterdam/cruises&lt;/loc&gt;")</f>
        <v>https://odysia-cruise-uk.client.prod.eu-west.dreamlake.io/cruise-lines/holland-america-line/nieuw-amsterdam/cruises&lt;/loc&gt;</v>
      </c>
      <c r="C45" s="153" t="str">
        <f>IFERROR(__xludf.DUMMYFUNCTION("REGEXREPLACE(B45, ""&lt;/loc&gt;"", """")"),"https://odysia-cruise-uk.client.prod.eu-west.dreamlake.io/cruise-lines/holland-america-line/nieuw-amsterdam/cruises")</f>
        <v>https://odysia-cruise-uk.client.prod.eu-west.dreamlake.io/cruise-lines/holland-america-line/nieuw-amsterdam/cruises</v>
      </c>
      <c r="D45" s="152" t="s">
        <v>299</v>
      </c>
      <c r="E45" s="152" t="str">
        <f>IFERROR(__xludf.DUMMYFUNCTION("REGEXREPLACE(D45, ""https://odysia-cruise-uk.client.prod.eu-west.dreamlake.io"", """")"),"/cruise-lines/holland-america-line/nieuw-amsterdam/cruises")</f>
        <v>/cruise-lines/holland-america-line/nieuw-amsterdam/cruises</v>
      </c>
    </row>
    <row r="46">
      <c r="A46" s="154" t="s">
        <v>300</v>
      </c>
      <c r="B46" s="152" t="str">
        <f>IFERROR(__xludf.DUMMYFUNCTION("REGEXREPLACE(A46, ""&lt;loc&gt;"", """")"),"https://odysia-cruise-uk.client.prod.eu-west.dreamlake.io/cruise-lines/holland-america-line/eurodam&lt;/loc&gt;")</f>
        <v>https://odysia-cruise-uk.client.prod.eu-west.dreamlake.io/cruise-lines/holland-america-line/eurodam&lt;/loc&gt;</v>
      </c>
      <c r="C46" s="153" t="str">
        <f>IFERROR(__xludf.DUMMYFUNCTION("REGEXREPLACE(B46, ""&lt;/loc&gt;"", """")"),"https://odysia-cruise-uk.client.prod.eu-west.dreamlake.io/cruise-lines/holland-america-line/eurodam")</f>
        <v>https://odysia-cruise-uk.client.prod.eu-west.dreamlake.io/cruise-lines/holland-america-line/eurodam</v>
      </c>
      <c r="D46" s="152" t="s">
        <v>301</v>
      </c>
      <c r="E46" s="152" t="str">
        <f>IFERROR(__xludf.DUMMYFUNCTION("REGEXREPLACE(D46, ""https://odysia-cruise-uk.client.prod.eu-west.dreamlake.io"", """")"),"/cruise-lines/holland-america-line/eurodam")</f>
        <v>/cruise-lines/holland-america-line/eurodam</v>
      </c>
    </row>
    <row r="47">
      <c r="A47" s="154" t="s">
        <v>302</v>
      </c>
      <c r="B47" s="152" t="str">
        <f>IFERROR(__xludf.DUMMYFUNCTION("REGEXREPLACE(A47, ""&lt;loc&gt;"", """")"),"https://odysia-cruise-uk.client.prod.eu-west.dreamlake.io/cruise-lines/princess-cruises/majestic-princess&lt;/loc&gt;")</f>
        <v>https://odysia-cruise-uk.client.prod.eu-west.dreamlake.io/cruise-lines/princess-cruises/majestic-princess&lt;/loc&gt;</v>
      </c>
      <c r="C47" s="153" t="str">
        <f>IFERROR(__xludf.DUMMYFUNCTION("REGEXREPLACE(B47, ""&lt;/loc&gt;"", """")"),"https://odysia-cruise-uk.client.prod.eu-west.dreamlake.io/cruise-lines/princess-cruises/majestic-princess")</f>
        <v>https://odysia-cruise-uk.client.prod.eu-west.dreamlake.io/cruise-lines/princess-cruises/majestic-princess</v>
      </c>
      <c r="D47" s="152" t="s">
        <v>303</v>
      </c>
      <c r="E47" s="152" t="str">
        <f>IFERROR(__xludf.DUMMYFUNCTION("REGEXREPLACE(D47, ""https://odysia-cruise-uk.client.prod.eu-west.dreamlake.io"", """")"),"/cruise-lines/princess-cruises/majestic-princess")</f>
        <v>/cruise-lines/princess-cruises/majestic-princess</v>
      </c>
    </row>
    <row r="48">
      <c r="A48" s="154" t="s">
        <v>304</v>
      </c>
      <c r="B48" s="152" t="str">
        <f>IFERROR(__xludf.DUMMYFUNCTION("REGEXREPLACE(A48, ""&lt;loc&gt;"", """")"),"https://odysia-cruise-uk.client.prod.eu-west.dreamlake.io/cruise-lines/oceania-cruises/oceania-nautica/cruises&lt;/loc&gt;")</f>
        <v>https://odysia-cruise-uk.client.prod.eu-west.dreamlake.io/cruise-lines/oceania-cruises/oceania-nautica/cruises&lt;/loc&gt;</v>
      </c>
      <c r="C48" s="153" t="str">
        <f>IFERROR(__xludf.DUMMYFUNCTION("REGEXREPLACE(B48, ""&lt;/loc&gt;"", """")"),"https://odysia-cruise-uk.client.prod.eu-west.dreamlake.io/cruise-lines/oceania-cruises/oceania-nautica/cruises")</f>
        <v>https://odysia-cruise-uk.client.prod.eu-west.dreamlake.io/cruise-lines/oceania-cruises/oceania-nautica/cruises</v>
      </c>
      <c r="D48" s="152" t="s">
        <v>305</v>
      </c>
      <c r="E48" s="152" t="str">
        <f>IFERROR(__xludf.DUMMYFUNCTION("REGEXREPLACE(D48, ""https://odysia-cruise-uk.client.prod.eu-west.dreamlake.io"", """")"),"/cruise-lines/oceania-cruises/oceania-nautica/cruises")</f>
        <v>/cruise-lines/oceania-cruises/oceania-nautica/cruises</v>
      </c>
    </row>
    <row r="49">
      <c r="A49" s="154" t="s">
        <v>306</v>
      </c>
      <c r="B49" s="152" t="str">
        <f>IFERROR(__xludf.DUMMYFUNCTION("REGEXREPLACE(A49, ""&lt;loc&gt;"", """")"),"https://odysia-cruise-uk.client.prod.eu-west.dreamlake.io/cruise-lines/holland-america-line/koningsdam&lt;/loc&gt;")</f>
        <v>https://odysia-cruise-uk.client.prod.eu-west.dreamlake.io/cruise-lines/holland-america-line/koningsdam&lt;/loc&gt;</v>
      </c>
      <c r="C49" s="153" t="str">
        <f>IFERROR(__xludf.DUMMYFUNCTION("REGEXREPLACE(B49, ""&lt;/loc&gt;"", """")"),"https://odysia-cruise-uk.client.prod.eu-west.dreamlake.io/cruise-lines/holland-america-line/koningsdam")</f>
        <v>https://odysia-cruise-uk.client.prod.eu-west.dreamlake.io/cruise-lines/holland-america-line/koningsdam</v>
      </c>
      <c r="D49" s="152" t="s">
        <v>307</v>
      </c>
      <c r="E49" s="152" t="str">
        <f>IFERROR(__xludf.DUMMYFUNCTION("REGEXREPLACE(D49, ""https://odysia-cruise-uk.client.prod.eu-west.dreamlake.io"", """")"),"/cruise-lines/holland-america-line/koningsdam")</f>
        <v>/cruise-lines/holland-america-line/koningsdam</v>
      </c>
    </row>
    <row r="50">
      <c r="A50" s="154" t="s">
        <v>308</v>
      </c>
      <c r="B50" s="152" t="str">
        <f>IFERROR(__xludf.DUMMYFUNCTION("REGEXREPLACE(A50, ""&lt;loc&gt;"", """")"),"https://odysia-cruise-uk.client.prod.eu-west.dreamlake.io/cruise-lines/oceania-cruises/cruises&lt;/loc&gt;")</f>
        <v>https://odysia-cruise-uk.client.prod.eu-west.dreamlake.io/cruise-lines/oceania-cruises/cruises&lt;/loc&gt;</v>
      </c>
      <c r="C50" s="153" t="str">
        <f>IFERROR(__xludf.DUMMYFUNCTION("REGEXREPLACE(B50, ""&lt;/loc&gt;"", """")"),"https://odysia-cruise-uk.client.prod.eu-west.dreamlake.io/cruise-lines/oceania-cruises/cruises")</f>
        <v>https://odysia-cruise-uk.client.prod.eu-west.dreamlake.io/cruise-lines/oceania-cruises/cruises</v>
      </c>
      <c r="D50" s="152" t="s">
        <v>309</v>
      </c>
      <c r="E50" s="152" t="str">
        <f>IFERROR(__xludf.DUMMYFUNCTION("REGEXREPLACE(D50, ""https://odysia-cruise-uk.client.prod.eu-west.dreamlake.io"", """")"),"/cruise-lines/oceania-cruises/cruises")</f>
        <v>/cruise-lines/oceania-cruises/cruises</v>
      </c>
    </row>
    <row r="51">
      <c r="A51" s="154" t="s">
        <v>310</v>
      </c>
      <c r="B51" s="152" t="str">
        <f>IFERROR(__xludf.DUMMYFUNCTION("REGEXREPLACE(A51, ""&lt;loc&gt;"", """")"),"https://odysia-cruise-uk.client.prod.eu-west.dreamlake.io/cruise-lines/msc-cruises/msc-euribia/cruises&lt;/loc&gt;")</f>
        <v>https://odysia-cruise-uk.client.prod.eu-west.dreamlake.io/cruise-lines/msc-cruises/msc-euribia/cruises&lt;/loc&gt;</v>
      </c>
      <c r="C51" s="153" t="str">
        <f>IFERROR(__xludf.DUMMYFUNCTION("REGEXREPLACE(B51, ""&lt;/loc&gt;"", """")"),"https://odysia-cruise-uk.client.prod.eu-west.dreamlake.io/cruise-lines/msc-cruises/msc-euribia/cruises")</f>
        <v>https://odysia-cruise-uk.client.prod.eu-west.dreamlake.io/cruise-lines/msc-cruises/msc-euribia/cruises</v>
      </c>
      <c r="D51" s="152" t="s">
        <v>311</v>
      </c>
      <c r="E51" s="152" t="str">
        <f>IFERROR(__xludf.DUMMYFUNCTION("REGEXREPLACE(D51, ""https://odysia-cruise-uk.client.prod.eu-west.dreamlake.io"", """")"),"/cruise-lines/msc-cruises/msc-euribia/cruises")</f>
        <v>/cruise-lines/msc-cruises/msc-euribia/cruises</v>
      </c>
    </row>
    <row r="52">
      <c r="A52" s="154" t="s">
        <v>312</v>
      </c>
      <c r="B52" s="152" t="str">
        <f>IFERROR(__xludf.DUMMYFUNCTION("REGEXREPLACE(A52, ""&lt;loc&gt;"", """")"),"https://odysia-cruise-uk.client.prod.eu-west.dreamlake.io/cruise-calendar/north-america-cruises&lt;/loc&gt;")</f>
        <v>https://odysia-cruise-uk.client.prod.eu-west.dreamlake.io/cruise-calendar/north-america-cruises&lt;/loc&gt;</v>
      </c>
      <c r="C52" s="153" t="str">
        <f>IFERROR(__xludf.DUMMYFUNCTION("REGEXREPLACE(B52, ""&lt;/loc&gt;"", """")"),"https://odysia-cruise-uk.client.prod.eu-west.dreamlake.io/cruise-calendar/north-america-cruises")</f>
        <v>https://odysia-cruise-uk.client.prod.eu-west.dreamlake.io/cruise-calendar/north-america-cruises</v>
      </c>
    </row>
    <row r="53">
      <c r="A53" s="154" t="s">
        <v>313</v>
      </c>
      <c r="B53" s="152" t="str">
        <f>IFERROR(__xludf.DUMMYFUNCTION("REGEXREPLACE(A53, ""&lt;loc&gt;"", """")"),"https://odysia-cruise-uk.client.prod.eu-west.dreamlake.io/destinations/norway-norwegian-fjords-cruises&lt;/loc&gt;")</f>
        <v>https://odysia-cruise-uk.client.prod.eu-west.dreamlake.io/destinations/norway-norwegian-fjords-cruises&lt;/loc&gt;</v>
      </c>
      <c r="C53" s="153" t="str">
        <f>IFERROR(__xludf.DUMMYFUNCTION("REGEXREPLACE(B53, ""&lt;/loc&gt;"", """")"),"https://odysia-cruise-uk.client.prod.eu-west.dreamlake.io/destinations/norway-norwegian-fjords-cruises")</f>
        <v>https://odysia-cruise-uk.client.prod.eu-west.dreamlake.io/destinations/norway-norwegian-fjords-cruises</v>
      </c>
    </row>
    <row r="54">
      <c r="A54" s="154" t="s">
        <v>314</v>
      </c>
      <c r="B54" s="152" t="str">
        <f>IFERROR(__xludf.DUMMYFUNCTION("REGEXREPLACE(A54, ""&lt;loc&gt;"", """")"),"https://odysia-cruise-uk.client.prod.eu-west.dreamlake.io/cruise-lines/msc-cruises/msc-euribia&lt;/loc&gt;")</f>
        <v>https://odysia-cruise-uk.client.prod.eu-west.dreamlake.io/cruise-lines/msc-cruises/msc-euribia&lt;/loc&gt;</v>
      </c>
      <c r="C54" s="153" t="str">
        <f>IFERROR(__xludf.DUMMYFUNCTION("REGEXREPLACE(B54, ""&lt;/loc&gt;"", """")"),"https://odysia-cruise-uk.client.prod.eu-west.dreamlake.io/cruise-lines/msc-cruises/msc-euribia")</f>
        <v>https://odysia-cruise-uk.client.prod.eu-west.dreamlake.io/cruise-lines/msc-cruises/msc-euribia</v>
      </c>
      <c r="D54" s="152" t="s">
        <v>315</v>
      </c>
      <c r="E54" s="152" t="str">
        <f>IFERROR(__xludf.DUMMYFUNCTION("REGEXREPLACE(D54, ""https://odysia-cruise-uk.client.prod.eu-west.dreamlake.io"", """")"),"/cruise-lines/msc-cruises/msc-euribia")</f>
        <v>/cruise-lines/msc-cruises/msc-euribia</v>
      </c>
    </row>
    <row r="55">
      <c r="A55" s="154" t="s">
        <v>316</v>
      </c>
      <c r="B55" s="152" t="str">
        <f>IFERROR(__xludf.DUMMYFUNCTION("REGEXREPLACE(A55, ""&lt;loc&gt;"", """")"),"https://odysia-cruise-uk.client.prod.eu-west.dreamlake.io/cruise-deals/cruises-from-the-uk&lt;/loc&gt;")</f>
        <v>https://odysia-cruise-uk.client.prod.eu-west.dreamlake.io/cruise-deals/cruises-from-the-uk&lt;/loc&gt;</v>
      </c>
      <c r="C55" s="153" t="str">
        <f>IFERROR(__xludf.DUMMYFUNCTION("REGEXREPLACE(B55, ""&lt;/loc&gt;"", """")"),"https://odysia-cruise-uk.client.prod.eu-west.dreamlake.io/cruise-deals/cruises-from-the-uk")</f>
        <v>https://odysia-cruise-uk.client.prod.eu-west.dreamlake.io/cruise-deals/cruises-from-the-uk</v>
      </c>
      <c r="D55" s="152" t="s">
        <v>317</v>
      </c>
    </row>
    <row r="56">
      <c r="A56" s="154" t="s">
        <v>318</v>
      </c>
      <c r="B56" s="152" t="str">
        <f>IFERROR(__xludf.DUMMYFUNCTION("REGEXREPLACE(A56, ""&lt;loc&gt;"", """")"),"https://odysia-cruise-uk.client.prod.eu-west.dreamlake.io/cruise-lines/norwegian-cruise-line/norwegian-prima/cruises&lt;/loc&gt;")</f>
        <v>https://odysia-cruise-uk.client.prod.eu-west.dreamlake.io/cruise-lines/norwegian-cruise-line/norwegian-prima/cruises&lt;/loc&gt;</v>
      </c>
      <c r="C56" s="153" t="str">
        <f>IFERROR(__xludf.DUMMYFUNCTION("REGEXREPLACE(B56, ""&lt;/loc&gt;"", """")"),"https://odysia-cruise-uk.client.prod.eu-west.dreamlake.io/cruise-lines/norwegian-cruise-line/norwegian-prima/cruises")</f>
        <v>https://odysia-cruise-uk.client.prod.eu-west.dreamlake.io/cruise-lines/norwegian-cruise-line/norwegian-prima/cruises</v>
      </c>
      <c r="D56" s="152" t="s">
        <v>319</v>
      </c>
      <c r="E56" s="152" t="str">
        <f>IFERROR(__xludf.DUMMYFUNCTION("REGEXREPLACE(D56, ""https://odysia-cruise-uk.client.prod.eu-west.dreamlake.io"", """")"),"/cruise-lines/norwegian-cruise-line/norwegian-prima/cruises")</f>
        <v>/cruise-lines/norwegian-cruise-line/norwegian-prima/cruises</v>
      </c>
    </row>
    <row r="57">
      <c r="A57" s="154" t="s">
        <v>320</v>
      </c>
      <c r="B57" s="152" t="str">
        <f>IFERROR(__xludf.DUMMYFUNCTION("REGEXREPLACE(A57, ""&lt;loc&gt;"", """")"),"https://odysia-cruise-uk.client.prod.eu-west.dreamlake.io/cruise-lines/princess-cruises/crown-princess/cruises&lt;/loc&gt;")</f>
        <v>https://odysia-cruise-uk.client.prod.eu-west.dreamlake.io/cruise-lines/princess-cruises/crown-princess/cruises&lt;/loc&gt;</v>
      </c>
      <c r="C57" s="153" t="str">
        <f>IFERROR(__xludf.DUMMYFUNCTION("REGEXREPLACE(B57, ""&lt;/loc&gt;"", """")"),"https://odysia-cruise-uk.client.prod.eu-west.dreamlake.io/cruise-lines/princess-cruises/crown-princess/cruises")</f>
        <v>https://odysia-cruise-uk.client.prod.eu-west.dreamlake.io/cruise-lines/princess-cruises/crown-princess/cruises</v>
      </c>
      <c r="D57" s="152" t="s">
        <v>321</v>
      </c>
      <c r="E57" s="152" t="str">
        <f>IFERROR(__xludf.DUMMYFUNCTION("REGEXREPLACE(D57, ""https://odysia-cruise-uk.client.prod.eu-west.dreamlake.io"", """")"),"/cruise-lines/princess-cruises/crown-princess/cruises")</f>
        <v>/cruise-lines/princess-cruises/crown-princess/cruises</v>
      </c>
    </row>
    <row r="58">
      <c r="A58" s="154" t="s">
        <v>322</v>
      </c>
      <c r="B58" s="152" t="str">
        <f>IFERROR(__xludf.DUMMYFUNCTION("REGEXREPLACE(A58, ""&lt;loc&gt;"", """")"),"https://odysia-cruise-uk.client.prod.eu-west.dreamlake.io/cruise-lines/royal-caribbean/harmony-of-the-seas/cruises&lt;/loc&gt;")</f>
        <v>https://odysia-cruise-uk.client.prod.eu-west.dreamlake.io/cruise-lines/royal-caribbean/harmony-of-the-seas/cruises&lt;/loc&gt;</v>
      </c>
      <c r="C58" s="153" t="str">
        <f>IFERROR(__xludf.DUMMYFUNCTION("REGEXREPLACE(B58, ""&lt;/loc&gt;"", """")"),"https://odysia-cruise-uk.client.prod.eu-west.dreamlake.io/cruise-lines/royal-caribbean/harmony-of-the-seas/cruises")</f>
        <v>https://odysia-cruise-uk.client.prod.eu-west.dreamlake.io/cruise-lines/royal-caribbean/harmony-of-the-seas/cruises</v>
      </c>
      <c r="D58" s="152" t="s">
        <v>323</v>
      </c>
      <c r="E58" s="152" t="str">
        <f>IFERROR(__xludf.DUMMYFUNCTION("REGEXREPLACE(D58, ""https://odysia-cruise-uk.client.prod.eu-west.dreamlake.io"", """")"),"/cruise-lines/royal-caribbean/harmony-of-the-seas/cruises")</f>
        <v>/cruise-lines/royal-caribbean/harmony-of-the-seas/cruises</v>
      </c>
    </row>
    <row r="59">
      <c r="A59" s="154" t="s">
        <v>324</v>
      </c>
      <c r="B59" s="152" t="str">
        <f>IFERROR(__xludf.DUMMYFUNCTION("REGEXREPLACE(A59, ""&lt;loc&gt;"", """")"),"https://odysia-cruise-uk.client.prod.eu-west.dreamlake.io/cruise-calendar/asia-far-east-cruise-dates&lt;/loc&gt;")</f>
        <v>https://odysia-cruise-uk.client.prod.eu-west.dreamlake.io/cruise-calendar/asia-far-east-cruise-dates&lt;/loc&gt;</v>
      </c>
      <c r="C59" s="153" t="str">
        <f>IFERROR(__xludf.DUMMYFUNCTION("REGEXREPLACE(B59, ""&lt;/loc&gt;"", """")"),"https://odysia-cruise-uk.client.prod.eu-west.dreamlake.io/cruise-calendar/asia-far-east-cruise-dates")</f>
        <v>https://odysia-cruise-uk.client.prod.eu-west.dreamlake.io/cruise-calendar/asia-far-east-cruise-dates</v>
      </c>
    </row>
    <row r="60">
      <c r="A60" s="154" t="s">
        <v>325</v>
      </c>
      <c r="B60" s="152" t="str">
        <f>IFERROR(__xludf.DUMMYFUNCTION("REGEXREPLACE(A60, ""&lt;loc&gt;"", """")"),"https://odysia-cruise-uk.client.prod.eu-west.dreamlake.io/cruise-lines/celebrity-cruises/celebrity-edge&lt;/loc&gt;")</f>
        <v>https://odysia-cruise-uk.client.prod.eu-west.dreamlake.io/cruise-lines/celebrity-cruises/celebrity-edge&lt;/loc&gt;</v>
      </c>
      <c r="C60" s="153" t="str">
        <f>IFERROR(__xludf.DUMMYFUNCTION("REGEXREPLACE(B60, ""&lt;/loc&gt;"", """")"),"https://odysia-cruise-uk.client.prod.eu-west.dreamlake.io/cruise-lines/celebrity-cruises/celebrity-edge")</f>
        <v>https://odysia-cruise-uk.client.prod.eu-west.dreamlake.io/cruise-lines/celebrity-cruises/celebrity-edge</v>
      </c>
      <c r="D60" s="152" t="s">
        <v>326</v>
      </c>
      <c r="E60" s="152" t="str">
        <f>IFERROR(__xludf.DUMMYFUNCTION("REGEXREPLACE(D60, ""https://odysia-cruise-uk.client.prod.eu-west.dreamlake.io"", """")"),"/cruise-lines/celebrity-cruises/celebrity-edge")</f>
        <v>/cruise-lines/celebrity-cruises/celebrity-edge</v>
      </c>
    </row>
    <row r="61">
      <c r="A61" s="154" t="s">
        <v>327</v>
      </c>
      <c r="B61" s="152" t="str">
        <f>IFERROR(__xludf.DUMMYFUNCTION("REGEXREPLACE(A61, ""&lt;loc&gt;"", """")"),"https://odysia-cruise-uk.client.prod.eu-west.dreamlake.io/cruise-lines/celebrity-cruises/cruises&lt;/loc&gt;")</f>
        <v>https://odysia-cruise-uk.client.prod.eu-west.dreamlake.io/cruise-lines/celebrity-cruises/cruises&lt;/loc&gt;</v>
      </c>
      <c r="C61" s="153" t="str">
        <f>IFERROR(__xludf.DUMMYFUNCTION("REGEXREPLACE(B61, ""&lt;/loc&gt;"", """")"),"https://odysia-cruise-uk.client.prod.eu-west.dreamlake.io/cruise-lines/celebrity-cruises/cruises")</f>
        <v>https://odysia-cruise-uk.client.prod.eu-west.dreamlake.io/cruise-lines/celebrity-cruises/cruises</v>
      </c>
      <c r="D61" s="152" t="s">
        <v>328</v>
      </c>
      <c r="E61" s="152" t="str">
        <f>IFERROR(__xludf.DUMMYFUNCTION("REGEXREPLACE(D61, ""https://odysia-cruise-uk.client.prod.eu-west.dreamlake.io"", """")"),"/cruise-lines/celebrity-cruises/cruises")</f>
        <v>/cruise-lines/celebrity-cruises/cruises</v>
      </c>
    </row>
    <row r="62">
      <c r="A62" s="154" t="s">
        <v>329</v>
      </c>
      <c r="B62" s="152" t="str">
        <f>IFERROR(__xludf.DUMMYFUNCTION("REGEXREPLACE(A62, ""&lt;loc&gt;"", """")"),"https://odysia-cruise-uk.client.prod.eu-west.dreamlake.io/cruise-lines/seabourn/seabourn-pursuit/cruises&lt;/loc&gt;")</f>
        <v>https://odysia-cruise-uk.client.prod.eu-west.dreamlake.io/cruise-lines/seabourn/seabourn-pursuit/cruises&lt;/loc&gt;</v>
      </c>
      <c r="C62" s="153" t="str">
        <f>IFERROR(__xludf.DUMMYFUNCTION("REGEXREPLACE(B62, ""&lt;/loc&gt;"", """")"),"https://odysia-cruise-uk.client.prod.eu-west.dreamlake.io/cruise-lines/seabourn/seabourn-pursuit/cruises")</f>
        <v>https://odysia-cruise-uk.client.prod.eu-west.dreamlake.io/cruise-lines/seabourn/seabourn-pursuit/cruises</v>
      </c>
      <c r="D62" s="152" t="s">
        <v>330</v>
      </c>
      <c r="E62" s="152" t="str">
        <f>IFERROR(__xludf.DUMMYFUNCTION("REGEXREPLACE(D62, ""https://odysia-cruise-uk.client.prod.eu-west.dreamlake.io"", """")"),"/cruise-lines/seabourn/seabourn-pursuit/cruises")</f>
        <v>/cruise-lines/seabourn/seabourn-pursuit/cruises</v>
      </c>
    </row>
    <row r="63">
      <c r="A63" s="154" t="s">
        <v>331</v>
      </c>
      <c r="B63" s="152" t="str">
        <f>IFERROR(__xludf.DUMMYFUNCTION("REGEXREPLACE(A63, ""&lt;loc&gt;"", """")"),"https://odysia-cruise-uk.client.prod.eu-west.dreamlake.io/cruise-lines/msc-cruises/msc-world-europa/cruises&lt;/loc&gt;")</f>
        <v>https://odysia-cruise-uk.client.prod.eu-west.dreamlake.io/cruise-lines/msc-cruises/msc-world-europa/cruises&lt;/loc&gt;</v>
      </c>
      <c r="C63" s="153" t="str">
        <f>IFERROR(__xludf.DUMMYFUNCTION("REGEXREPLACE(B63, ""&lt;/loc&gt;"", """")"),"https://odysia-cruise-uk.client.prod.eu-west.dreamlake.io/cruise-lines/msc-cruises/msc-world-europa/cruises")</f>
        <v>https://odysia-cruise-uk.client.prod.eu-west.dreamlake.io/cruise-lines/msc-cruises/msc-world-europa/cruises</v>
      </c>
      <c r="D63" s="152" t="s">
        <v>332</v>
      </c>
      <c r="E63" s="152" t="str">
        <f>IFERROR(__xludf.DUMMYFUNCTION("REGEXREPLACE(D63, ""https://odysia-cruise-uk.client.prod.eu-west.dreamlake.io"", """")"),"/cruise-lines/msc-cruises/msc-world-europa/cruises")</f>
        <v>/cruise-lines/msc-cruises/msc-world-europa/cruises</v>
      </c>
    </row>
    <row r="64">
      <c r="A64" s="154" t="s">
        <v>333</v>
      </c>
      <c r="B64" s="152" t="str">
        <f>IFERROR(__xludf.DUMMYFUNCTION("REGEXREPLACE(A64, ""&lt;loc&gt;"", """")"),"https://odysia-cruise-uk.client.prod.eu-west.dreamlake.io/cruise-calendar/norwegian-fjord-cruises-dates&lt;/loc&gt;")</f>
        <v>https://odysia-cruise-uk.client.prod.eu-west.dreamlake.io/cruise-calendar/norwegian-fjord-cruises-dates&lt;/loc&gt;</v>
      </c>
      <c r="C64" s="153" t="str">
        <f>IFERROR(__xludf.DUMMYFUNCTION("REGEXREPLACE(B64, ""&lt;/loc&gt;"", """")"),"https://odysia-cruise-uk.client.prod.eu-west.dreamlake.io/cruise-calendar/norwegian-fjord-cruises-dates")</f>
        <v>https://odysia-cruise-uk.client.prod.eu-west.dreamlake.io/cruise-calendar/norwegian-fjord-cruises-dates</v>
      </c>
    </row>
    <row r="65">
      <c r="A65" s="154" t="s">
        <v>334</v>
      </c>
      <c r="B65" s="152" t="str">
        <f>IFERROR(__xludf.DUMMYFUNCTION("REGEXREPLACE(A65, ""&lt;loc&gt;"", """")"),"https://odysia-cruise-uk.client.prod.eu-west.dreamlake.io/cruise-lines/norwegian-cruise-line/norwegian-breakaway/cruises&lt;/loc&gt;")</f>
        <v>https://odysia-cruise-uk.client.prod.eu-west.dreamlake.io/cruise-lines/norwegian-cruise-line/norwegian-breakaway/cruises&lt;/loc&gt;</v>
      </c>
      <c r="C65" s="153" t="str">
        <f>IFERROR(__xludf.DUMMYFUNCTION("REGEXREPLACE(B65, ""&lt;/loc&gt;"", """")"),"https://odysia-cruise-uk.client.prod.eu-west.dreamlake.io/cruise-lines/norwegian-cruise-line/norwegian-breakaway/cruises")</f>
        <v>https://odysia-cruise-uk.client.prod.eu-west.dreamlake.io/cruise-lines/norwegian-cruise-line/norwegian-breakaway/cruises</v>
      </c>
      <c r="D65" s="152" t="s">
        <v>335</v>
      </c>
      <c r="E65" s="152" t="str">
        <f>IFERROR(__xludf.DUMMYFUNCTION("REGEXREPLACE(D65, ""https://odysia-cruise-uk.client.prod.eu-west.dreamlake.io"", """")"),"/cruise-lines/norwegian-cruise-line/norwegian-breakaway/cruises")</f>
        <v>/cruise-lines/norwegian-cruise-line/norwegian-breakaway/cruises</v>
      </c>
    </row>
    <row r="66">
      <c r="A66" s="154" t="s">
        <v>336</v>
      </c>
      <c r="B66" s="152" t="str">
        <f>IFERROR(__xludf.DUMMYFUNCTION("REGEXREPLACE(A66, ""&lt;loc&gt;"", """")"),"https://odysia-cruise-uk.client.prod.eu-west.dreamlake.io/cruise-lines/norwegian-cruise-line/norwegian-bliss&lt;/loc&gt;")</f>
        <v>https://odysia-cruise-uk.client.prod.eu-west.dreamlake.io/cruise-lines/norwegian-cruise-line/norwegian-bliss&lt;/loc&gt;</v>
      </c>
      <c r="C66" s="153" t="str">
        <f>IFERROR(__xludf.DUMMYFUNCTION("REGEXREPLACE(B66, ""&lt;/loc&gt;"", """")"),"https://odysia-cruise-uk.client.prod.eu-west.dreamlake.io/cruise-lines/norwegian-cruise-line/norwegian-bliss")</f>
        <v>https://odysia-cruise-uk.client.prod.eu-west.dreamlake.io/cruise-lines/norwegian-cruise-line/norwegian-bliss</v>
      </c>
      <c r="D66" s="152" t="s">
        <v>337</v>
      </c>
      <c r="E66" s="152" t="str">
        <f>IFERROR(__xludf.DUMMYFUNCTION("REGEXREPLACE(D66, ""https://odysia-cruise-uk.client.prod.eu-west.dreamlake.io"", """")"),"/cruise-lines/norwegian-cruise-line/norwegian-bliss")</f>
        <v>/cruise-lines/norwegian-cruise-line/norwegian-bliss</v>
      </c>
    </row>
    <row r="67">
      <c r="A67" s="154" t="s">
        <v>338</v>
      </c>
      <c r="B67" s="152" t="str">
        <f>IFERROR(__xludf.DUMMYFUNCTION("REGEXREPLACE(A67, ""&lt;loc&gt;"", """")"),"https://odysia-cruise-uk.client.prod.eu-west.dreamlake.io/cruise-lines/regent-seven-seas-cruises&lt;/loc&gt;")</f>
        <v>https://odysia-cruise-uk.client.prod.eu-west.dreamlake.io/cruise-lines/regent-seven-seas-cruises&lt;/loc&gt;</v>
      </c>
      <c r="C67" s="153" t="str">
        <f>IFERROR(__xludf.DUMMYFUNCTION("REGEXREPLACE(B67, ""&lt;/loc&gt;"", """")"),"https://odysia-cruise-uk.client.prod.eu-west.dreamlake.io/cruise-lines/regent-seven-seas-cruises")</f>
        <v>https://odysia-cruise-uk.client.prod.eu-west.dreamlake.io/cruise-lines/regent-seven-seas-cruises</v>
      </c>
      <c r="D67" s="152" t="s">
        <v>339</v>
      </c>
      <c r="E67" s="152" t="str">
        <f>IFERROR(__xludf.DUMMYFUNCTION("REGEXREPLACE(D67, ""https://odysia-cruise-uk.client.prod.eu-west.dreamlake.io"", """")"),"/cruise-lines/regent-seven-seas-cruises")</f>
        <v>/cruise-lines/regent-seven-seas-cruises</v>
      </c>
    </row>
    <row r="68">
      <c r="A68" s="154" t="s">
        <v>340</v>
      </c>
      <c r="B68" s="152" t="str">
        <f>IFERROR(__xludf.DUMMYFUNCTION("REGEXREPLACE(A68, ""&lt;loc&gt;"", """")"),"https://odysia-cruise-uk.client.prod.eu-west.dreamlake.io/cruise-lines/royal-caribbean/enchantment-of-the-seas/cruises&lt;/loc&gt;")</f>
        <v>https://odysia-cruise-uk.client.prod.eu-west.dreamlake.io/cruise-lines/royal-caribbean/enchantment-of-the-seas/cruises&lt;/loc&gt;</v>
      </c>
      <c r="C68" s="153" t="str">
        <f>IFERROR(__xludf.DUMMYFUNCTION("REGEXREPLACE(B68, ""&lt;/loc&gt;"", """")"),"https://odysia-cruise-uk.client.prod.eu-west.dreamlake.io/cruise-lines/royal-caribbean/enchantment-of-the-seas/cruises")</f>
        <v>https://odysia-cruise-uk.client.prod.eu-west.dreamlake.io/cruise-lines/royal-caribbean/enchantment-of-the-seas/cruises</v>
      </c>
      <c r="D68" s="152" t="s">
        <v>341</v>
      </c>
      <c r="E68" s="152" t="str">
        <f>IFERROR(__xludf.DUMMYFUNCTION("REGEXREPLACE(D68, ""https://odysia-cruise-uk.client.prod.eu-west.dreamlake.io"", """")"),"/cruise-lines/royal-caribbean/enchantment-of-the-seas/cruises")</f>
        <v>/cruise-lines/royal-caribbean/enchantment-of-the-seas/cruises</v>
      </c>
    </row>
    <row r="69">
      <c r="A69" s="154" t="s">
        <v>342</v>
      </c>
      <c r="B69" s="152" t="str">
        <f>IFERROR(__xludf.DUMMYFUNCTION("REGEXREPLACE(A69, ""&lt;loc&gt;"", """")"),"https://odysia-cruise-uk.client.prod.eu-west.dreamlake.io/cruise-deals/mini-cruises&lt;/loc&gt;")</f>
        <v>https://odysia-cruise-uk.client.prod.eu-west.dreamlake.io/cruise-deals/mini-cruises&lt;/loc&gt;</v>
      </c>
      <c r="C69" s="153" t="str">
        <f>IFERROR(__xludf.DUMMYFUNCTION("REGEXREPLACE(B69, ""&lt;/loc&gt;"", """")"),"https://odysia-cruise-uk.client.prod.eu-west.dreamlake.io/cruise-deals/mini-cruises")</f>
        <v>https://odysia-cruise-uk.client.prod.eu-west.dreamlake.io/cruise-deals/mini-cruises</v>
      </c>
      <c r="D69" s="152" t="s">
        <v>343</v>
      </c>
    </row>
    <row r="70">
      <c r="A70" s="154" t="s">
        <v>344</v>
      </c>
      <c r="B70" s="152" t="str">
        <f>IFERROR(__xludf.DUMMYFUNCTION("REGEXREPLACE(A70, ""&lt;loc&gt;"", """")"),"https://odysia-cruise-uk.client.prod.eu-west.dreamlake.io/destinations/africa-cruises&lt;/loc&gt;")</f>
        <v>https://odysia-cruise-uk.client.prod.eu-west.dreamlake.io/destinations/africa-cruises&lt;/loc&gt;</v>
      </c>
      <c r="C70" s="153" t="str">
        <f>IFERROR(__xludf.DUMMYFUNCTION("REGEXREPLACE(B70, ""&lt;/loc&gt;"", """")"),"https://odysia-cruise-uk.client.prod.eu-west.dreamlake.io/destinations/africa-cruises")</f>
        <v>https://odysia-cruise-uk.client.prod.eu-west.dreamlake.io/destinations/africa-cruises</v>
      </c>
    </row>
    <row r="71">
      <c r="A71" s="154" t="s">
        <v>345</v>
      </c>
      <c r="B71" s="152" t="str">
        <f>IFERROR(__xludf.DUMMYFUNCTION("REGEXREPLACE(A71, ""&lt;loc&gt;"", """")"),"https://odysia-cruise-uk.client.prod.eu-west.dreamlake.io/cruise-deals/family-cruise-deals&lt;/loc&gt;")</f>
        <v>https://odysia-cruise-uk.client.prod.eu-west.dreamlake.io/cruise-deals/family-cruise-deals&lt;/loc&gt;</v>
      </c>
      <c r="C71" s="153" t="str">
        <f>IFERROR(__xludf.DUMMYFUNCTION("REGEXREPLACE(B71, ""&lt;/loc&gt;"", """")"),"https://odysia-cruise-uk.client.prod.eu-west.dreamlake.io/cruise-deals/family-cruise-deals")</f>
        <v>https://odysia-cruise-uk.client.prod.eu-west.dreamlake.io/cruise-deals/family-cruise-deals</v>
      </c>
      <c r="D71" s="152" t="s">
        <v>346</v>
      </c>
    </row>
    <row r="72">
      <c r="A72" s="154" t="s">
        <v>347</v>
      </c>
      <c r="B72" s="152" t="str">
        <f>IFERROR(__xludf.DUMMYFUNCTION("REGEXREPLACE(A72, ""&lt;loc&gt;"", """")"),"https://odysia-cruise-uk.client.prod.eu-west.dreamlake.io/cruise-deals/all-inclusive-cruise-deals&lt;/loc&gt;")</f>
        <v>https://odysia-cruise-uk.client.prod.eu-west.dreamlake.io/cruise-deals/all-inclusive-cruise-deals&lt;/loc&gt;</v>
      </c>
      <c r="C72" s="153" t="str">
        <f>IFERROR(__xludf.DUMMYFUNCTION("REGEXREPLACE(B72, ""&lt;/loc&gt;"", """")"),"https://odysia-cruise-uk.client.prod.eu-west.dreamlake.io/cruise-deals/all-inclusive-cruise-deals")</f>
        <v>https://odysia-cruise-uk.client.prod.eu-west.dreamlake.io/cruise-deals/all-inclusive-cruise-deals</v>
      </c>
      <c r="D72" s="152" t="s">
        <v>348</v>
      </c>
    </row>
    <row r="73">
      <c r="A73" s="154" t="s">
        <v>349</v>
      </c>
      <c r="B73" s="152" t="str">
        <f>IFERROR(__xludf.DUMMYFUNCTION("REGEXREPLACE(A73, ""&lt;loc&gt;"", """")"),"https://odysia-cruise-uk.client.prod.eu-west.dreamlake.io/cruise-lines/virgin-voyages/scarlet-lady&lt;/loc&gt;")</f>
        <v>https://odysia-cruise-uk.client.prod.eu-west.dreamlake.io/cruise-lines/virgin-voyages/scarlet-lady&lt;/loc&gt;</v>
      </c>
      <c r="C73" s="153" t="str">
        <f>IFERROR(__xludf.DUMMYFUNCTION("REGEXREPLACE(B73, ""&lt;/loc&gt;"", """")"),"https://odysia-cruise-uk.client.prod.eu-west.dreamlake.io/cruise-lines/virgin-voyages/scarlet-lady")</f>
        <v>https://odysia-cruise-uk.client.prod.eu-west.dreamlake.io/cruise-lines/virgin-voyages/scarlet-lady</v>
      </c>
      <c r="D73" s="152" t="s">
        <v>350</v>
      </c>
      <c r="E73" s="152" t="str">
        <f>IFERROR(__xludf.DUMMYFUNCTION("REGEXREPLACE(D73, ""https://odysia-cruise-uk.client.prod.eu-west.dreamlake.io"", """")"),"/cruise-lines/virgin-voyages/scarlet-lady")</f>
        <v>/cruise-lines/virgin-voyages/scarlet-lady</v>
      </c>
    </row>
    <row r="74">
      <c r="A74" s="154" t="s">
        <v>351</v>
      </c>
      <c r="B74" s="152" t="str">
        <f>IFERROR(__xludf.DUMMYFUNCTION("REGEXREPLACE(A74, ""&lt;loc&gt;"", """")"),"https://odysia-cruise-uk.client.prod.eu-west.dreamlake.io/cruise-lines/norwegian-cruise-line/norwegian-spirit&lt;/loc&gt;")</f>
        <v>https://odysia-cruise-uk.client.prod.eu-west.dreamlake.io/cruise-lines/norwegian-cruise-line/norwegian-spirit&lt;/loc&gt;</v>
      </c>
      <c r="C74" s="153" t="str">
        <f>IFERROR(__xludf.DUMMYFUNCTION("REGEXREPLACE(B74, ""&lt;/loc&gt;"", """")"),"https://odysia-cruise-uk.client.prod.eu-west.dreamlake.io/cruise-lines/norwegian-cruise-line/norwegian-spirit")</f>
        <v>https://odysia-cruise-uk.client.prod.eu-west.dreamlake.io/cruise-lines/norwegian-cruise-line/norwegian-spirit</v>
      </c>
      <c r="D74" s="152" t="s">
        <v>352</v>
      </c>
      <c r="E74" s="152" t="str">
        <f>IFERROR(__xludf.DUMMYFUNCTION("REGEXREPLACE(D74, ""https://odysia-cruise-uk.client.prod.eu-west.dreamlake.io"", """")"),"/cruise-lines/norwegian-cruise-line/norwegian-spirit")</f>
        <v>/cruise-lines/norwegian-cruise-line/norwegian-spirit</v>
      </c>
    </row>
    <row r="75">
      <c r="A75" s="154" t="s">
        <v>353</v>
      </c>
      <c r="B75" s="152" t="str">
        <f>IFERROR(__xludf.DUMMYFUNCTION("REGEXREPLACE(A75, ""&lt;loc&gt;"", """")"),"https://odysia-cruise-uk.client.prod.eu-west.dreamlake.io/cruise-lines/princess-cruises/emerald-princess&lt;/loc&gt;")</f>
        <v>https://odysia-cruise-uk.client.prod.eu-west.dreamlake.io/cruise-lines/princess-cruises/emerald-princess&lt;/loc&gt;</v>
      </c>
      <c r="C75" s="153" t="str">
        <f>IFERROR(__xludf.DUMMYFUNCTION("REGEXREPLACE(B75, ""&lt;/loc&gt;"", """")"),"https://odysia-cruise-uk.client.prod.eu-west.dreamlake.io/cruise-lines/princess-cruises/emerald-princess")</f>
        <v>https://odysia-cruise-uk.client.prod.eu-west.dreamlake.io/cruise-lines/princess-cruises/emerald-princess</v>
      </c>
      <c r="D75" s="152" t="s">
        <v>354</v>
      </c>
      <c r="E75" s="152" t="str">
        <f>IFERROR(__xludf.DUMMYFUNCTION("REGEXREPLACE(D75, ""https://odysia-cruise-uk.client.prod.eu-west.dreamlake.io"", """")"),"/cruise-lines/princess-cruises/emerald-princess")</f>
        <v>/cruise-lines/princess-cruises/emerald-princess</v>
      </c>
    </row>
    <row r="76">
      <c r="A76" s="154" t="s">
        <v>355</v>
      </c>
      <c r="B76" s="152" t="str">
        <f>IFERROR(__xludf.DUMMYFUNCTION("REGEXREPLACE(A76, ""&lt;loc&gt;"", """")"),"https://odysia-cruise-uk.client.prod.eu-west.dreamlake.io/cruise-lines/royal-caribbean/independence-of-the-seas&lt;/loc&gt;")</f>
        <v>https://odysia-cruise-uk.client.prod.eu-west.dreamlake.io/cruise-lines/royal-caribbean/independence-of-the-seas&lt;/loc&gt;</v>
      </c>
      <c r="C76" s="153" t="str">
        <f>IFERROR(__xludf.DUMMYFUNCTION("REGEXREPLACE(B76, ""&lt;/loc&gt;"", """")"),"https://odysia-cruise-uk.client.prod.eu-west.dreamlake.io/cruise-lines/royal-caribbean/independence-of-the-seas")</f>
        <v>https://odysia-cruise-uk.client.prod.eu-west.dreamlake.io/cruise-lines/royal-caribbean/independence-of-the-seas</v>
      </c>
      <c r="D76" s="152" t="s">
        <v>356</v>
      </c>
      <c r="E76" s="152" t="str">
        <f>IFERROR(__xludf.DUMMYFUNCTION("REGEXREPLACE(D76, ""https://odysia-cruise-uk.client.prod.eu-west.dreamlake.io"", """")"),"/cruise-lines/royal-caribbean/independence-of-the-seas")</f>
        <v>/cruise-lines/royal-caribbean/independence-of-the-seas</v>
      </c>
    </row>
    <row r="77">
      <c r="A77" s="154" t="s">
        <v>357</v>
      </c>
      <c r="B77" s="152" t="str">
        <f>IFERROR(__xludf.DUMMYFUNCTION("REGEXREPLACE(A77, ""&lt;loc&gt;"", """")"),"https://odysia-cruise-uk.client.prod.eu-west.dreamlake.io/destinations/australasia-cruises&lt;/loc&gt;")</f>
        <v>https://odysia-cruise-uk.client.prod.eu-west.dreamlake.io/destinations/australasia-cruises&lt;/loc&gt;</v>
      </c>
      <c r="C77" s="153" t="str">
        <f>IFERROR(__xludf.DUMMYFUNCTION("REGEXREPLACE(B77, ""&lt;/loc&gt;"", """")"),"https://odysia-cruise-uk.client.prod.eu-west.dreamlake.io/destinations/australasia-cruises")</f>
        <v>https://odysia-cruise-uk.client.prod.eu-west.dreamlake.io/destinations/australasia-cruises</v>
      </c>
    </row>
    <row r="78">
      <c r="A78" s="154" t="s">
        <v>358</v>
      </c>
      <c r="B78" s="152" t="str">
        <f>IFERROR(__xludf.DUMMYFUNCTION("REGEXREPLACE(A78, ""&lt;loc&gt;"", """")"),"https://odysia-cruise-uk.client.prod.eu-west.dreamlake.io/cruise-lines/holland-america-line/oosterdam/cruises&lt;/loc&gt;")</f>
        <v>https://odysia-cruise-uk.client.prod.eu-west.dreamlake.io/cruise-lines/holland-america-line/oosterdam/cruises&lt;/loc&gt;</v>
      </c>
      <c r="C78" s="153" t="str">
        <f>IFERROR(__xludf.DUMMYFUNCTION("REGEXREPLACE(B78, ""&lt;/loc&gt;"", """")"),"https://odysia-cruise-uk.client.prod.eu-west.dreamlake.io/cruise-lines/holland-america-line/oosterdam/cruises")</f>
        <v>https://odysia-cruise-uk.client.prod.eu-west.dreamlake.io/cruise-lines/holland-america-line/oosterdam/cruises</v>
      </c>
      <c r="D78" s="152" t="s">
        <v>359</v>
      </c>
      <c r="E78" s="152" t="str">
        <f>IFERROR(__xludf.DUMMYFUNCTION("REGEXREPLACE(D78, ""https://odysia-cruise-uk.client.prod.eu-west.dreamlake.io"", """")"),"/cruise-lines/holland-america-line/oosterdam/cruises")</f>
        <v>/cruise-lines/holland-america-line/oosterdam/cruises</v>
      </c>
    </row>
    <row r="79">
      <c r="A79" s="154" t="s">
        <v>360</v>
      </c>
      <c r="B79" s="152" t="str">
        <f>IFERROR(__xludf.DUMMYFUNCTION("REGEXREPLACE(A79, ""&lt;loc&gt;"", """")"),"https://odysia-cruise-uk.client.prod.eu-west.dreamlake.io/cruise-lines/princess-cruises&lt;/loc&gt;")</f>
        <v>https://odysia-cruise-uk.client.prod.eu-west.dreamlake.io/cruise-lines/princess-cruises&lt;/loc&gt;</v>
      </c>
      <c r="C79" s="153" t="str">
        <f>IFERROR(__xludf.DUMMYFUNCTION("REGEXREPLACE(B79, ""&lt;/loc&gt;"", """")"),"https://odysia-cruise-uk.client.prod.eu-west.dreamlake.io/cruise-lines/princess-cruises")</f>
        <v>https://odysia-cruise-uk.client.prod.eu-west.dreamlake.io/cruise-lines/princess-cruises</v>
      </c>
      <c r="D79" s="152" t="s">
        <v>361</v>
      </c>
      <c r="E79" s="152" t="str">
        <f>IFERROR(__xludf.DUMMYFUNCTION("REGEXREPLACE(D79, ""https://odysia-cruise-uk.client.prod.eu-west.dreamlake.io"", """")"),"/cruise-lines/princess-cruises")</f>
        <v>/cruise-lines/princess-cruises</v>
      </c>
    </row>
    <row r="80">
      <c r="A80" s="154" t="s">
        <v>362</v>
      </c>
      <c r="B80" s="152" t="str">
        <f>IFERROR(__xludf.DUMMYFUNCTION("REGEXREPLACE(A80, ""&lt;loc&gt;"", """")"),"https://odysia-cruise-uk.client.prod.eu-west.dreamlake.io/cruise-lines/norwegian-cruise-line/norwegian-prima&lt;/loc&gt;")</f>
        <v>https://odysia-cruise-uk.client.prod.eu-west.dreamlake.io/cruise-lines/norwegian-cruise-line/norwegian-prima&lt;/loc&gt;</v>
      </c>
      <c r="C80" s="153" t="str">
        <f>IFERROR(__xludf.DUMMYFUNCTION("REGEXREPLACE(B80, ""&lt;/loc&gt;"", """")"),"https://odysia-cruise-uk.client.prod.eu-west.dreamlake.io/cruise-lines/norwegian-cruise-line/norwegian-prima")</f>
        <v>https://odysia-cruise-uk.client.prod.eu-west.dreamlake.io/cruise-lines/norwegian-cruise-line/norwegian-prima</v>
      </c>
      <c r="D80" s="152" t="s">
        <v>363</v>
      </c>
      <c r="E80" s="152" t="str">
        <f>IFERROR(__xludf.DUMMYFUNCTION("REGEXREPLACE(D80, ""https://odysia-cruise-uk.client.prod.eu-west.dreamlake.io"", """")"),"/cruise-lines/norwegian-cruise-line/norwegian-prima")</f>
        <v>/cruise-lines/norwegian-cruise-line/norwegian-prima</v>
      </c>
    </row>
    <row r="81">
      <c r="A81" s="154" t="s">
        <v>364</v>
      </c>
      <c r="B81" s="152" t="str">
        <f>IFERROR(__xludf.DUMMYFUNCTION("REGEXREPLACE(A81, ""&lt;loc&gt;"", """")"),"https://odysia-cruise-uk.client.prod.eu-west.dreamlake.io/cruise-lines/holland-america-line/zuiderdam/cruises&lt;/loc&gt;")</f>
        <v>https://odysia-cruise-uk.client.prod.eu-west.dreamlake.io/cruise-lines/holland-america-line/zuiderdam/cruises&lt;/loc&gt;</v>
      </c>
      <c r="C81" s="153" t="str">
        <f>IFERROR(__xludf.DUMMYFUNCTION("REGEXREPLACE(B81, ""&lt;/loc&gt;"", """")"),"https://odysia-cruise-uk.client.prod.eu-west.dreamlake.io/cruise-lines/holland-america-line/zuiderdam/cruises")</f>
        <v>https://odysia-cruise-uk.client.prod.eu-west.dreamlake.io/cruise-lines/holland-america-line/zuiderdam/cruises</v>
      </c>
      <c r="D81" s="152" t="s">
        <v>365</v>
      </c>
      <c r="E81" s="152" t="str">
        <f>IFERROR(__xludf.DUMMYFUNCTION("REGEXREPLACE(D81, ""https://odysia-cruise-uk.client.prod.eu-west.dreamlake.io"", """")"),"/cruise-lines/holland-america-line/zuiderdam/cruises")</f>
        <v>/cruise-lines/holland-america-line/zuiderdam/cruises</v>
      </c>
    </row>
    <row r="82">
      <c r="A82" s="154" t="s">
        <v>366</v>
      </c>
      <c r="B82" s="152" t="str">
        <f>IFERROR(__xludf.DUMMYFUNCTION("REGEXREPLACE(A82, ""&lt;loc&gt;"", """")"),"https://odysia-cruise-uk.client.prod.eu-west.dreamlake.io/cruise-lines/norwegian-cruise-line/norwegian-aqua&lt;/loc&gt;")</f>
        <v>https://odysia-cruise-uk.client.prod.eu-west.dreamlake.io/cruise-lines/norwegian-cruise-line/norwegian-aqua&lt;/loc&gt;</v>
      </c>
      <c r="C82" s="153" t="str">
        <f>IFERROR(__xludf.DUMMYFUNCTION("REGEXREPLACE(B82, ""&lt;/loc&gt;"", """")"),"https://odysia-cruise-uk.client.prod.eu-west.dreamlake.io/cruise-lines/norwegian-cruise-line/norwegian-aqua")</f>
        <v>https://odysia-cruise-uk.client.prod.eu-west.dreamlake.io/cruise-lines/norwegian-cruise-line/norwegian-aqua</v>
      </c>
      <c r="D82" s="152" t="s">
        <v>367</v>
      </c>
      <c r="E82" s="152" t="str">
        <f>IFERROR(__xludf.DUMMYFUNCTION("REGEXREPLACE(D82, ""https://odysia-cruise-uk.client.prod.eu-west.dreamlake.io"", """")"),"/cruise-lines/norwegian-cruise-line/norwegian-aqua")</f>
        <v>/cruise-lines/norwegian-cruise-line/norwegian-aqua</v>
      </c>
    </row>
    <row r="83">
      <c r="A83" s="154" t="s">
        <v>368</v>
      </c>
      <c r="B83" s="152" t="str">
        <f>IFERROR(__xludf.DUMMYFUNCTION("REGEXREPLACE(A83, ""&lt;loc&gt;"", """")"),"https://odysia-cruise-uk.client.prod.eu-west.dreamlake.io/cruise-lines/royal-caribbean/odyssey-of-the-seas&lt;/loc&gt;")</f>
        <v>https://odysia-cruise-uk.client.prod.eu-west.dreamlake.io/cruise-lines/royal-caribbean/odyssey-of-the-seas&lt;/loc&gt;</v>
      </c>
      <c r="C83" s="153" t="str">
        <f>IFERROR(__xludf.DUMMYFUNCTION("REGEXREPLACE(B83, ""&lt;/loc&gt;"", """")"),"https://odysia-cruise-uk.client.prod.eu-west.dreamlake.io/cruise-lines/royal-caribbean/odyssey-of-the-seas")</f>
        <v>https://odysia-cruise-uk.client.prod.eu-west.dreamlake.io/cruise-lines/royal-caribbean/odyssey-of-the-seas</v>
      </c>
      <c r="D83" s="152" t="s">
        <v>369</v>
      </c>
      <c r="E83" s="152" t="str">
        <f>IFERROR(__xludf.DUMMYFUNCTION("REGEXREPLACE(D83, ""https://odysia-cruise-uk.client.prod.eu-west.dreamlake.io"", """")"),"/cruise-lines/royal-caribbean/odyssey-of-the-seas")</f>
        <v>/cruise-lines/royal-caribbean/odyssey-of-the-seas</v>
      </c>
    </row>
    <row r="84">
      <c r="A84" s="154" t="s">
        <v>370</v>
      </c>
      <c r="B84" s="152" t="str">
        <f>IFERROR(__xludf.DUMMYFUNCTION("REGEXREPLACE(A84, ""&lt;loc&gt;"", """")"),"https://odysia-cruise-uk.client.prod.eu-west.dreamlake.io/cruise-lines/celebrity-cruises/celebrity-infinity/cruises&lt;/loc&gt;")</f>
        <v>https://odysia-cruise-uk.client.prod.eu-west.dreamlake.io/cruise-lines/celebrity-cruises/celebrity-infinity/cruises&lt;/loc&gt;</v>
      </c>
      <c r="C84" s="153" t="str">
        <f>IFERROR(__xludf.DUMMYFUNCTION("REGEXREPLACE(B84, ""&lt;/loc&gt;"", """")"),"https://odysia-cruise-uk.client.prod.eu-west.dreamlake.io/cruise-lines/celebrity-cruises/celebrity-infinity/cruises")</f>
        <v>https://odysia-cruise-uk.client.prod.eu-west.dreamlake.io/cruise-lines/celebrity-cruises/celebrity-infinity/cruises</v>
      </c>
      <c r="D84" s="152" t="s">
        <v>371</v>
      </c>
      <c r="E84" s="152" t="str">
        <f>IFERROR(__xludf.DUMMYFUNCTION("REGEXREPLACE(D84, ""https://odysia-cruise-uk.client.prod.eu-west.dreamlake.io"", """")"),"/cruise-lines/celebrity-cruises/celebrity-infinity/cruises")</f>
        <v>/cruise-lines/celebrity-cruises/celebrity-infinity/cruises</v>
      </c>
    </row>
    <row r="85">
      <c r="A85" s="154" t="s">
        <v>372</v>
      </c>
      <c r="B85" s="152" t="str">
        <f>IFERROR(__xludf.DUMMYFUNCTION("REGEXREPLACE(A85, ""&lt;loc&gt;"", """")"),"https://odysia-cruise-uk.client.prod.eu-west.dreamlake.io/cruise-lines/norwegian-cruise-line/norwegian-sun&lt;/loc&gt;")</f>
        <v>https://odysia-cruise-uk.client.prod.eu-west.dreamlake.io/cruise-lines/norwegian-cruise-line/norwegian-sun&lt;/loc&gt;</v>
      </c>
      <c r="C85" s="153" t="str">
        <f>IFERROR(__xludf.DUMMYFUNCTION("REGEXREPLACE(B85, ""&lt;/loc&gt;"", """")"),"https://odysia-cruise-uk.client.prod.eu-west.dreamlake.io/cruise-lines/norwegian-cruise-line/norwegian-sun")</f>
        <v>https://odysia-cruise-uk.client.prod.eu-west.dreamlake.io/cruise-lines/norwegian-cruise-line/norwegian-sun</v>
      </c>
      <c r="D85" s="152" t="s">
        <v>373</v>
      </c>
      <c r="E85" s="152" t="str">
        <f>IFERROR(__xludf.DUMMYFUNCTION("REGEXREPLACE(D85, ""https://odysia-cruise-uk.client.prod.eu-west.dreamlake.io"", """")"),"/cruise-lines/norwegian-cruise-line/norwegian-sun")</f>
        <v>/cruise-lines/norwegian-cruise-line/norwegian-sun</v>
      </c>
    </row>
    <row r="86">
      <c r="A86" s="154" t="s">
        <v>374</v>
      </c>
      <c r="B86" s="152" t="str">
        <f>IFERROR(__xludf.DUMMYFUNCTION("REGEXREPLACE(A86, ""&lt;loc&gt;"", """")"),"https://odysia-cruise-uk.client.prod.eu-west.dreamlake.io/cruise-lines/holland-america-line/eurodam/cruises&lt;/loc&gt;")</f>
        <v>https://odysia-cruise-uk.client.prod.eu-west.dreamlake.io/cruise-lines/holland-america-line/eurodam/cruises&lt;/loc&gt;</v>
      </c>
      <c r="C86" s="153" t="str">
        <f>IFERROR(__xludf.DUMMYFUNCTION("REGEXREPLACE(B86, ""&lt;/loc&gt;"", """")"),"https://odysia-cruise-uk.client.prod.eu-west.dreamlake.io/cruise-lines/holland-america-line/eurodam/cruises")</f>
        <v>https://odysia-cruise-uk.client.prod.eu-west.dreamlake.io/cruise-lines/holland-america-line/eurodam/cruises</v>
      </c>
      <c r="D86" s="152" t="s">
        <v>375</v>
      </c>
      <c r="E86" s="152" t="str">
        <f>IFERROR(__xludf.DUMMYFUNCTION("REGEXREPLACE(D86, ""https://odysia-cruise-uk.client.prod.eu-west.dreamlake.io"", """")"),"/cruise-lines/holland-america-line/eurodam/cruises")</f>
        <v>/cruise-lines/holland-america-line/eurodam/cruises</v>
      </c>
    </row>
    <row r="87">
      <c r="A87" s="154" t="s">
        <v>376</v>
      </c>
      <c r="B87" s="152" t="str">
        <f>IFERROR(__xludf.DUMMYFUNCTION("REGEXREPLACE(A87, ""&lt;loc&gt;"", """")"),"https://odysia-cruise-uk.client.prod.eu-west.dreamlake.io/cruise-lines/royal-caribbean/symphony-of-the-seas/cruises&lt;/loc&gt;")</f>
        <v>https://odysia-cruise-uk.client.prod.eu-west.dreamlake.io/cruise-lines/royal-caribbean/symphony-of-the-seas/cruises&lt;/loc&gt;</v>
      </c>
      <c r="C87" s="153" t="str">
        <f>IFERROR(__xludf.DUMMYFUNCTION("REGEXREPLACE(B87, ""&lt;/loc&gt;"", """")"),"https://odysia-cruise-uk.client.prod.eu-west.dreamlake.io/cruise-lines/royal-caribbean/symphony-of-the-seas/cruises")</f>
        <v>https://odysia-cruise-uk.client.prod.eu-west.dreamlake.io/cruise-lines/royal-caribbean/symphony-of-the-seas/cruises</v>
      </c>
      <c r="D87" s="152" t="s">
        <v>377</v>
      </c>
      <c r="E87" s="152" t="str">
        <f>IFERROR(__xludf.DUMMYFUNCTION("REGEXREPLACE(D87, ""https://odysia-cruise-uk.client.prod.eu-west.dreamlake.io"", """")"),"/cruise-lines/royal-caribbean/symphony-of-the-seas/cruises")</f>
        <v>/cruise-lines/royal-caribbean/symphony-of-the-seas/cruises</v>
      </c>
    </row>
    <row r="88">
      <c r="A88" s="154" t="s">
        <v>378</v>
      </c>
      <c r="B88" s="152" t="str">
        <f>IFERROR(__xludf.DUMMYFUNCTION("REGEXREPLACE(A88, ""&lt;loc&gt;"", """")"),"https://odysia-cruise-uk.client.prod.eu-west.dreamlake.io/cruise-lines/azamara/azamara-pursuit/cruises&lt;/loc&gt;")</f>
        <v>https://odysia-cruise-uk.client.prod.eu-west.dreamlake.io/cruise-lines/azamara/azamara-pursuit/cruises&lt;/loc&gt;</v>
      </c>
      <c r="C88" s="153" t="str">
        <f>IFERROR(__xludf.DUMMYFUNCTION("REGEXREPLACE(B88, ""&lt;/loc&gt;"", """")"),"https://odysia-cruise-uk.client.prod.eu-west.dreamlake.io/cruise-lines/azamara/azamara-pursuit/cruises")</f>
        <v>https://odysia-cruise-uk.client.prod.eu-west.dreamlake.io/cruise-lines/azamara/azamara-pursuit/cruises</v>
      </c>
    </row>
    <row r="89">
      <c r="A89" s="154" t="s">
        <v>379</v>
      </c>
      <c r="B89" s="152" t="str">
        <f>IFERROR(__xludf.DUMMYFUNCTION("REGEXREPLACE(A89, ""&lt;loc&gt;"", """")"),"https://odysia-cruise-uk.client.prod.eu-west.dreamlake.io/cruise-lines/msc-cruises/msc-musica&lt;/loc&gt;")</f>
        <v>https://odysia-cruise-uk.client.prod.eu-west.dreamlake.io/cruise-lines/msc-cruises/msc-musica&lt;/loc&gt;</v>
      </c>
      <c r="C89" s="153" t="str">
        <f>IFERROR(__xludf.DUMMYFUNCTION("REGEXREPLACE(B89, ""&lt;/loc&gt;"", """")"),"https://odysia-cruise-uk.client.prod.eu-west.dreamlake.io/cruise-lines/msc-cruises/msc-musica")</f>
        <v>https://odysia-cruise-uk.client.prod.eu-west.dreamlake.io/cruise-lines/msc-cruises/msc-musica</v>
      </c>
      <c r="D89" s="152" t="s">
        <v>380</v>
      </c>
      <c r="E89" s="152" t="str">
        <f>IFERROR(__xludf.DUMMYFUNCTION("REGEXREPLACE(D89, ""https://odysia-cruise-uk.client.prod.eu-west.dreamlake.io"", """")"),"/cruise-lines/msc-cruises/msc-musica")</f>
        <v>/cruise-lines/msc-cruises/msc-musica</v>
      </c>
    </row>
    <row r="90">
      <c r="A90" s="154" t="s">
        <v>381</v>
      </c>
      <c r="B90" s="152" t="str">
        <f>IFERROR(__xludf.DUMMYFUNCTION("REGEXREPLACE(A90, ""&lt;loc&gt;"", """")"),"https://odysia-cruise-uk.client.prod.eu-west.dreamlake.io/cruise-lines/fred-olsen-cruises/borealis/cruises&lt;/loc&gt;")</f>
        <v>https://odysia-cruise-uk.client.prod.eu-west.dreamlake.io/cruise-lines/fred-olsen-cruises/borealis/cruises&lt;/loc&gt;</v>
      </c>
      <c r="C90" s="153" t="str">
        <f>IFERROR(__xludf.DUMMYFUNCTION("REGEXREPLACE(B90, ""&lt;/loc&gt;"", """")"),"https://odysia-cruise-uk.client.prod.eu-west.dreamlake.io/cruise-lines/fred-olsen-cruises/borealis/cruises")</f>
        <v>https://odysia-cruise-uk.client.prod.eu-west.dreamlake.io/cruise-lines/fred-olsen-cruises/borealis/cruises</v>
      </c>
      <c r="D90" s="152" t="s">
        <v>382</v>
      </c>
      <c r="E90" s="152" t="str">
        <f>IFERROR(__xludf.DUMMYFUNCTION("REGEXREPLACE(D90, ""https://odysia-cruise-uk.client.prod.eu-west.dreamlake.io"", """")"),"/cruise-lines/fred-olsen-cruises/borealis/cruises")</f>
        <v>/cruise-lines/fred-olsen-cruises/borealis/cruises</v>
      </c>
    </row>
    <row r="91">
      <c r="A91" s="154" t="s">
        <v>383</v>
      </c>
      <c r="B91" s="152" t="str">
        <f>IFERROR(__xludf.DUMMYFUNCTION("REGEXREPLACE(A91, ""&lt;loc&gt;"", """")"),"https://odysia-cruise-uk.client.prod.eu-west.dreamlake.io/cruise-lines/costa-cruises&lt;/loc&gt;")</f>
        <v>https://odysia-cruise-uk.client.prod.eu-west.dreamlake.io/cruise-lines/costa-cruises&lt;/loc&gt;</v>
      </c>
      <c r="C91" s="153" t="str">
        <f>IFERROR(__xludf.DUMMYFUNCTION("REGEXREPLACE(B91, ""&lt;/loc&gt;"", """")"),"https://odysia-cruise-uk.client.prod.eu-west.dreamlake.io/cruise-lines/costa-cruises")</f>
        <v>https://odysia-cruise-uk.client.prod.eu-west.dreamlake.io/cruise-lines/costa-cruises</v>
      </c>
      <c r="D91" s="152" t="s">
        <v>384</v>
      </c>
      <c r="E91" s="152" t="str">
        <f>IFERROR(__xludf.DUMMYFUNCTION("REGEXREPLACE(D91, ""https://odysia-cruise-uk.client.prod.eu-west.dreamlake.io"", """")"),"/cruise-lines/costa-cruises")</f>
        <v>/cruise-lines/costa-cruises</v>
      </c>
    </row>
    <row r="92">
      <c r="A92" s="154" t="s">
        <v>385</v>
      </c>
      <c r="B92" s="152" t="str">
        <f>IFERROR(__xludf.DUMMYFUNCTION("REGEXREPLACE(A92, ""&lt;loc&gt;"", """")"),"https://odysia-cruise-uk.client.prod.eu-west.dreamlake.io/cruise-lines/norwegian-cruise-line/norwegian-escape&lt;/loc&gt;")</f>
        <v>https://odysia-cruise-uk.client.prod.eu-west.dreamlake.io/cruise-lines/norwegian-cruise-line/norwegian-escape&lt;/loc&gt;</v>
      </c>
      <c r="C92" s="153" t="str">
        <f>IFERROR(__xludf.DUMMYFUNCTION("REGEXREPLACE(B92, ""&lt;/loc&gt;"", """")"),"https://odysia-cruise-uk.client.prod.eu-west.dreamlake.io/cruise-lines/norwegian-cruise-line/norwegian-escape")</f>
        <v>https://odysia-cruise-uk.client.prod.eu-west.dreamlake.io/cruise-lines/norwegian-cruise-line/norwegian-escape</v>
      </c>
      <c r="D92" s="152" t="s">
        <v>386</v>
      </c>
      <c r="E92" s="152" t="str">
        <f>IFERROR(__xludf.DUMMYFUNCTION("REGEXREPLACE(D92, ""https://odysia-cruise-uk.client.prod.eu-west.dreamlake.io"", """")"),"/cruise-lines/norwegian-cruise-line/norwegian-escape")</f>
        <v>/cruise-lines/norwegian-cruise-line/norwegian-escape</v>
      </c>
    </row>
    <row r="93">
      <c r="A93" s="154" t="s">
        <v>387</v>
      </c>
      <c r="B93" s="152" t="str">
        <f>IFERROR(__xludf.DUMMYFUNCTION("REGEXREPLACE(A93, ""&lt;loc&gt;"", """")"),"https://odysia-cruise-uk.client.prod.eu-west.dreamlake.io/cruise-lines/costa-cruises/costa-serena/cruises&lt;/loc&gt;")</f>
        <v>https://odysia-cruise-uk.client.prod.eu-west.dreamlake.io/cruise-lines/costa-cruises/costa-serena/cruises&lt;/loc&gt;</v>
      </c>
      <c r="C93" s="153" t="str">
        <f>IFERROR(__xludf.DUMMYFUNCTION("REGEXREPLACE(B93, ""&lt;/loc&gt;"", """")"),"https://odysia-cruise-uk.client.prod.eu-west.dreamlake.io/cruise-lines/costa-cruises/costa-serena/cruises")</f>
        <v>https://odysia-cruise-uk.client.prod.eu-west.dreamlake.io/cruise-lines/costa-cruises/costa-serena/cruises</v>
      </c>
      <c r="D93" s="152" t="s">
        <v>388</v>
      </c>
      <c r="E93" s="152" t="str">
        <f>IFERROR(__xludf.DUMMYFUNCTION("REGEXREPLACE(D93, ""https://odysia-cruise-uk.client.prod.eu-west.dreamlake.io"", """")"),"/cruise-lines/costa-cruises/costa-serena/cruises")</f>
        <v>/cruise-lines/costa-cruises/costa-serena/cruises</v>
      </c>
    </row>
    <row r="94">
      <c r="A94" s="154" t="s">
        <v>389</v>
      </c>
      <c r="B94" s="152" t="str">
        <f>IFERROR(__xludf.DUMMYFUNCTION("REGEXREPLACE(A94, ""&lt;loc&gt;"", """")"),"https://odysia-cruise-uk.client.prod.eu-west.dreamlake.io/cruise-lines/msc-cruises&lt;/loc&gt;")</f>
        <v>https://odysia-cruise-uk.client.prod.eu-west.dreamlake.io/cruise-lines/msc-cruises&lt;/loc&gt;</v>
      </c>
      <c r="C94" s="153" t="str">
        <f>IFERROR(__xludf.DUMMYFUNCTION("REGEXREPLACE(B94, ""&lt;/loc&gt;"", """")"),"https://odysia-cruise-uk.client.prod.eu-west.dreamlake.io/cruise-lines/msc-cruises")</f>
        <v>https://odysia-cruise-uk.client.prod.eu-west.dreamlake.io/cruise-lines/msc-cruises</v>
      </c>
      <c r="D94" s="152" t="s">
        <v>390</v>
      </c>
      <c r="E94" s="152" t="str">
        <f>IFERROR(__xludf.DUMMYFUNCTION("REGEXREPLACE(D94, ""https://odysia-cruise-uk.client.prod.eu-west.dreamlake.io"", """")"),"/cruise-lines/msc-cruises")</f>
        <v>/cruise-lines/msc-cruises</v>
      </c>
    </row>
    <row r="95">
      <c r="A95" s="154" t="s">
        <v>391</v>
      </c>
      <c r="B95" s="152" t="str">
        <f>IFERROR(__xludf.DUMMYFUNCTION("REGEXREPLACE(A95, ""&lt;loc&gt;"", """")"),"https://odysia-cruise-uk.client.prod.eu-west.dreamlake.io/cruise-lines/cunard/queen-victoria&lt;/loc&gt;")</f>
        <v>https://odysia-cruise-uk.client.prod.eu-west.dreamlake.io/cruise-lines/cunard/queen-victoria&lt;/loc&gt;</v>
      </c>
      <c r="C95" s="153" t="str">
        <f>IFERROR(__xludf.DUMMYFUNCTION("REGEXREPLACE(B95, ""&lt;/loc&gt;"", """")"),"https://odysia-cruise-uk.client.prod.eu-west.dreamlake.io/cruise-lines/cunard/queen-victoria")</f>
        <v>https://odysia-cruise-uk.client.prod.eu-west.dreamlake.io/cruise-lines/cunard/queen-victoria</v>
      </c>
      <c r="D95" s="152" t="s">
        <v>392</v>
      </c>
      <c r="E95" s="152" t="str">
        <f>IFERROR(__xludf.DUMMYFUNCTION("REGEXREPLACE(D95, ""https://odysia-cruise-uk.client.prod.eu-west.dreamlake.io"", """")"),"/cruise-lines/cunard/queen-victoria")</f>
        <v>/cruise-lines/cunard/queen-victoria</v>
      </c>
    </row>
    <row r="96">
      <c r="A96" s="154" t="s">
        <v>393</v>
      </c>
      <c r="B96" s="152" t="str">
        <f>IFERROR(__xludf.DUMMYFUNCTION("REGEXREPLACE(A96, ""&lt;loc&gt;"", """")"),"https://odysia-cruise-uk.client.prod.eu-west.dreamlake.io/cruise-lines/royal-caribbean/freedom-of-the-seas&lt;/loc&gt;")</f>
        <v>https://odysia-cruise-uk.client.prod.eu-west.dreamlake.io/cruise-lines/royal-caribbean/freedom-of-the-seas&lt;/loc&gt;</v>
      </c>
      <c r="C96" s="153" t="str">
        <f>IFERROR(__xludf.DUMMYFUNCTION("REGEXREPLACE(B96, ""&lt;/loc&gt;"", """")"),"https://odysia-cruise-uk.client.prod.eu-west.dreamlake.io/cruise-lines/royal-caribbean/freedom-of-the-seas")</f>
        <v>https://odysia-cruise-uk.client.prod.eu-west.dreamlake.io/cruise-lines/royal-caribbean/freedom-of-the-seas</v>
      </c>
      <c r="D96" s="152" t="s">
        <v>394</v>
      </c>
      <c r="E96" s="152" t="str">
        <f>IFERROR(__xludf.DUMMYFUNCTION("REGEXREPLACE(D96, ""https://odysia-cruise-uk.client.prod.eu-west.dreamlake.io"", """")"),"/cruise-lines/royal-caribbean/freedom-of-the-seas")</f>
        <v>/cruise-lines/royal-caribbean/freedom-of-the-seas</v>
      </c>
    </row>
    <row r="97">
      <c r="A97" s="154" t="s">
        <v>395</v>
      </c>
      <c r="B97" s="152" t="str">
        <f>IFERROR(__xludf.DUMMYFUNCTION("REGEXREPLACE(A97, ""&lt;loc&gt;"", """")"),"https://odysia-cruise-uk.client.prod.eu-west.dreamlake.io/cruise-lines/po-cruises/arvia&lt;/loc&gt;")</f>
        <v>https://odysia-cruise-uk.client.prod.eu-west.dreamlake.io/cruise-lines/po-cruises/arvia&lt;/loc&gt;</v>
      </c>
      <c r="C97" s="153" t="str">
        <f>IFERROR(__xludf.DUMMYFUNCTION("REGEXREPLACE(B97, ""&lt;/loc&gt;"", """")"),"https://odysia-cruise-uk.client.prod.eu-west.dreamlake.io/cruise-lines/po-cruises/arvia")</f>
        <v>https://odysia-cruise-uk.client.prod.eu-west.dreamlake.io/cruise-lines/po-cruises/arvia</v>
      </c>
      <c r="D97" s="152" t="s">
        <v>396</v>
      </c>
      <c r="E97" s="152" t="str">
        <f>IFERROR(__xludf.DUMMYFUNCTION("REGEXREPLACE(D97, ""https://odysia-cruise-uk.client.prod.eu-west.dreamlake.io"", """")"),"/cruise-lines/po-cruises/arvia")</f>
        <v>/cruise-lines/po-cruises/arvia</v>
      </c>
    </row>
    <row r="98">
      <c r="A98" s="154" t="s">
        <v>397</v>
      </c>
      <c r="B98" s="152" t="str">
        <f>IFERROR(__xludf.DUMMYFUNCTION("REGEXREPLACE(A98, ""&lt;loc&gt;"", """")"),"https://odysia-cruise-uk.client.prod.eu-west.dreamlake.io/cruise-lines/oceania-cruises/oceania-allura/cruises&lt;/loc&gt;")</f>
        <v>https://odysia-cruise-uk.client.prod.eu-west.dreamlake.io/cruise-lines/oceania-cruises/oceania-allura/cruises&lt;/loc&gt;</v>
      </c>
      <c r="C98" s="153" t="str">
        <f>IFERROR(__xludf.DUMMYFUNCTION("REGEXREPLACE(B98, ""&lt;/loc&gt;"", """")"),"https://odysia-cruise-uk.client.prod.eu-west.dreamlake.io/cruise-lines/oceania-cruises/oceania-allura/cruises")</f>
        <v>https://odysia-cruise-uk.client.prod.eu-west.dreamlake.io/cruise-lines/oceania-cruises/oceania-allura/cruises</v>
      </c>
      <c r="D98" s="152" t="s">
        <v>398</v>
      </c>
      <c r="E98" s="152" t="str">
        <f>IFERROR(__xludf.DUMMYFUNCTION("REGEXREPLACE(D98, ""https://odysia-cruise-uk.client.prod.eu-west.dreamlake.io"", """")"),"/cruise-lines/oceania-cruises/oceania-allura/cruises")</f>
        <v>/cruise-lines/oceania-cruises/oceania-allura/cruises</v>
      </c>
    </row>
    <row r="99">
      <c r="A99" s="154" t="s">
        <v>399</v>
      </c>
      <c r="B99" s="152" t="str">
        <f>IFERROR(__xludf.DUMMYFUNCTION("REGEXREPLACE(A99, ""&lt;loc&gt;"", """")"),"https://odysia-cruise-uk.client.prod.eu-west.dreamlake.io/cruise-lines/norwegian-cruise-line/norwegian-getaway&lt;/loc&gt;")</f>
        <v>https://odysia-cruise-uk.client.prod.eu-west.dreamlake.io/cruise-lines/norwegian-cruise-line/norwegian-getaway&lt;/loc&gt;</v>
      </c>
      <c r="C99" s="153" t="str">
        <f>IFERROR(__xludf.DUMMYFUNCTION("REGEXREPLACE(B99, ""&lt;/loc&gt;"", """")"),"https://odysia-cruise-uk.client.prod.eu-west.dreamlake.io/cruise-lines/norwegian-cruise-line/norwegian-getaway")</f>
        <v>https://odysia-cruise-uk.client.prod.eu-west.dreamlake.io/cruise-lines/norwegian-cruise-line/norwegian-getaway</v>
      </c>
      <c r="D99" s="152" t="s">
        <v>400</v>
      </c>
      <c r="E99" s="152" t="str">
        <f>IFERROR(__xludf.DUMMYFUNCTION("REGEXREPLACE(D99, ""https://odysia-cruise-uk.client.prod.eu-west.dreamlake.io"", """")"),"/cruise-lines/norwegian-cruise-line/norwegian-getaway")</f>
        <v>/cruise-lines/norwegian-cruise-line/norwegian-getaway</v>
      </c>
    </row>
    <row r="100">
      <c r="A100" s="154" t="s">
        <v>401</v>
      </c>
      <c r="B100" s="152" t="str">
        <f>IFERROR(__xludf.DUMMYFUNCTION("REGEXREPLACE(A100, ""&lt;loc&gt;"", """")"),"https://odysia-cruise-uk.client.prod.eu-west.dreamlake.io/cruise-calendar/polar-region-cruises&lt;/loc&gt;")</f>
        <v>https://odysia-cruise-uk.client.prod.eu-west.dreamlake.io/cruise-calendar/polar-region-cruises&lt;/loc&gt;</v>
      </c>
      <c r="C100" s="153" t="str">
        <f>IFERROR(__xludf.DUMMYFUNCTION("REGEXREPLACE(B100, ""&lt;/loc&gt;"", """")"),"https://odysia-cruise-uk.client.prod.eu-west.dreamlake.io/cruise-calendar/polar-region-cruises")</f>
        <v>https://odysia-cruise-uk.client.prod.eu-west.dreamlake.io/cruise-calendar/polar-region-cruises</v>
      </c>
    </row>
    <row r="101">
      <c r="A101" s="154" t="s">
        <v>402</v>
      </c>
      <c r="B101" s="152" t="str">
        <f>IFERROR(__xludf.DUMMYFUNCTION("REGEXREPLACE(A101, ""&lt;loc&gt;"", """")"),"https://odysia-cruise-uk.client.prod.eu-west.dreamlake.io/cruise-lines/oceania-cruises/oceania-regatta/cruises&lt;/loc&gt;")</f>
        <v>https://odysia-cruise-uk.client.prod.eu-west.dreamlake.io/cruise-lines/oceania-cruises/oceania-regatta/cruises&lt;/loc&gt;</v>
      </c>
      <c r="C101" s="153" t="str">
        <f>IFERROR(__xludf.DUMMYFUNCTION("REGEXREPLACE(B101, ""&lt;/loc&gt;"", """")"),"https://odysia-cruise-uk.client.prod.eu-west.dreamlake.io/cruise-lines/oceania-cruises/oceania-regatta/cruises")</f>
        <v>https://odysia-cruise-uk.client.prod.eu-west.dreamlake.io/cruise-lines/oceania-cruises/oceania-regatta/cruises</v>
      </c>
      <c r="D101" s="152" t="s">
        <v>403</v>
      </c>
      <c r="E101" s="152" t="str">
        <f>IFERROR(__xludf.DUMMYFUNCTION("REGEXREPLACE(D101, ""https://odysia-cruise-uk.client.prod.eu-west.dreamlake.io"", """")"),"/cruise-lines/oceania-cruises/oceania-regatta/cruises")</f>
        <v>/cruise-lines/oceania-cruises/oceania-regatta/cruises</v>
      </c>
    </row>
    <row r="102">
      <c r="A102" s="154" t="s">
        <v>404</v>
      </c>
      <c r="B102" s="152" t="str">
        <f>IFERROR(__xludf.DUMMYFUNCTION("REGEXREPLACE(A102, ""&lt;loc&gt;"", """")"),"https://odysia-cruise-uk.client.prod.eu-west.dreamlake.io/cruise-lines/royal-caribbean/navigator-of-the-seas&lt;/loc&gt;")</f>
        <v>https://odysia-cruise-uk.client.prod.eu-west.dreamlake.io/cruise-lines/royal-caribbean/navigator-of-the-seas&lt;/loc&gt;</v>
      </c>
      <c r="C102" s="153" t="str">
        <f>IFERROR(__xludf.DUMMYFUNCTION("REGEXREPLACE(B102, ""&lt;/loc&gt;"", """")"),"https://odysia-cruise-uk.client.prod.eu-west.dreamlake.io/cruise-lines/royal-caribbean/navigator-of-the-seas")</f>
        <v>https://odysia-cruise-uk.client.prod.eu-west.dreamlake.io/cruise-lines/royal-caribbean/navigator-of-the-seas</v>
      </c>
      <c r="D102" s="152" t="s">
        <v>405</v>
      </c>
      <c r="E102" s="152" t="str">
        <f>IFERROR(__xludf.DUMMYFUNCTION("REGEXREPLACE(D102, ""https://odysia-cruise-uk.client.prod.eu-west.dreamlake.io"", """")"),"/cruise-lines/royal-caribbean/navigator-of-the-seas")</f>
        <v>/cruise-lines/royal-caribbean/navigator-of-the-seas</v>
      </c>
    </row>
    <row r="103">
      <c r="A103" s="154" t="s">
        <v>406</v>
      </c>
      <c r="B103" s="152" t="str">
        <f>IFERROR(__xludf.DUMMYFUNCTION("REGEXREPLACE(A103, ""&lt;loc&gt;"", """")"),"https://odysia-cruise-uk.client.prod.eu-west.dreamlake.io/cruise-lines/explora-journeys/explora-ii&lt;/loc&gt;")</f>
        <v>https://odysia-cruise-uk.client.prod.eu-west.dreamlake.io/cruise-lines/explora-journeys/explora-ii&lt;/loc&gt;</v>
      </c>
      <c r="C103" s="153" t="str">
        <f>IFERROR(__xludf.DUMMYFUNCTION("REGEXREPLACE(B103, ""&lt;/loc&gt;"", """")"),"https://odysia-cruise-uk.client.prod.eu-west.dreamlake.io/cruise-lines/explora-journeys/explora-ii")</f>
        <v>https://odysia-cruise-uk.client.prod.eu-west.dreamlake.io/cruise-lines/explora-journeys/explora-ii</v>
      </c>
      <c r="D103" s="152" t="s">
        <v>407</v>
      </c>
      <c r="E103" s="152" t="str">
        <f>IFERROR(__xludf.DUMMYFUNCTION("REGEXREPLACE(D103, ""https://odysia-cruise-uk.client.prod.eu-west.dreamlake.io"", """")"),"/cruise-lines/explora-journeys/explora-ii")</f>
        <v>/cruise-lines/explora-journeys/explora-ii</v>
      </c>
    </row>
    <row r="104">
      <c r="A104" s="154" t="s">
        <v>408</v>
      </c>
      <c r="B104" s="152" t="str">
        <f>IFERROR(__xludf.DUMMYFUNCTION("REGEXREPLACE(A104, ""&lt;loc&gt;"", """")"),"https://odysia-cruise-uk.client.prod.eu-west.dreamlake.io/cruise-lines/seabourn/seabourn-venture/cruises&lt;/loc&gt;")</f>
        <v>https://odysia-cruise-uk.client.prod.eu-west.dreamlake.io/cruise-lines/seabourn/seabourn-venture/cruises&lt;/loc&gt;</v>
      </c>
      <c r="C104" s="153" t="str">
        <f>IFERROR(__xludf.DUMMYFUNCTION("REGEXREPLACE(B104, ""&lt;/loc&gt;"", """")"),"https://odysia-cruise-uk.client.prod.eu-west.dreamlake.io/cruise-lines/seabourn/seabourn-venture/cruises")</f>
        <v>https://odysia-cruise-uk.client.prod.eu-west.dreamlake.io/cruise-lines/seabourn/seabourn-venture/cruises</v>
      </c>
      <c r="D104" s="152" t="s">
        <v>409</v>
      </c>
      <c r="E104" s="152" t="str">
        <f>IFERROR(__xludf.DUMMYFUNCTION("REGEXREPLACE(D104, ""https://odysia-cruise-uk.client.prod.eu-west.dreamlake.io"", """")"),"/cruise-lines/seabourn/seabourn-venture/cruises")</f>
        <v>/cruise-lines/seabourn/seabourn-venture/cruises</v>
      </c>
    </row>
    <row r="105">
      <c r="A105" s="154" t="s">
        <v>410</v>
      </c>
      <c r="B105" s="152" t="str">
        <f>IFERROR(__xludf.DUMMYFUNCTION("REGEXREPLACE(A105, ""&lt;loc&gt;"", """")"),"https://odysia-cruise-uk.client.prod.eu-west.dreamlake.io/cruise-lines/princess-cruises/discovery-princess&lt;/loc&gt;")</f>
        <v>https://odysia-cruise-uk.client.prod.eu-west.dreamlake.io/cruise-lines/princess-cruises/discovery-princess&lt;/loc&gt;</v>
      </c>
      <c r="C105" s="153" t="str">
        <f>IFERROR(__xludf.DUMMYFUNCTION("REGEXREPLACE(B105, ""&lt;/loc&gt;"", """")"),"https://odysia-cruise-uk.client.prod.eu-west.dreamlake.io/cruise-lines/princess-cruises/discovery-princess")</f>
        <v>https://odysia-cruise-uk.client.prod.eu-west.dreamlake.io/cruise-lines/princess-cruises/discovery-princess</v>
      </c>
      <c r="D105" s="152" t="s">
        <v>411</v>
      </c>
      <c r="E105" s="152" t="str">
        <f>IFERROR(__xludf.DUMMYFUNCTION("REGEXREPLACE(D105, ""https://odysia-cruise-uk.client.prod.eu-west.dreamlake.io"", """")"),"/cruise-lines/princess-cruises/discovery-princess")</f>
        <v>/cruise-lines/princess-cruises/discovery-princess</v>
      </c>
    </row>
    <row r="106">
      <c r="A106" s="154" t="s">
        <v>412</v>
      </c>
      <c r="B106" s="152" t="str">
        <f>IFERROR(__xludf.DUMMYFUNCTION("REGEXREPLACE(A106, ""&lt;loc&gt;"", """")"),"https://odysia-cruise-uk.client.prod.eu-west.dreamlake.io/cruise-lines/msc-cruises/msc-virtuosa/cruises&lt;/loc&gt;")</f>
        <v>https://odysia-cruise-uk.client.prod.eu-west.dreamlake.io/cruise-lines/msc-cruises/msc-virtuosa/cruises&lt;/loc&gt;</v>
      </c>
      <c r="C106" s="153" t="str">
        <f>IFERROR(__xludf.DUMMYFUNCTION("REGEXREPLACE(B106, ""&lt;/loc&gt;"", """")"),"https://odysia-cruise-uk.client.prod.eu-west.dreamlake.io/cruise-lines/msc-cruises/msc-virtuosa/cruises")</f>
        <v>https://odysia-cruise-uk.client.prod.eu-west.dreamlake.io/cruise-lines/msc-cruises/msc-virtuosa/cruises</v>
      </c>
      <c r="D106" s="152" t="s">
        <v>413</v>
      </c>
      <c r="E106" s="152" t="str">
        <f>IFERROR(__xludf.DUMMYFUNCTION("REGEXREPLACE(D106, ""https://odysia-cruise-uk.client.prod.eu-west.dreamlake.io"", """")"),"/cruise-lines/msc-cruises/msc-virtuosa/cruises")</f>
        <v>/cruise-lines/msc-cruises/msc-virtuosa/cruises</v>
      </c>
    </row>
    <row r="107">
      <c r="A107" s="154" t="s">
        <v>414</v>
      </c>
      <c r="B107" s="152" t="str">
        <f>IFERROR(__xludf.DUMMYFUNCTION("REGEXREPLACE(A107, ""&lt;loc&gt;"", """")"),"https://odysia-cruise-uk.client.prod.eu-west.dreamlake.io/cruise-lines&lt;/loc&gt;")</f>
        <v>https://odysia-cruise-uk.client.prod.eu-west.dreamlake.io/cruise-lines&lt;/loc&gt;</v>
      </c>
      <c r="C107" s="153" t="str">
        <f>IFERROR(__xludf.DUMMYFUNCTION("REGEXREPLACE(B107, ""&lt;/loc&gt;"", """")"),"https://odysia-cruise-uk.client.prod.eu-west.dreamlake.io/cruise-lines")</f>
        <v>https://odysia-cruise-uk.client.prod.eu-west.dreamlake.io/cruise-lines</v>
      </c>
    </row>
    <row r="108">
      <c r="A108" s="154" t="s">
        <v>415</v>
      </c>
      <c r="B108" s="152" t="str">
        <f>IFERROR(__xludf.DUMMYFUNCTION("REGEXREPLACE(A108, ""&lt;loc&gt;"", """")"),"https://odysia-cruise-uk.client.prod.eu-west.dreamlake.io/cruise-lines/costa-cruises/costa-deliziosa/cruises&lt;/loc&gt;")</f>
        <v>https://odysia-cruise-uk.client.prod.eu-west.dreamlake.io/cruise-lines/costa-cruises/costa-deliziosa/cruises&lt;/loc&gt;</v>
      </c>
      <c r="C108" s="153" t="str">
        <f>IFERROR(__xludf.DUMMYFUNCTION("REGEXREPLACE(B108, ""&lt;/loc&gt;"", """")"),"https://odysia-cruise-uk.client.prod.eu-west.dreamlake.io/cruise-lines/costa-cruises/costa-deliziosa/cruises")</f>
        <v>https://odysia-cruise-uk.client.prod.eu-west.dreamlake.io/cruise-lines/costa-cruises/costa-deliziosa/cruises</v>
      </c>
      <c r="D108" s="152" t="s">
        <v>416</v>
      </c>
      <c r="E108" s="152" t="str">
        <f>IFERROR(__xludf.DUMMYFUNCTION("REGEXREPLACE(D108, ""https://odysia-cruise-uk.client.prod.eu-west.dreamlake.io"", """")"),"/cruise-lines/costa-cruises/costa-deliziosa/cruises")</f>
        <v>/cruise-lines/costa-cruises/costa-deliziosa/cruises</v>
      </c>
    </row>
    <row r="109">
      <c r="A109" s="154" t="s">
        <v>417</v>
      </c>
      <c r="B109" s="152" t="str">
        <f>IFERROR(__xludf.DUMMYFUNCTION("REGEXREPLACE(A109, ""&lt;loc&gt;"", """")"),"https://odysia-cruise-uk.client.prod.eu-west.dreamlake.io/cruise-lines/holland-america-line/koningsdam/cruises&lt;/loc&gt;")</f>
        <v>https://odysia-cruise-uk.client.prod.eu-west.dreamlake.io/cruise-lines/holland-america-line/koningsdam/cruises&lt;/loc&gt;</v>
      </c>
      <c r="C109" s="153" t="str">
        <f>IFERROR(__xludf.DUMMYFUNCTION("REGEXREPLACE(B109, ""&lt;/loc&gt;"", """")"),"https://odysia-cruise-uk.client.prod.eu-west.dreamlake.io/cruise-lines/holland-america-line/koningsdam/cruises")</f>
        <v>https://odysia-cruise-uk.client.prod.eu-west.dreamlake.io/cruise-lines/holland-america-line/koningsdam/cruises</v>
      </c>
      <c r="D109" s="152" t="s">
        <v>418</v>
      </c>
      <c r="E109" s="152" t="str">
        <f>IFERROR(__xludf.DUMMYFUNCTION("REGEXREPLACE(D109, ""https://odysia-cruise-uk.client.prod.eu-west.dreamlake.io"", """")"),"/cruise-lines/holland-america-line/koningsdam/cruises")</f>
        <v>/cruise-lines/holland-america-line/koningsdam/cruises</v>
      </c>
    </row>
    <row r="110">
      <c r="A110" s="154" t="s">
        <v>419</v>
      </c>
      <c r="B110" s="152" t="str">
        <f>IFERROR(__xludf.DUMMYFUNCTION("REGEXREPLACE(A110, ""&lt;loc&gt;"", """")"),"https://odysia-cruise-uk.client.prod.eu-west.dreamlake.io/cruise-lines/costa-cruises/costa-favolosa/cruises&lt;/loc&gt;")</f>
        <v>https://odysia-cruise-uk.client.prod.eu-west.dreamlake.io/cruise-lines/costa-cruises/costa-favolosa/cruises&lt;/loc&gt;</v>
      </c>
      <c r="C110" s="153" t="str">
        <f>IFERROR(__xludf.DUMMYFUNCTION("REGEXREPLACE(B110, ""&lt;/loc&gt;"", """")"),"https://odysia-cruise-uk.client.prod.eu-west.dreamlake.io/cruise-lines/costa-cruises/costa-favolosa/cruises")</f>
        <v>https://odysia-cruise-uk.client.prod.eu-west.dreamlake.io/cruise-lines/costa-cruises/costa-favolosa/cruises</v>
      </c>
      <c r="D110" s="152" t="s">
        <v>420</v>
      </c>
      <c r="E110" s="152" t="str">
        <f>IFERROR(__xludf.DUMMYFUNCTION("REGEXREPLACE(D110, ""https://odysia-cruise-uk.client.prod.eu-west.dreamlake.io"", """")"),"/cruise-lines/costa-cruises/costa-favolosa/cruises")</f>
        <v>/cruise-lines/costa-cruises/costa-favolosa/cruises</v>
      </c>
    </row>
    <row r="111">
      <c r="A111" s="154" t="s">
        <v>421</v>
      </c>
      <c r="B111" s="152" t="str">
        <f>IFERROR(__xludf.DUMMYFUNCTION("REGEXREPLACE(A111, ""&lt;loc&gt;"", """")"),"https://odysia-cruise-uk.client.prod.eu-west.dreamlake.io/cruise-lines/norwegian-cruise-line/norwegian-gem&lt;/loc&gt;")</f>
        <v>https://odysia-cruise-uk.client.prod.eu-west.dreamlake.io/cruise-lines/norwegian-cruise-line/norwegian-gem&lt;/loc&gt;</v>
      </c>
      <c r="C111" s="153" t="str">
        <f>IFERROR(__xludf.DUMMYFUNCTION("REGEXREPLACE(B111, ""&lt;/loc&gt;"", """")"),"https://odysia-cruise-uk.client.prod.eu-west.dreamlake.io/cruise-lines/norwegian-cruise-line/norwegian-gem")</f>
        <v>https://odysia-cruise-uk.client.prod.eu-west.dreamlake.io/cruise-lines/norwegian-cruise-line/norwegian-gem</v>
      </c>
      <c r="D111" s="152" t="s">
        <v>422</v>
      </c>
      <c r="E111" s="152" t="str">
        <f>IFERROR(__xludf.DUMMYFUNCTION("REGEXREPLACE(D111, ""https://odysia-cruise-uk.client.prod.eu-west.dreamlake.io"", """")"),"/cruise-lines/norwegian-cruise-line/norwegian-gem")</f>
        <v>/cruise-lines/norwegian-cruise-line/norwegian-gem</v>
      </c>
    </row>
    <row r="112">
      <c r="A112" s="154" t="s">
        <v>423</v>
      </c>
      <c r="B112" s="152" t="str">
        <f>IFERROR(__xludf.DUMMYFUNCTION("REGEXREPLACE(A112, ""&lt;loc&gt;"", """")"),"https://odysia-cruise-uk.client.prod.eu-west.dreamlake.io/cruise-lines/princess-cruises/star-princess&lt;/loc&gt;")</f>
        <v>https://odysia-cruise-uk.client.prod.eu-west.dreamlake.io/cruise-lines/princess-cruises/star-princess&lt;/loc&gt;</v>
      </c>
      <c r="C112" s="153" t="str">
        <f>IFERROR(__xludf.DUMMYFUNCTION("REGEXREPLACE(B112, ""&lt;/loc&gt;"", """")"),"https://odysia-cruise-uk.client.prod.eu-west.dreamlake.io/cruise-lines/princess-cruises/star-princess")</f>
        <v>https://odysia-cruise-uk.client.prod.eu-west.dreamlake.io/cruise-lines/princess-cruises/star-princess</v>
      </c>
      <c r="D112" s="152" t="s">
        <v>424</v>
      </c>
      <c r="E112" s="152" t="str">
        <f>IFERROR(__xludf.DUMMYFUNCTION("REGEXREPLACE(D112, ""https://odysia-cruise-uk.client.prod.eu-west.dreamlake.io"", """")"),"/cruise-lines/princess-cruises/star-princess")</f>
        <v>/cruise-lines/princess-cruises/star-princess</v>
      </c>
    </row>
    <row r="113">
      <c r="A113" s="154" t="s">
        <v>425</v>
      </c>
      <c r="B113" s="152" t="str">
        <f>IFERROR(__xludf.DUMMYFUNCTION("REGEXREPLACE(A113, ""&lt;loc&gt;"", """")"),"https://odysia-cruise-uk.client.prod.eu-west.dreamlake.io/cruise-calendar/british-isles-cruises&lt;/loc&gt;")</f>
        <v>https://odysia-cruise-uk.client.prod.eu-west.dreamlake.io/cruise-calendar/british-isles-cruises&lt;/loc&gt;</v>
      </c>
      <c r="C113" s="153" t="str">
        <f>IFERROR(__xludf.DUMMYFUNCTION("REGEXREPLACE(B113, ""&lt;/loc&gt;"", """")"),"https://odysia-cruise-uk.client.prod.eu-west.dreamlake.io/cruise-calendar/british-isles-cruises")</f>
        <v>https://odysia-cruise-uk.client.prod.eu-west.dreamlake.io/cruise-calendar/british-isles-cruises</v>
      </c>
    </row>
    <row r="114">
      <c r="A114" s="154" t="s">
        <v>426</v>
      </c>
      <c r="B114" s="152" t="str">
        <f>IFERROR(__xludf.DUMMYFUNCTION("REGEXREPLACE(A114, ""&lt;loc&gt;"", """")"),"https://odysia-cruise-uk.client.prod.eu-west.dreamlake.io/cruise-lines/celebrity-cruises/celebrity-flora/cruises&lt;/loc&gt;")</f>
        <v>https://odysia-cruise-uk.client.prod.eu-west.dreamlake.io/cruise-lines/celebrity-cruises/celebrity-flora/cruises&lt;/loc&gt;</v>
      </c>
      <c r="C114" s="153" t="str">
        <f>IFERROR(__xludf.DUMMYFUNCTION("REGEXREPLACE(B114, ""&lt;/loc&gt;"", """")"),"https://odysia-cruise-uk.client.prod.eu-west.dreamlake.io/cruise-lines/celebrity-cruises/celebrity-flora/cruises")</f>
        <v>https://odysia-cruise-uk.client.prod.eu-west.dreamlake.io/cruise-lines/celebrity-cruises/celebrity-flora/cruises</v>
      </c>
      <c r="D114" s="152" t="s">
        <v>427</v>
      </c>
      <c r="E114" s="152" t="str">
        <f>IFERROR(__xludf.DUMMYFUNCTION("REGEXREPLACE(D114, ""https://odysia-cruise-uk.client.prod.eu-west.dreamlake.io"", """")"),"/cruise-lines/celebrity-cruises/celebrity-flora/cruises")</f>
        <v>/cruise-lines/celebrity-cruises/celebrity-flora/cruises</v>
      </c>
    </row>
    <row r="115">
      <c r="A115" s="154" t="s">
        <v>428</v>
      </c>
      <c r="B115" s="152" t="str">
        <f>IFERROR(__xludf.DUMMYFUNCTION("REGEXREPLACE(A115, ""&lt;loc&gt;"", """")"),"https://odysia-cruise-uk.client.prod.eu-west.dreamlake.io/cruise-lines/princess-cruises/island-princess&lt;/loc&gt;")</f>
        <v>https://odysia-cruise-uk.client.prod.eu-west.dreamlake.io/cruise-lines/princess-cruises/island-princess&lt;/loc&gt;</v>
      </c>
      <c r="C115" s="153" t="str">
        <f>IFERROR(__xludf.DUMMYFUNCTION("REGEXREPLACE(B115, ""&lt;/loc&gt;"", """")"),"https://odysia-cruise-uk.client.prod.eu-west.dreamlake.io/cruise-lines/princess-cruises/island-princess")</f>
        <v>https://odysia-cruise-uk.client.prod.eu-west.dreamlake.io/cruise-lines/princess-cruises/island-princess</v>
      </c>
      <c r="D115" s="152" t="s">
        <v>429</v>
      </c>
      <c r="E115" s="152" t="str">
        <f>IFERROR(__xludf.DUMMYFUNCTION("REGEXREPLACE(D115, ""https://odysia-cruise-uk.client.prod.eu-west.dreamlake.io"", """")"),"/cruise-lines/princess-cruises/island-princess")</f>
        <v>/cruise-lines/princess-cruises/island-princess</v>
      </c>
    </row>
    <row r="116">
      <c r="A116" s="154" t="s">
        <v>430</v>
      </c>
      <c r="B116" s="152" t="str">
        <f>IFERROR(__xludf.DUMMYFUNCTION("REGEXREPLACE(A116, ""&lt;loc&gt;"", """")"),"https://odysia-cruise-uk.client.prod.eu-west.dreamlake.io/cruise-lines/ambassador-cruise-line&lt;/loc&gt;")</f>
        <v>https://odysia-cruise-uk.client.prod.eu-west.dreamlake.io/cruise-lines/ambassador-cruise-line&lt;/loc&gt;</v>
      </c>
      <c r="C116" s="153" t="str">
        <f>IFERROR(__xludf.DUMMYFUNCTION("REGEXREPLACE(B116, ""&lt;/loc&gt;"", """")"),"https://odysia-cruise-uk.client.prod.eu-west.dreamlake.io/cruise-lines/ambassador-cruise-line")</f>
        <v>https://odysia-cruise-uk.client.prod.eu-west.dreamlake.io/cruise-lines/ambassador-cruise-line</v>
      </c>
      <c r="D116" s="152" t="s">
        <v>431</v>
      </c>
      <c r="E116" s="152" t="str">
        <f>IFERROR(__xludf.DUMMYFUNCTION("REGEXREPLACE(D116, ""https://odysia-cruise-uk.client.prod.eu-west.dreamlake.io"", """")"),"/cruise-lines/ambassador-cruise-line")</f>
        <v>/cruise-lines/ambassador-cruise-line</v>
      </c>
    </row>
    <row r="117">
      <c r="A117" s="154" t="s">
        <v>432</v>
      </c>
      <c r="B117" s="152" t="str">
        <f>IFERROR(__xludf.DUMMYFUNCTION("REGEXREPLACE(A117, ""&lt;loc&gt;"", """")"),"https://odysia-cruise-uk.client.prod.eu-west.dreamlake.io/cruise-lines/cunard/queen-mary-2/cruises&lt;/loc&gt;")</f>
        <v>https://odysia-cruise-uk.client.prod.eu-west.dreamlake.io/cruise-lines/cunard/queen-mary-2/cruises&lt;/loc&gt;</v>
      </c>
      <c r="C117" s="153" t="str">
        <f>IFERROR(__xludf.DUMMYFUNCTION("REGEXREPLACE(B117, ""&lt;/loc&gt;"", """")"),"https://odysia-cruise-uk.client.prod.eu-west.dreamlake.io/cruise-lines/cunard/queen-mary-2/cruises")</f>
        <v>https://odysia-cruise-uk.client.prod.eu-west.dreamlake.io/cruise-lines/cunard/queen-mary-2/cruises</v>
      </c>
      <c r="D117" s="152" t="s">
        <v>433</v>
      </c>
      <c r="E117" s="152" t="str">
        <f>IFERROR(__xludf.DUMMYFUNCTION("REGEXREPLACE(D117, ""https://odysia-cruise-uk.client.prod.eu-west.dreamlake.io"", """")"),"/cruise-lines/cunard/queen-mary-2/cruises")</f>
        <v>/cruise-lines/cunard/queen-mary-2/cruises</v>
      </c>
    </row>
    <row r="118">
      <c r="A118" s="154" t="s">
        <v>434</v>
      </c>
      <c r="B118" s="152" t="str">
        <f>IFERROR(__xludf.DUMMYFUNCTION("REGEXREPLACE(A118, ""&lt;loc&gt;"", """")"),"https://odysia-cruise-uk.client.prod.eu-west.dreamlake.io/cruise-lines/fred-olsen-cruises/balmoral/cruises&lt;/loc&gt;")</f>
        <v>https://odysia-cruise-uk.client.prod.eu-west.dreamlake.io/cruise-lines/fred-olsen-cruises/balmoral/cruises&lt;/loc&gt;</v>
      </c>
      <c r="C118" s="153" t="str">
        <f>IFERROR(__xludf.DUMMYFUNCTION("REGEXREPLACE(B118, ""&lt;/loc&gt;"", """")"),"https://odysia-cruise-uk.client.prod.eu-west.dreamlake.io/cruise-lines/fred-olsen-cruises/balmoral/cruises")</f>
        <v>https://odysia-cruise-uk.client.prod.eu-west.dreamlake.io/cruise-lines/fred-olsen-cruises/balmoral/cruises</v>
      </c>
      <c r="D118" s="152" t="s">
        <v>435</v>
      </c>
      <c r="E118" s="152" t="str">
        <f>IFERROR(__xludf.DUMMYFUNCTION("REGEXREPLACE(D118, ""https://odysia-cruise-uk.client.prod.eu-west.dreamlake.io"", """")"),"/cruise-lines/fred-olsen-cruises/balmoral/cruises")</f>
        <v>/cruise-lines/fred-olsen-cruises/balmoral/cruises</v>
      </c>
    </row>
    <row r="119">
      <c r="A119" s="154" t="s">
        <v>436</v>
      </c>
      <c r="B119" s="152" t="str">
        <f>IFERROR(__xludf.DUMMYFUNCTION("REGEXREPLACE(A119, ""&lt;loc&gt;"", """")"),"https://odysia-cruise-uk.client.prod.eu-west.dreamlake.io/cruise-lines/oceania-cruises/oceania-regatta&lt;/loc&gt;")</f>
        <v>https://odysia-cruise-uk.client.prod.eu-west.dreamlake.io/cruise-lines/oceania-cruises/oceania-regatta&lt;/loc&gt;</v>
      </c>
      <c r="C119" s="153" t="str">
        <f>IFERROR(__xludf.DUMMYFUNCTION("REGEXREPLACE(B119, ""&lt;/loc&gt;"", """")"),"https://odysia-cruise-uk.client.prod.eu-west.dreamlake.io/cruise-lines/oceania-cruises/oceania-regatta")</f>
        <v>https://odysia-cruise-uk.client.prod.eu-west.dreamlake.io/cruise-lines/oceania-cruises/oceania-regatta</v>
      </c>
      <c r="D119" s="152" t="s">
        <v>437</v>
      </c>
      <c r="E119" s="152" t="str">
        <f>IFERROR(__xludf.DUMMYFUNCTION("REGEXREPLACE(D119, ""https://odysia-cruise-uk.client.prod.eu-west.dreamlake.io"", """")"),"/cruise-lines/oceania-cruises/oceania-regatta")</f>
        <v>/cruise-lines/oceania-cruises/oceania-regatta</v>
      </c>
    </row>
    <row r="120">
      <c r="A120" s="154" t="s">
        <v>438</v>
      </c>
      <c r="B120" s="152" t="str">
        <f>IFERROR(__xludf.DUMMYFUNCTION("REGEXREPLACE(A120, ""&lt;loc&gt;"", """")"),"https://odysia-cruise-uk.client.prod.eu-west.dreamlake.io/cruise-lines/po-cruises/iona/cruises&lt;/loc&gt;")</f>
        <v>https://odysia-cruise-uk.client.prod.eu-west.dreamlake.io/cruise-lines/po-cruises/iona/cruises&lt;/loc&gt;</v>
      </c>
      <c r="C120" s="153" t="str">
        <f>IFERROR(__xludf.DUMMYFUNCTION("REGEXREPLACE(B120, ""&lt;/loc&gt;"", """")"),"https://odysia-cruise-uk.client.prod.eu-west.dreamlake.io/cruise-lines/po-cruises/iona/cruises")</f>
        <v>https://odysia-cruise-uk.client.prod.eu-west.dreamlake.io/cruise-lines/po-cruises/iona/cruises</v>
      </c>
      <c r="D120" s="152" t="s">
        <v>439</v>
      </c>
      <c r="E120" s="152" t="str">
        <f>IFERROR(__xludf.DUMMYFUNCTION("REGEXREPLACE(D120, ""https://odysia-cruise-uk.client.prod.eu-west.dreamlake.io"", """")"),"/cruise-lines/po-cruises/iona/cruises")</f>
        <v>/cruise-lines/po-cruises/iona/cruises</v>
      </c>
    </row>
    <row r="121">
      <c r="A121" s="154" t="s">
        <v>440</v>
      </c>
      <c r="B121" s="152" t="str">
        <f>IFERROR(__xludf.DUMMYFUNCTION("REGEXREPLACE(A121, ""&lt;loc&gt;"", """")"),"https://odysia-cruise-uk.client.prod.eu-west.dreamlake.io/cruise-lines/virgin-voyages&lt;/loc&gt;")</f>
        <v>https://odysia-cruise-uk.client.prod.eu-west.dreamlake.io/cruise-lines/virgin-voyages&lt;/loc&gt;</v>
      </c>
      <c r="C121" s="153" t="str">
        <f>IFERROR(__xludf.DUMMYFUNCTION("REGEXREPLACE(B121, ""&lt;/loc&gt;"", """")"),"https://odysia-cruise-uk.client.prod.eu-west.dreamlake.io/cruise-lines/virgin-voyages")</f>
        <v>https://odysia-cruise-uk.client.prod.eu-west.dreamlake.io/cruise-lines/virgin-voyages</v>
      </c>
      <c r="D121" s="152" t="s">
        <v>441</v>
      </c>
      <c r="E121" s="152" t="str">
        <f>IFERROR(__xludf.DUMMYFUNCTION("REGEXREPLACE(D121, ""https://odysia-cruise-uk.client.prod.eu-west.dreamlake.io"", """")"),"/cruise-lines/virgin-voyages")</f>
        <v>/cruise-lines/virgin-voyages</v>
      </c>
    </row>
    <row r="122">
      <c r="A122" s="154" t="s">
        <v>442</v>
      </c>
      <c r="B122" s="152" t="str">
        <f>IFERROR(__xludf.DUMMYFUNCTION("REGEXREPLACE(A122, ""&lt;loc&gt;"", """")"),"https://odysia-cruise-uk.client.prod.eu-west.dreamlake.io/cruise-lines/norwegian-cruise-line/norwegian-viva/cruises&lt;/loc&gt;")</f>
        <v>https://odysia-cruise-uk.client.prod.eu-west.dreamlake.io/cruise-lines/norwegian-cruise-line/norwegian-viva/cruises&lt;/loc&gt;</v>
      </c>
      <c r="C122" s="153" t="str">
        <f>IFERROR(__xludf.DUMMYFUNCTION("REGEXREPLACE(B122, ""&lt;/loc&gt;"", """")"),"https://odysia-cruise-uk.client.prod.eu-west.dreamlake.io/cruise-lines/norwegian-cruise-line/norwegian-viva/cruises")</f>
        <v>https://odysia-cruise-uk.client.prod.eu-west.dreamlake.io/cruise-lines/norwegian-cruise-line/norwegian-viva/cruises</v>
      </c>
      <c r="D122" s="152" t="s">
        <v>443</v>
      </c>
      <c r="E122" s="152" t="str">
        <f>IFERROR(__xludf.DUMMYFUNCTION("REGEXREPLACE(D122, ""https://odysia-cruise-uk.client.prod.eu-west.dreamlake.io"", """")"),"/cruise-lines/norwegian-cruise-line/norwegian-viva/cruises")</f>
        <v>/cruise-lines/norwegian-cruise-line/norwegian-viva/cruises</v>
      </c>
    </row>
    <row r="123">
      <c r="A123" s="154" t="s">
        <v>444</v>
      </c>
      <c r="B123" s="152" t="str">
        <f>IFERROR(__xludf.DUMMYFUNCTION("REGEXREPLACE(A123, ""&lt;loc&gt;"", """")"),"https://odysia-cruise-uk.client.prod.eu-west.dreamlake.io/cruise-lines/princess-cruises/emerald-princess/cruises&lt;/loc&gt;")</f>
        <v>https://odysia-cruise-uk.client.prod.eu-west.dreamlake.io/cruise-lines/princess-cruises/emerald-princess/cruises&lt;/loc&gt;</v>
      </c>
      <c r="C123" s="153" t="str">
        <f>IFERROR(__xludf.DUMMYFUNCTION("REGEXREPLACE(B123, ""&lt;/loc&gt;"", """")"),"https://odysia-cruise-uk.client.prod.eu-west.dreamlake.io/cruise-lines/princess-cruises/emerald-princess/cruises")</f>
        <v>https://odysia-cruise-uk.client.prod.eu-west.dreamlake.io/cruise-lines/princess-cruises/emerald-princess/cruises</v>
      </c>
      <c r="D123" s="152" t="s">
        <v>445</v>
      </c>
      <c r="E123" s="152" t="str">
        <f>IFERROR(__xludf.DUMMYFUNCTION("REGEXREPLACE(D123, ""https://odysia-cruise-uk.client.prod.eu-west.dreamlake.io"", """")"),"/cruise-lines/princess-cruises/emerald-princess/cruises")</f>
        <v>/cruise-lines/princess-cruises/emerald-princess/cruises</v>
      </c>
    </row>
    <row r="124">
      <c r="A124" s="154" t="s">
        <v>446</v>
      </c>
      <c r="B124" s="152" t="str">
        <f>IFERROR(__xludf.DUMMYFUNCTION("REGEXREPLACE(A124, ""&lt;loc&gt;"", """")"),"https://odysia-cruise-uk.client.prod.eu-west.dreamlake.io/cruise-lines/costa-cruises/costa-smeralda&lt;/loc&gt;")</f>
        <v>https://odysia-cruise-uk.client.prod.eu-west.dreamlake.io/cruise-lines/costa-cruises/costa-smeralda&lt;/loc&gt;</v>
      </c>
      <c r="C124" s="153" t="str">
        <f>IFERROR(__xludf.DUMMYFUNCTION("REGEXREPLACE(B124, ""&lt;/loc&gt;"", """")"),"https://odysia-cruise-uk.client.prod.eu-west.dreamlake.io/cruise-lines/costa-cruises/costa-smeralda")</f>
        <v>https://odysia-cruise-uk.client.prod.eu-west.dreamlake.io/cruise-lines/costa-cruises/costa-smeralda</v>
      </c>
      <c r="D124" s="152" t="s">
        <v>447</v>
      </c>
      <c r="E124" s="152" t="str">
        <f>IFERROR(__xludf.DUMMYFUNCTION("REGEXREPLACE(D124, ""https://odysia-cruise-uk.client.prod.eu-west.dreamlake.io"", """")"),"/cruise-lines/costa-cruises/costa-smeralda")</f>
        <v>/cruise-lines/costa-cruises/costa-smeralda</v>
      </c>
    </row>
    <row r="125">
      <c r="A125" s="154" t="s">
        <v>448</v>
      </c>
      <c r="B125" s="152" t="str">
        <f>IFERROR(__xludf.DUMMYFUNCTION("REGEXREPLACE(A125, ""&lt;loc&gt;"", """")"),"https://odysia-cruise-uk.client.prod.eu-west.dreamlake.io/cruise-lines/msc-cruises/msc-seaside/cruises&lt;/loc&gt;")</f>
        <v>https://odysia-cruise-uk.client.prod.eu-west.dreamlake.io/cruise-lines/msc-cruises/msc-seaside/cruises&lt;/loc&gt;</v>
      </c>
      <c r="C125" s="153" t="str">
        <f>IFERROR(__xludf.DUMMYFUNCTION("REGEXREPLACE(B125, ""&lt;/loc&gt;"", """")"),"https://odysia-cruise-uk.client.prod.eu-west.dreamlake.io/cruise-lines/msc-cruises/msc-seaside/cruises")</f>
        <v>https://odysia-cruise-uk.client.prod.eu-west.dreamlake.io/cruise-lines/msc-cruises/msc-seaside/cruises</v>
      </c>
      <c r="D125" s="152" t="s">
        <v>449</v>
      </c>
      <c r="E125" s="152" t="str">
        <f>IFERROR(__xludf.DUMMYFUNCTION("REGEXREPLACE(D125, ""https://odysia-cruise-uk.client.prod.eu-west.dreamlake.io"", """")"),"/cruise-lines/msc-cruises/msc-seaside/cruises")</f>
        <v>/cruise-lines/msc-cruises/msc-seaside/cruises</v>
      </c>
    </row>
    <row r="126">
      <c r="A126" s="154" t="s">
        <v>450</v>
      </c>
      <c r="B126" s="152" t="str">
        <f>IFERROR(__xludf.DUMMYFUNCTION("REGEXREPLACE(A126, ""&lt;loc&gt;"", """")"),"https://odysia-cruise-uk.client.prod.eu-west.dreamlake.io/cruise-lines/royal-caribbean/serenade-of-the-seas&lt;/loc&gt;")</f>
        <v>https://odysia-cruise-uk.client.prod.eu-west.dreamlake.io/cruise-lines/royal-caribbean/serenade-of-the-seas&lt;/loc&gt;</v>
      </c>
      <c r="C126" s="153" t="str">
        <f>IFERROR(__xludf.DUMMYFUNCTION("REGEXREPLACE(B126, ""&lt;/loc&gt;"", """")"),"https://odysia-cruise-uk.client.prod.eu-west.dreamlake.io/cruise-lines/royal-caribbean/serenade-of-the-seas")</f>
        <v>https://odysia-cruise-uk.client.prod.eu-west.dreamlake.io/cruise-lines/royal-caribbean/serenade-of-the-seas</v>
      </c>
      <c r="D126" s="152" t="s">
        <v>451</v>
      </c>
      <c r="E126" s="152" t="str">
        <f>IFERROR(__xludf.DUMMYFUNCTION("REGEXREPLACE(D126, ""https://odysia-cruise-uk.client.prod.eu-west.dreamlake.io"", """")"),"/cruise-lines/royal-caribbean/serenade-of-the-seas")</f>
        <v>/cruise-lines/royal-caribbean/serenade-of-the-seas</v>
      </c>
    </row>
    <row r="127">
      <c r="A127" s="154" t="s">
        <v>452</v>
      </c>
      <c r="B127" s="152" t="str">
        <f>IFERROR(__xludf.DUMMYFUNCTION("REGEXREPLACE(A127, ""&lt;loc&gt;"", """")"),"https://odysia-cruise-uk.client.prod.eu-west.dreamlake.io/cruise-lines/msc-cruises/msc-opera/cruises&lt;/loc&gt;")</f>
        <v>https://odysia-cruise-uk.client.prod.eu-west.dreamlake.io/cruise-lines/msc-cruises/msc-opera/cruises&lt;/loc&gt;</v>
      </c>
      <c r="C127" s="153" t="str">
        <f>IFERROR(__xludf.DUMMYFUNCTION("REGEXREPLACE(B127, ""&lt;/loc&gt;"", """")"),"https://odysia-cruise-uk.client.prod.eu-west.dreamlake.io/cruise-lines/msc-cruises/msc-opera/cruises")</f>
        <v>https://odysia-cruise-uk.client.prod.eu-west.dreamlake.io/cruise-lines/msc-cruises/msc-opera/cruises</v>
      </c>
      <c r="D127" s="152" t="s">
        <v>453</v>
      </c>
      <c r="E127" s="152" t="str">
        <f>IFERROR(__xludf.DUMMYFUNCTION("REGEXREPLACE(D127, ""https://odysia-cruise-uk.client.prod.eu-west.dreamlake.io"", """")"),"/cruise-lines/msc-cruises/msc-opera/cruises")</f>
        <v>/cruise-lines/msc-cruises/msc-opera/cruises</v>
      </c>
    </row>
    <row r="128">
      <c r="A128" s="154" t="s">
        <v>454</v>
      </c>
      <c r="B128" s="152" t="str">
        <f>IFERROR(__xludf.DUMMYFUNCTION("REGEXREPLACE(A128, ""&lt;loc&gt;"", """")"),"https://odysia-cruise-uk.client.prod.eu-west.dreamlake.io/cruise-lines/celebrity-cruises/celebrity-eclipse/cruises&lt;/loc&gt;")</f>
        <v>https://odysia-cruise-uk.client.prod.eu-west.dreamlake.io/cruise-lines/celebrity-cruises/celebrity-eclipse/cruises&lt;/loc&gt;</v>
      </c>
      <c r="C128" s="153" t="str">
        <f>IFERROR(__xludf.DUMMYFUNCTION("REGEXREPLACE(B128, ""&lt;/loc&gt;"", """")"),"https://odysia-cruise-uk.client.prod.eu-west.dreamlake.io/cruise-lines/celebrity-cruises/celebrity-eclipse/cruises")</f>
        <v>https://odysia-cruise-uk.client.prod.eu-west.dreamlake.io/cruise-lines/celebrity-cruises/celebrity-eclipse/cruises</v>
      </c>
      <c r="D128" s="152" t="s">
        <v>455</v>
      </c>
      <c r="E128" s="152" t="str">
        <f>IFERROR(__xludf.DUMMYFUNCTION("REGEXREPLACE(D128, ""https://odysia-cruise-uk.client.prod.eu-west.dreamlake.io"", """")"),"/cruise-lines/celebrity-cruises/celebrity-eclipse/cruises")</f>
        <v>/cruise-lines/celebrity-cruises/celebrity-eclipse/cruises</v>
      </c>
    </row>
    <row r="129">
      <c r="A129" s="154" t="s">
        <v>456</v>
      </c>
      <c r="B129" s="152" t="str">
        <f>IFERROR(__xludf.DUMMYFUNCTION("REGEXREPLACE(A129, ""&lt;loc&gt;"", """")"),"https://odysia-cruise-uk.client.prod.eu-west.dreamlake.io/cruise-lines/fred-olsen-cruises/borealis&lt;/loc&gt;")</f>
        <v>https://odysia-cruise-uk.client.prod.eu-west.dreamlake.io/cruise-lines/fred-olsen-cruises/borealis&lt;/loc&gt;</v>
      </c>
      <c r="C129" s="153" t="str">
        <f>IFERROR(__xludf.DUMMYFUNCTION("REGEXREPLACE(B129, ""&lt;/loc&gt;"", """")"),"https://odysia-cruise-uk.client.prod.eu-west.dreamlake.io/cruise-lines/fred-olsen-cruises/borealis")</f>
        <v>https://odysia-cruise-uk.client.prod.eu-west.dreamlake.io/cruise-lines/fred-olsen-cruises/borealis</v>
      </c>
      <c r="D129" s="152" t="s">
        <v>457</v>
      </c>
      <c r="E129" s="152" t="str">
        <f>IFERROR(__xludf.DUMMYFUNCTION("REGEXREPLACE(D129, ""https://odysia-cruise-uk.client.prod.eu-west.dreamlake.io"", """")"),"/cruise-lines/fred-olsen-cruises/borealis")</f>
        <v>/cruise-lines/fred-olsen-cruises/borealis</v>
      </c>
    </row>
    <row r="130">
      <c r="A130" s="154" t="s">
        <v>458</v>
      </c>
      <c r="B130" s="152" t="str">
        <f>IFERROR(__xludf.DUMMYFUNCTION("REGEXREPLACE(A130, ""&lt;loc&gt;"", """")"),"https://odysia-cruise-uk.client.prod.eu-west.dreamlake.io/cruise-lines/costa-cruises/costa-diadema/cruises&lt;/loc&gt;")</f>
        <v>https://odysia-cruise-uk.client.prod.eu-west.dreamlake.io/cruise-lines/costa-cruises/costa-diadema/cruises&lt;/loc&gt;</v>
      </c>
      <c r="C130" s="153" t="str">
        <f>IFERROR(__xludf.DUMMYFUNCTION("REGEXREPLACE(B130, ""&lt;/loc&gt;"", """")"),"https://odysia-cruise-uk.client.prod.eu-west.dreamlake.io/cruise-lines/costa-cruises/costa-diadema/cruises")</f>
        <v>https://odysia-cruise-uk.client.prod.eu-west.dreamlake.io/cruise-lines/costa-cruises/costa-diadema/cruises</v>
      </c>
      <c r="D130" s="152" t="s">
        <v>459</v>
      </c>
      <c r="E130" s="152" t="str">
        <f>IFERROR(__xludf.DUMMYFUNCTION("REGEXREPLACE(D130, ""https://odysia-cruise-uk.client.prod.eu-west.dreamlake.io"", """")"),"/cruise-lines/costa-cruises/costa-diadema/cruises")</f>
        <v>/cruise-lines/costa-cruises/costa-diadema/cruises</v>
      </c>
    </row>
    <row r="131">
      <c r="A131" s="154" t="s">
        <v>460</v>
      </c>
      <c r="B131" s="152" t="str">
        <f>IFERROR(__xludf.DUMMYFUNCTION("REGEXREPLACE(A131, ""&lt;loc&gt;"", """")"),"https://odysia-cruise-uk.client.prod.eu-west.dreamlake.io/cruise-lines/norwegian-cruise-line/norwegian-breakaway&lt;/loc&gt;")</f>
        <v>https://odysia-cruise-uk.client.prod.eu-west.dreamlake.io/cruise-lines/norwegian-cruise-line/norwegian-breakaway&lt;/loc&gt;</v>
      </c>
      <c r="C131" s="153" t="str">
        <f>IFERROR(__xludf.DUMMYFUNCTION("REGEXREPLACE(B131, ""&lt;/loc&gt;"", """")"),"https://odysia-cruise-uk.client.prod.eu-west.dreamlake.io/cruise-lines/norwegian-cruise-line/norwegian-breakaway")</f>
        <v>https://odysia-cruise-uk.client.prod.eu-west.dreamlake.io/cruise-lines/norwegian-cruise-line/norwegian-breakaway</v>
      </c>
      <c r="D131" s="152" t="s">
        <v>461</v>
      </c>
      <c r="E131" s="152" t="str">
        <f>IFERROR(__xludf.DUMMYFUNCTION("REGEXREPLACE(D131, ""https://odysia-cruise-uk.client.prod.eu-west.dreamlake.io"", """")"),"/cruise-lines/norwegian-cruise-line/norwegian-breakaway")</f>
        <v>/cruise-lines/norwegian-cruise-line/norwegian-breakaway</v>
      </c>
    </row>
    <row r="132">
      <c r="A132" s="154" t="s">
        <v>462</v>
      </c>
      <c r="B132" s="152" t="str">
        <f>IFERROR(__xludf.DUMMYFUNCTION("REGEXREPLACE(A132, ""&lt;loc&gt;"", """")"),"https://odysia-cruise-uk.client.prod.eu-west.dreamlake.io/cruise-lines/regent-seven-seas-cruises/cruises&lt;/loc&gt;")</f>
        <v>https://odysia-cruise-uk.client.prod.eu-west.dreamlake.io/cruise-lines/regent-seven-seas-cruises/cruises&lt;/loc&gt;</v>
      </c>
      <c r="C132" s="153" t="str">
        <f>IFERROR(__xludf.DUMMYFUNCTION("REGEXREPLACE(B132, ""&lt;/loc&gt;"", """")"),"https://odysia-cruise-uk.client.prod.eu-west.dreamlake.io/cruise-lines/regent-seven-seas-cruises/cruises")</f>
        <v>https://odysia-cruise-uk.client.prod.eu-west.dreamlake.io/cruise-lines/regent-seven-seas-cruises/cruises</v>
      </c>
      <c r="D132" s="152" t="s">
        <v>463</v>
      </c>
      <c r="E132" s="152" t="str">
        <f>IFERROR(__xludf.DUMMYFUNCTION("REGEXREPLACE(D132, ""https://odysia-cruise-uk.client.prod.eu-west.dreamlake.io"", """")"),"/cruise-lines/regent-seven-seas-cruises/cruises")</f>
        <v>/cruise-lines/regent-seven-seas-cruises/cruises</v>
      </c>
    </row>
    <row r="133">
      <c r="A133" s="154" t="s">
        <v>464</v>
      </c>
      <c r="B133" s="152" t="str">
        <f>IFERROR(__xludf.DUMMYFUNCTION("REGEXREPLACE(A133, ""&lt;loc&gt;"", """")"),"https://odysia-cruise-uk.client.prod.eu-west.dreamlake.io/cruise-lines/fred-olsen-cruises/bolette/cruises&lt;/loc&gt;")</f>
        <v>https://odysia-cruise-uk.client.prod.eu-west.dreamlake.io/cruise-lines/fred-olsen-cruises/bolette/cruises&lt;/loc&gt;</v>
      </c>
      <c r="C133" s="153" t="str">
        <f>IFERROR(__xludf.DUMMYFUNCTION("REGEXREPLACE(B133, ""&lt;/loc&gt;"", """")"),"https://odysia-cruise-uk.client.prod.eu-west.dreamlake.io/cruise-lines/fred-olsen-cruises/bolette/cruises")</f>
        <v>https://odysia-cruise-uk.client.prod.eu-west.dreamlake.io/cruise-lines/fred-olsen-cruises/bolette/cruises</v>
      </c>
      <c r="D133" s="152" t="s">
        <v>465</v>
      </c>
      <c r="E133" s="152" t="str">
        <f>IFERROR(__xludf.DUMMYFUNCTION("REGEXREPLACE(D133, ""https://odysia-cruise-uk.client.prod.eu-west.dreamlake.io"", """")"),"/cruise-lines/fred-olsen-cruises/bolette/cruises")</f>
        <v>/cruise-lines/fred-olsen-cruises/bolette/cruises</v>
      </c>
    </row>
    <row r="134">
      <c r="A134" s="154" t="s">
        <v>466</v>
      </c>
      <c r="B134" s="152" t="str">
        <f>IFERROR(__xludf.DUMMYFUNCTION("REGEXREPLACE(A134, ""&lt;loc&gt;"", """")"),"https://odysia-cruise-uk.client.prod.eu-west.dreamlake.io/cruise-lines/msc-cruises/msc-armonia/cruises&lt;/loc&gt;")</f>
        <v>https://odysia-cruise-uk.client.prod.eu-west.dreamlake.io/cruise-lines/msc-cruises/msc-armonia/cruises&lt;/loc&gt;</v>
      </c>
      <c r="C134" s="153" t="str">
        <f>IFERROR(__xludf.DUMMYFUNCTION("REGEXREPLACE(B134, ""&lt;/loc&gt;"", """")"),"https://odysia-cruise-uk.client.prod.eu-west.dreamlake.io/cruise-lines/msc-cruises/msc-armonia/cruises")</f>
        <v>https://odysia-cruise-uk.client.prod.eu-west.dreamlake.io/cruise-lines/msc-cruises/msc-armonia/cruises</v>
      </c>
      <c r="D134" s="152" t="s">
        <v>467</v>
      </c>
      <c r="E134" s="152" t="str">
        <f>IFERROR(__xludf.DUMMYFUNCTION("REGEXREPLACE(D134, ""https://odysia-cruise-uk.client.prod.eu-west.dreamlake.io"", """")"),"/cruise-lines/msc-cruises/msc-armonia/cruises")</f>
        <v>/cruise-lines/msc-cruises/msc-armonia/cruises</v>
      </c>
    </row>
    <row r="135">
      <c r="A135" s="154" t="s">
        <v>468</v>
      </c>
      <c r="B135" s="152" t="str">
        <f>IFERROR(__xludf.DUMMYFUNCTION("REGEXREPLACE(A135, ""&lt;loc&gt;"", """")"),"https://odysia-cruise-uk.client.prod.eu-west.dreamlake.io/cruise-lines/norwegian-cruise-line/norwegian-encore&lt;/loc&gt;")</f>
        <v>https://odysia-cruise-uk.client.prod.eu-west.dreamlake.io/cruise-lines/norwegian-cruise-line/norwegian-encore&lt;/loc&gt;</v>
      </c>
      <c r="C135" s="153" t="str">
        <f>IFERROR(__xludf.DUMMYFUNCTION("REGEXREPLACE(B135, ""&lt;/loc&gt;"", """")"),"https://odysia-cruise-uk.client.prod.eu-west.dreamlake.io/cruise-lines/norwegian-cruise-line/norwegian-encore")</f>
        <v>https://odysia-cruise-uk.client.prod.eu-west.dreamlake.io/cruise-lines/norwegian-cruise-line/norwegian-encore</v>
      </c>
      <c r="D135" s="152" t="s">
        <v>469</v>
      </c>
      <c r="E135" s="152" t="str">
        <f>IFERROR(__xludf.DUMMYFUNCTION("REGEXREPLACE(D135, ""https://odysia-cruise-uk.client.prod.eu-west.dreamlake.io"", """")"),"/cruise-lines/norwegian-cruise-line/norwegian-encore")</f>
        <v>/cruise-lines/norwegian-cruise-line/norwegian-encore</v>
      </c>
    </row>
    <row r="136">
      <c r="A136" s="154" t="s">
        <v>470</v>
      </c>
      <c r="B136" s="152" t="str">
        <f>IFERROR(__xludf.DUMMYFUNCTION("REGEXREPLACE(A136, ""&lt;loc&gt;"", """")"),"https://odysia-cruise-uk.client.prod.eu-west.dreamlake.io/cruise-lines/po-cruises/azura/cruises&lt;/loc&gt;")</f>
        <v>https://odysia-cruise-uk.client.prod.eu-west.dreamlake.io/cruise-lines/po-cruises/azura/cruises&lt;/loc&gt;</v>
      </c>
      <c r="C136" s="153" t="str">
        <f>IFERROR(__xludf.DUMMYFUNCTION("REGEXREPLACE(B136, ""&lt;/loc&gt;"", """")"),"https://odysia-cruise-uk.client.prod.eu-west.dreamlake.io/cruise-lines/po-cruises/azura/cruises")</f>
        <v>https://odysia-cruise-uk.client.prod.eu-west.dreamlake.io/cruise-lines/po-cruises/azura/cruises</v>
      </c>
      <c r="D136" s="152" t="s">
        <v>471</v>
      </c>
      <c r="E136" s="152" t="str">
        <f>IFERROR(__xludf.DUMMYFUNCTION("REGEXREPLACE(D136, ""https://odysia-cruise-uk.client.prod.eu-west.dreamlake.io"", """")"),"/cruise-lines/po-cruises/azura/cruises")</f>
        <v>/cruise-lines/po-cruises/azura/cruises</v>
      </c>
    </row>
    <row r="137">
      <c r="A137" s="154" t="s">
        <v>472</v>
      </c>
      <c r="B137" s="152" t="str">
        <f>IFERROR(__xludf.DUMMYFUNCTION("REGEXREPLACE(A137, ""&lt;loc&gt;"", """")"),"https://odysia-cruise-uk.client.prod.eu-west.dreamlake.io/cruise-lines/celebrity-cruises/celebrity-flora&lt;/loc&gt;")</f>
        <v>https://odysia-cruise-uk.client.prod.eu-west.dreamlake.io/cruise-lines/celebrity-cruises/celebrity-flora&lt;/loc&gt;</v>
      </c>
      <c r="C137" s="153" t="str">
        <f>IFERROR(__xludf.DUMMYFUNCTION("REGEXREPLACE(B137, ""&lt;/loc&gt;"", """")"),"https://odysia-cruise-uk.client.prod.eu-west.dreamlake.io/cruise-lines/celebrity-cruises/celebrity-flora")</f>
        <v>https://odysia-cruise-uk.client.prod.eu-west.dreamlake.io/cruise-lines/celebrity-cruises/celebrity-flora</v>
      </c>
      <c r="D137" s="152" t="s">
        <v>473</v>
      </c>
      <c r="E137" s="152" t="str">
        <f>IFERROR(__xludf.DUMMYFUNCTION("REGEXREPLACE(D137, ""https://odysia-cruise-uk.client.prod.eu-west.dreamlake.io"", """")"),"/cruise-lines/celebrity-cruises/celebrity-flora")</f>
        <v>/cruise-lines/celebrity-cruises/celebrity-flora</v>
      </c>
    </row>
    <row r="138">
      <c r="A138" s="154" t="s">
        <v>474</v>
      </c>
      <c r="B138" s="152" t="str">
        <f>IFERROR(__xludf.DUMMYFUNCTION("REGEXREPLACE(A138, ""&lt;loc&gt;"", """")"),"https://odysia-cruise-uk.client.prod.eu-west.dreamlake.io/cruise-lines/msc-cruises/msc-seashore&lt;/loc&gt;")</f>
        <v>https://odysia-cruise-uk.client.prod.eu-west.dreamlake.io/cruise-lines/msc-cruises/msc-seashore&lt;/loc&gt;</v>
      </c>
      <c r="C138" s="153" t="str">
        <f>IFERROR(__xludf.DUMMYFUNCTION("REGEXREPLACE(B138, ""&lt;/loc&gt;"", """")"),"https://odysia-cruise-uk.client.prod.eu-west.dreamlake.io/cruise-lines/msc-cruises/msc-seashore")</f>
        <v>https://odysia-cruise-uk.client.prod.eu-west.dreamlake.io/cruise-lines/msc-cruises/msc-seashore</v>
      </c>
      <c r="D138" s="152" t="s">
        <v>475</v>
      </c>
      <c r="E138" s="152" t="str">
        <f>IFERROR(__xludf.DUMMYFUNCTION("REGEXREPLACE(D138, ""https://odysia-cruise-uk.client.prod.eu-west.dreamlake.io"", """")"),"/cruise-lines/msc-cruises/msc-seashore")</f>
        <v>/cruise-lines/msc-cruises/msc-seashore</v>
      </c>
    </row>
    <row r="139">
      <c r="A139" s="154" t="s">
        <v>476</v>
      </c>
      <c r="B139" s="152" t="str">
        <f>IFERROR(__xludf.DUMMYFUNCTION("REGEXREPLACE(A139, ""&lt;loc&gt;"", """")"),"https://odysia-cruise-uk.client.prod.eu-west.dreamlake.io/cruise-lines/costa-cruises/costa-fascinosa/cruises&lt;/loc&gt;")</f>
        <v>https://odysia-cruise-uk.client.prod.eu-west.dreamlake.io/cruise-lines/costa-cruises/costa-fascinosa/cruises&lt;/loc&gt;</v>
      </c>
      <c r="C139" s="153" t="str">
        <f>IFERROR(__xludf.DUMMYFUNCTION("REGEXREPLACE(B139, ""&lt;/loc&gt;"", """")"),"https://odysia-cruise-uk.client.prod.eu-west.dreamlake.io/cruise-lines/costa-cruises/costa-fascinosa/cruises")</f>
        <v>https://odysia-cruise-uk.client.prod.eu-west.dreamlake.io/cruise-lines/costa-cruises/costa-fascinosa/cruises</v>
      </c>
      <c r="D139" s="152" t="s">
        <v>477</v>
      </c>
      <c r="E139" s="152" t="str">
        <f>IFERROR(__xludf.DUMMYFUNCTION("REGEXREPLACE(D139, ""https://odysia-cruise-uk.client.prod.eu-west.dreamlake.io"", """")"),"/cruise-lines/costa-cruises/costa-fascinosa/cruises")</f>
        <v>/cruise-lines/costa-cruises/costa-fascinosa/cruises</v>
      </c>
    </row>
    <row r="140">
      <c r="A140" s="154" t="s">
        <v>478</v>
      </c>
      <c r="B140" s="152" t="str">
        <f>IFERROR(__xludf.DUMMYFUNCTION("REGEXREPLACE(A140, ""&lt;loc&gt;"", """")"),"https://odysia-cruise-uk.client.prod.eu-west.dreamlake.io/cruise-lines/princess-cruises/sun-princess/cruises&lt;/loc&gt;")</f>
        <v>https://odysia-cruise-uk.client.prod.eu-west.dreamlake.io/cruise-lines/princess-cruises/sun-princess/cruises&lt;/loc&gt;</v>
      </c>
      <c r="C140" s="153" t="str">
        <f>IFERROR(__xludf.DUMMYFUNCTION("REGEXREPLACE(B140, ""&lt;/loc&gt;"", """")"),"https://odysia-cruise-uk.client.prod.eu-west.dreamlake.io/cruise-lines/princess-cruises/sun-princess/cruises")</f>
        <v>https://odysia-cruise-uk.client.prod.eu-west.dreamlake.io/cruise-lines/princess-cruises/sun-princess/cruises</v>
      </c>
      <c r="D140" s="152" t="s">
        <v>479</v>
      </c>
      <c r="E140" s="152" t="str">
        <f>IFERROR(__xludf.DUMMYFUNCTION("REGEXREPLACE(D140, ""https://odysia-cruise-uk.client.prod.eu-west.dreamlake.io"", """")"),"/cruise-lines/princess-cruises/sun-princess/cruises")</f>
        <v>/cruise-lines/princess-cruises/sun-princess/cruises</v>
      </c>
    </row>
    <row r="141">
      <c r="A141" s="154" t="s">
        <v>480</v>
      </c>
      <c r="B141" s="152" t="str">
        <f>IFERROR(__xludf.DUMMYFUNCTION("REGEXREPLACE(A141, ""&lt;loc&gt;"", """")"),"https://odysia-cruise-uk.client.prod.eu-west.dreamlake.io/cruise-lines/holland-america-line&lt;/loc&gt;")</f>
        <v>https://odysia-cruise-uk.client.prod.eu-west.dreamlake.io/cruise-lines/holland-america-line&lt;/loc&gt;</v>
      </c>
      <c r="C141" s="153" t="str">
        <f>IFERROR(__xludf.DUMMYFUNCTION("REGEXREPLACE(B141, ""&lt;/loc&gt;"", """")"),"https://odysia-cruise-uk.client.prod.eu-west.dreamlake.io/cruise-lines/holland-america-line")</f>
        <v>https://odysia-cruise-uk.client.prod.eu-west.dreamlake.io/cruise-lines/holland-america-line</v>
      </c>
      <c r="D141" s="152" t="s">
        <v>481</v>
      </c>
      <c r="E141" s="152" t="str">
        <f>IFERROR(__xludf.DUMMYFUNCTION("REGEXREPLACE(D141, ""https://odysia-cruise-uk.client.prod.eu-west.dreamlake.io"", """")"),"/cruise-lines/holland-america-line")</f>
        <v>/cruise-lines/holland-america-line</v>
      </c>
    </row>
    <row r="142">
      <c r="A142" s="154" t="s">
        <v>482</v>
      </c>
      <c r="B142" s="152" t="str">
        <f>IFERROR(__xludf.DUMMYFUNCTION("REGEXREPLACE(A142, ""&lt;loc&gt;"", """")"),"https://odysia-cruise-uk.client.prod.eu-west.dreamlake.io/cruise-lines/azamara&lt;/loc&gt;")</f>
        <v>https://odysia-cruise-uk.client.prod.eu-west.dreamlake.io/cruise-lines/azamara&lt;/loc&gt;</v>
      </c>
      <c r="C142" s="153" t="str">
        <f>IFERROR(__xludf.DUMMYFUNCTION("REGEXREPLACE(B142, ""&lt;/loc&gt;"", """")"),"https://odysia-cruise-uk.client.prod.eu-west.dreamlake.io/cruise-lines/azamara")</f>
        <v>https://odysia-cruise-uk.client.prod.eu-west.dreamlake.io/cruise-lines/azamara</v>
      </c>
    </row>
    <row r="143">
      <c r="A143" s="154" t="s">
        <v>483</v>
      </c>
      <c r="B143" s="152" t="str">
        <f>IFERROR(__xludf.DUMMYFUNCTION("REGEXREPLACE(A143, ""&lt;loc&gt;"", """")"),"https://odysia-cruise-uk.client.prod.eu-west.dreamlake.io/cruise-lines/princess-cruises/sun-princess&lt;/loc&gt;")</f>
        <v>https://odysia-cruise-uk.client.prod.eu-west.dreamlake.io/cruise-lines/princess-cruises/sun-princess&lt;/loc&gt;</v>
      </c>
      <c r="C143" s="153" t="str">
        <f>IFERROR(__xludf.DUMMYFUNCTION("REGEXREPLACE(B143, ""&lt;/loc&gt;"", """")"),"https://odysia-cruise-uk.client.prod.eu-west.dreamlake.io/cruise-lines/princess-cruises/sun-princess")</f>
        <v>https://odysia-cruise-uk.client.prod.eu-west.dreamlake.io/cruise-lines/princess-cruises/sun-princess</v>
      </c>
      <c r="D143" s="152" t="s">
        <v>484</v>
      </c>
      <c r="E143" s="152" t="str">
        <f>IFERROR(__xludf.DUMMYFUNCTION("REGEXREPLACE(D143, ""https://odysia-cruise-uk.client.prod.eu-west.dreamlake.io"", """")"),"/cruise-lines/princess-cruises/sun-princess")</f>
        <v>/cruise-lines/princess-cruises/sun-princess</v>
      </c>
    </row>
    <row r="144">
      <c r="A144" s="154" t="s">
        <v>485</v>
      </c>
      <c r="B144" s="152" t="str">
        <f>IFERROR(__xludf.DUMMYFUNCTION("REGEXREPLACE(A144, ""&lt;loc&gt;"", """")"),"https://odysia-cruise-uk.client.prod.eu-west.dreamlake.io/cruise-lines/azamara/azamara-quest/cruises&lt;/loc&gt;")</f>
        <v>https://odysia-cruise-uk.client.prod.eu-west.dreamlake.io/cruise-lines/azamara/azamara-quest/cruises&lt;/loc&gt;</v>
      </c>
      <c r="C144" s="153" t="str">
        <f>IFERROR(__xludf.DUMMYFUNCTION("REGEXREPLACE(B144, ""&lt;/loc&gt;"", """")"),"https://odysia-cruise-uk.client.prod.eu-west.dreamlake.io/cruise-lines/azamara/azamara-quest/cruises")</f>
        <v>https://odysia-cruise-uk.client.prod.eu-west.dreamlake.io/cruise-lines/azamara/azamara-quest/cruises</v>
      </c>
    </row>
    <row r="145">
      <c r="A145" s="154" t="s">
        <v>486</v>
      </c>
      <c r="B145" s="152" t="str">
        <f>IFERROR(__xludf.DUMMYFUNCTION("REGEXREPLACE(A145, ""&lt;loc&gt;"", """")"),"https://odysia-cruise-uk.client.prod.eu-west.dreamlake.io/cruise-lines/msc-cruises/msc-world-europa&lt;/loc&gt;")</f>
        <v>https://odysia-cruise-uk.client.prod.eu-west.dreamlake.io/cruise-lines/msc-cruises/msc-world-europa&lt;/loc&gt;</v>
      </c>
      <c r="C145" s="153" t="str">
        <f>IFERROR(__xludf.DUMMYFUNCTION("REGEXREPLACE(B145, ""&lt;/loc&gt;"", """")"),"https://odysia-cruise-uk.client.prod.eu-west.dreamlake.io/cruise-lines/msc-cruises/msc-world-europa")</f>
        <v>https://odysia-cruise-uk.client.prod.eu-west.dreamlake.io/cruise-lines/msc-cruises/msc-world-europa</v>
      </c>
      <c r="D145" s="152" t="s">
        <v>487</v>
      </c>
      <c r="E145" s="152" t="str">
        <f>IFERROR(__xludf.DUMMYFUNCTION("REGEXREPLACE(D145, ""https://odysia-cruise-uk.client.prod.eu-west.dreamlake.io"", """")"),"/cruise-lines/msc-cruises/msc-world-europa")</f>
        <v>/cruise-lines/msc-cruises/msc-world-europa</v>
      </c>
    </row>
    <row r="146">
      <c r="A146" s="154" t="s">
        <v>488</v>
      </c>
      <c r="B146" s="152" t="str">
        <f>IFERROR(__xludf.DUMMYFUNCTION("REGEXREPLACE(A146, ""&lt;loc&gt;"", """")"),"https://odysia-cruise-uk.client.prod.eu-west.dreamlake.io/cruise-lines/princess-cruises/regal-princess/cruises&lt;/loc&gt;")</f>
        <v>https://odysia-cruise-uk.client.prod.eu-west.dreamlake.io/cruise-lines/princess-cruises/regal-princess/cruises&lt;/loc&gt;</v>
      </c>
      <c r="C146" s="153" t="str">
        <f>IFERROR(__xludf.DUMMYFUNCTION("REGEXREPLACE(B146, ""&lt;/loc&gt;"", """")"),"https://odysia-cruise-uk.client.prod.eu-west.dreamlake.io/cruise-lines/princess-cruises/regal-princess/cruises")</f>
        <v>https://odysia-cruise-uk.client.prod.eu-west.dreamlake.io/cruise-lines/princess-cruises/regal-princess/cruises</v>
      </c>
      <c r="D146" s="152" t="s">
        <v>489</v>
      </c>
      <c r="E146" s="152" t="str">
        <f>IFERROR(__xludf.DUMMYFUNCTION("REGEXREPLACE(D146, ""https://odysia-cruise-uk.client.prod.eu-west.dreamlake.io"", """")"),"/cruise-lines/princess-cruises/regal-princess/cruises")</f>
        <v>/cruise-lines/princess-cruises/regal-princess/cruises</v>
      </c>
    </row>
    <row r="147">
      <c r="A147" s="154" t="s">
        <v>490</v>
      </c>
      <c r="B147" s="152" t="str">
        <f>IFERROR(__xludf.DUMMYFUNCTION("REGEXREPLACE(A147, ""&lt;loc&gt;"", """")"),"https://odysia-cruise-uk.client.prod.eu-west.dreamlake.io/cruise-lines/royal-caribbean/oasis-of-the-seas&lt;/loc&gt;")</f>
        <v>https://odysia-cruise-uk.client.prod.eu-west.dreamlake.io/cruise-lines/royal-caribbean/oasis-of-the-seas&lt;/loc&gt;</v>
      </c>
      <c r="C147" s="153" t="str">
        <f>IFERROR(__xludf.DUMMYFUNCTION("REGEXREPLACE(B147, ""&lt;/loc&gt;"", """")"),"https://odysia-cruise-uk.client.prod.eu-west.dreamlake.io/cruise-lines/royal-caribbean/oasis-of-the-seas")</f>
        <v>https://odysia-cruise-uk.client.prod.eu-west.dreamlake.io/cruise-lines/royal-caribbean/oasis-of-the-seas</v>
      </c>
      <c r="D147" s="152" t="s">
        <v>491</v>
      </c>
      <c r="E147" s="152" t="str">
        <f>IFERROR(__xludf.DUMMYFUNCTION("REGEXREPLACE(D147, ""https://odysia-cruise-uk.client.prod.eu-west.dreamlake.io"", """")"),"/cruise-lines/royal-caribbean/oasis-of-the-seas")</f>
        <v>/cruise-lines/royal-caribbean/oasis-of-the-seas</v>
      </c>
    </row>
    <row r="148">
      <c r="A148" s="154" t="s">
        <v>492</v>
      </c>
      <c r="B148" s="152" t="str">
        <f>IFERROR(__xludf.DUMMYFUNCTION("REGEXREPLACE(A148, ""&lt;loc&gt;"", """")"),"https://odysia-cruise-uk.client.prod.eu-west.dreamlake.io/cruise-lines/seabourn/seabourn-ovation/cruises&lt;/loc&gt;")</f>
        <v>https://odysia-cruise-uk.client.prod.eu-west.dreamlake.io/cruise-lines/seabourn/seabourn-ovation/cruises&lt;/loc&gt;</v>
      </c>
      <c r="C148" s="153" t="str">
        <f>IFERROR(__xludf.DUMMYFUNCTION("REGEXREPLACE(B148, ""&lt;/loc&gt;"", """")"),"https://odysia-cruise-uk.client.prod.eu-west.dreamlake.io/cruise-lines/seabourn/seabourn-ovation/cruises")</f>
        <v>https://odysia-cruise-uk.client.prod.eu-west.dreamlake.io/cruise-lines/seabourn/seabourn-ovation/cruises</v>
      </c>
      <c r="D148" s="152" t="s">
        <v>493</v>
      </c>
      <c r="E148" s="152" t="str">
        <f>IFERROR(__xludf.DUMMYFUNCTION("REGEXREPLACE(D148, ""https://odysia-cruise-uk.client.prod.eu-west.dreamlake.io"", """")"),"/cruise-lines/seabourn/seabourn-ovation/cruises")</f>
        <v>/cruise-lines/seabourn/seabourn-ovation/cruises</v>
      </c>
    </row>
    <row r="149">
      <c r="A149" s="154" t="s">
        <v>494</v>
      </c>
      <c r="B149" s="152" t="str">
        <f>IFERROR(__xludf.DUMMYFUNCTION("REGEXREPLACE(A149, ""&lt;loc&gt;"", """")"),"https://odysia-cruise-uk.client.prod.eu-west.dreamlake.io/cruise-lines/royal-caribbean/spectrum-of-the-seas/cruises&lt;/loc&gt;")</f>
        <v>https://odysia-cruise-uk.client.prod.eu-west.dreamlake.io/cruise-lines/royal-caribbean/spectrum-of-the-seas/cruises&lt;/loc&gt;</v>
      </c>
      <c r="C149" s="153" t="str">
        <f>IFERROR(__xludf.DUMMYFUNCTION("REGEXREPLACE(B149, ""&lt;/loc&gt;"", """")"),"https://odysia-cruise-uk.client.prod.eu-west.dreamlake.io/cruise-lines/royal-caribbean/spectrum-of-the-seas/cruises")</f>
        <v>https://odysia-cruise-uk.client.prod.eu-west.dreamlake.io/cruise-lines/royal-caribbean/spectrum-of-the-seas/cruises</v>
      </c>
      <c r="D149" s="152" t="s">
        <v>495</v>
      </c>
      <c r="E149" s="152" t="str">
        <f>IFERROR(__xludf.DUMMYFUNCTION("REGEXREPLACE(D149, ""https://odysia-cruise-uk.client.prod.eu-west.dreamlake.io"", """")"),"/cruise-lines/royal-caribbean/spectrum-of-the-seas/cruises")</f>
        <v>/cruise-lines/royal-caribbean/spectrum-of-the-seas/cruises</v>
      </c>
    </row>
    <row r="150">
      <c r="A150" s="154" t="s">
        <v>496</v>
      </c>
      <c r="B150" s="152" t="str">
        <f>IFERROR(__xludf.DUMMYFUNCTION("REGEXREPLACE(A150, ""&lt;loc&gt;"", """")"),"https://odysia-cruise-uk.client.prod.eu-west.dreamlake.io/cruise-lines/cunard/queen-victoria/cruises&lt;/loc&gt;")</f>
        <v>https://odysia-cruise-uk.client.prod.eu-west.dreamlake.io/cruise-lines/cunard/queen-victoria/cruises&lt;/loc&gt;</v>
      </c>
      <c r="C150" s="153" t="str">
        <f>IFERROR(__xludf.DUMMYFUNCTION("REGEXREPLACE(B150, ""&lt;/loc&gt;"", """")"),"https://odysia-cruise-uk.client.prod.eu-west.dreamlake.io/cruise-lines/cunard/queen-victoria/cruises")</f>
        <v>https://odysia-cruise-uk.client.prod.eu-west.dreamlake.io/cruise-lines/cunard/queen-victoria/cruises</v>
      </c>
      <c r="D150" s="152" t="s">
        <v>497</v>
      </c>
      <c r="E150" s="152" t="str">
        <f>IFERROR(__xludf.DUMMYFUNCTION("REGEXREPLACE(D150, ""https://odysia-cruise-uk.client.prod.eu-west.dreamlake.io"", """")"),"/cruise-lines/cunard/queen-victoria/cruises")</f>
        <v>/cruise-lines/cunard/queen-victoria/cruises</v>
      </c>
    </row>
    <row r="151">
      <c r="A151" s="154" t="s">
        <v>498</v>
      </c>
      <c r="B151" s="152" t="str">
        <f>IFERROR(__xludf.DUMMYFUNCTION("REGEXREPLACE(A151, ""&lt;loc&gt;"", """")"),"https://odysia-cruise-uk.client.prod.eu-west.dreamlake.io/cruise-lines/royal-caribbean/rhapsody-of-the-seas/cruises&lt;/loc&gt;")</f>
        <v>https://odysia-cruise-uk.client.prod.eu-west.dreamlake.io/cruise-lines/royal-caribbean/rhapsody-of-the-seas/cruises&lt;/loc&gt;</v>
      </c>
      <c r="C151" s="153" t="str">
        <f>IFERROR(__xludf.DUMMYFUNCTION("REGEXREPLACE(B151, ""&lt;/loc&gt;"", """")"),"https://odysia-cruise-uk.client.prod.eu-west.dreamlake.io/cruise-lines/royal-caribbean/rhapsody-of-the-seas/cruises")</f>
        <v>https://odysia-cruise-uk.client.prod.eu-west.dreamlake.io/cruise-lines/royal-caribbean/rhapsody-of-the-seas/cruises</v>
      </c>
      <c r="D151" s="152" t="s">
        <v>499</v>
      </c>
      <c r="E151" s="152" t="str">
        <f>IFERROR(__xludf.DUMMYFUNCTION("REGEXREPLACE(D151, ""https://odysia-cruise-uk.client.prod.eu-west.dreamlake.io"", """")"),"/cruise-lines/royal-caribbean/rhapsody-of-the-seas/cruises")</f>
        <v>/cruise-lines/royal-caribbean/rhapsody-of-the-seas/cruises</v>
      </c>
    </row>
    <row r="152">
      <c r="A152" s="154" t="s">
        <v>500</v>
      </c>
      <c r="B152" s="152" t="str">
        <f>IFERROR(__xludf.DUMMYFUNCTION("REGEXREPLACE(A152, ""&lt;loc&gt;"", """")"),"https://odysia-cruise-uk.client.prod.eu-west.dreamlake.io/cruise-lines/royal-caribbean/ovation-of-the-seas&lt;/loc&gt;")</f>
        <v>https://odysia-cruise-uk.client.prod.eu-west.dreamlake.io/cruise-lines/royal-caribbean/ovation-of-the-seas&lt;/loc&gt;</v>
      </c>
      <c r="C152" s="153" t="str">
        <f>IFERROR(__xludf.DUMMYFUNCTION("REGEXREPLACE(B152, ""&lt;/loc&gt;"", """")"),"https://odysia-cruise-uk.client.prod.eu-west.dreamlake.io/cruise-lines/royal-caribbean/ovation-of-the-seas")</f>
        <v>https://odysia-cruise-uk.client.prod.eu-west.dreamlake.io/cruise-lines/royal-caribbean/ovation-of-the-seas</v>
      </c>
      <c r="D152" s="152" t="s">
        <v>501</v>
      </c>
      <c r="E152" s="152" t="str">
        <f>IFERROR(__xludf.DUMMYFUNCTION("REGEXREPLACE(D152, ""https://odysia-cruise-uk.client.prod.eu-west.dreamlake.io"", """")"),"/cruise-lines/royal-caribbean/ovation-of-the-seas")</f>
        <v>/cruise-lines/royal-caribbean/ovation-of-the-seas</v>
      </c>
    </row>
    <row r="153">
      <c r="A153" s="154" t="s">
        <v>502</v>
      </c>
      <c r="B153" s="152" t="str">
        <f>IFERROR(__xludf.DUMMYFUNCTION("REGEXREPLACE(A153, ""&lt;loc&gt;"", """")"),"https://odysia-cruise-uk.client.prod.eu-west.dreamlake.io/cruise-lines/princess-cruises/caribbean-princess/cruises&lt;/loc&gt;")</f>
        <v>https://odysia-cruise-uk.client.prod.eu-west.dreamlake.io/cruise-lines/princess-cruises/caribbean-princess/cruises&lt;/loc&gt;</v>
      </c>
      <c r="C153" s="153" t="str">
        <f>IFERROR(__xludf.DUMMYFUNCTION("REGEXREPLACE(B153, ""&lt;/loc&gt;"", """")"),"https://odysia-cruise-uk.client.prod.eu-west.dreamlake.io/cruise-lines/princess-cruises/caribbean-princess/cruises")</f>
        <v>https://odysia-cruise-uk.client.prod.eu-west.dreamlake.io/cruise-lines/princess-cruises/caribbean-princess/cruises</v>
      </c>
      <c r="D153" s="152" t="s">
        <v>503</v>
      </c>
      <c r="E153" s="152" t="str">
        <f>IFERROR(__xludf.DUMMYFUNCTION("REGEXREPLACE(D153, ""https://odysia-cruise-uk.client.prod.eu-west.dreamlake.io"", """")"),"/cruise-lines/princess-cruises/caribbean-princess/cruises")</f>
        <v>/cruise-lines/princess-cruises/caribbean-princess/cruises</v>
      </c>
    </row>
    <row r="154">
      <c r="A154" s="154" t="s">
        <v>504</v>
      </c>
      <c r="B154" s="152" t="str">
        <f>IFERROR(__xludf.DUMMYFUNCTION("REGEXREPLACE(A154, ""&lt;loc&gt;"", """")"),"https://odysia-cruise-uk.client.prod.eu-west.dreamlake.io/cruise-lines/norwegian-cruise-line/norwegian-joy/cruises&lt;/loc&gt;")</f>
        <v>https://odysia-cruise-uk.client.prod.eu-west.dreamlake.io/cruise-lines/norwegian-cruise-line/norwegian-joy/cruises&lt;/loc&gt;</v>
      </c>
      <c r="C154" s="153" t="str">
        <f>IFERROR(__xludf.DUMMYFUNCTION("REGEXREPLACE(B154, ""&lt;/loc&gt;"", """")"),"https://odysia-cruise-uk.client.prod.eu-west.dreamlake.io/cruise-lines/norwegian-cruise-line/norwegian-joy/cruises")</f>
        <v>https://odysia-cruise-uk.client.prod.eu-west.dreamlake.io/cruise-lines/norwegian-cruise-line/norwegian-joy/cruises</v>
      </c>
      <c r="D154" s="152" t="s">
        <v>505</v>
      </c>
      <c r="E154" s="152" t="str">
        <f>IFERROR(__xludf.DUMMYFUNCTION("REGEXREPLACE(D154, ""https://odysia-cruise-uk.client.prod.eu-west.dreamlake.io"", """")"),"/cruise-lines/norwegian-cruise-line/norwegian-joy/cruises")</f>
        <v>/cruise-lines/norwegian-cruise-line/norwegian-joy/cruises</v>
      </c>
    </row>
    <row r="155">
      <c r="A155" s="154" t="s">
        <v>506</v>
      </c>
      <c r="B155" s="152" t="str">
        <f>IFERROR(__xludf.DUMMYFUNCTION("REGEXREPLACE(A155, ""&lt;loc&gt;"", """")"),"https://odysia-cruise-uk.client.prod.eu-west.dreamlake.io/cruise-lines/cunard/queen-elizabeth/cruises&lt;/loc&gt;")</f>
        <v>https://odysia-cruise-uk.client.prod.eu-west.dreamlake.io/cruise-lines/cunard/queen-elizabeth/cruises&lt;/loc&gt;</v>
      </c>
      <c r="C155" s="153" t="str">
        <f>IFERROR(__xludf.DUMMYFUNCTION("REGEXREPLACE(B155, ""&lt;/loc&gt;"", """")"),"https://odysia-cruise-uk.client.prod.eu-west.dreamlake.io/cruise-lines/cunard/queen-elizabeth/cruises")</f>
        <v>https://odysia-cruise-uk.client.prod.eu-west.dreamlake.io/cruise-lines/cunard/queen-elizabeth/cruises</v>
      </c>
      <c r="D155" s="152" t="s">
        <v>507</v>
      </c>
      <c r="E155" s="152" t="str">
        <f>IFERROR(__xludf.DUMMYFUNCTION("REGEXREPLACE(D155, ""https://odysia-cruise-uk.client.prod.eu-west.dreamlake.io"", """")"),"/cruise-lines/cunard/queen-elizabeth/cruises")</f>
        <v>/cruise-lines/cunard/queen-elizabeth/cruises</v>
      </c>
    </row>
    <row r="156">
      <c r="A156" s="154" t="s">
        <v>508</v>
      </c>
      <c r="B156" s="152" t="str">
        <f>IFERROR(__xludf.DUMMYFUNCTION("REGEXREPLACE(A156, ""&lt;loc&gt;"", """")"),"https://odysia-cruise-uk.client.prod.eu-west.dreamlake.io/cruise-lines/seabourn/seabourn-venture&lt;/loc&gt;")</f>
        <v>https://odysia-cruise-uk.client.prod.eu-west.dreamlake.io/cruise-lines/seabourn/seabourn-venture&lt;/loc&gt;</v>
      </c>
      <c r="C156" s="153" t="str">
        <f>IFERROR(__xludf.DUMMYFUNCTION("REGEXREPLACE(B156, ""&lt;/loc&gt;"", """")"),"https://odysia-cruise-uk.client.prod.eu-west.dreamlake.io/cruise-lines/seabourn/seabourn-venture")</f>
        <v>https://odysia-cruise-uk.client.prod.eu-west.dreamlake.io/cruise-lines/seabourn/seabourn-venture</v>
      </c>
      <c r="D156" s="152" t="s">
        <v>509</v>
      </c>
      <c r="E156" s="152" t="str">
        <f>IFERROR(__xludf.DUMMYFUNCTION("REGEXREPLACE(D156, ""https://odysia-cruise-uk.client.prod.eu-west.dreamlake.io"", """")"),"/cruise-lines/seabourn/seabourn-venture")</f>
        <v>/cruise-lines/seabourn/seabourn-venture</v>
      </c>
    </row>
    <row r="157">
      <c r="A157" s="154" t="s">
        <v>510</v>
      </c>
      <c r="B157" s="152" t="str">
        <f>IFERROR(__xludf.DUMMYFUNCTION("REGEXREPLACE(A157, ""&lt;loc&gt;"", """")"),"https://odysia-cruise-uk.client.prod.eu-west.dreamlake.io/cruise-lines/oceania-cruises/oceania-vista&lt;/loc&gt;")</f>
        <v>https://odysia-cruise-uk.client.prod.eu-west.dreamlake.io/cruise-lines/oceania-cruises/oceania-vista&lt;/loc&gt;</v>
      </c>
      <c r="C157" s="153" t="str">
        <f>IFERROR(__xludf.DUMMYFUNCTION("REGEXREPLACE(B157, ""&lt;/loc&gt;"", """")"),"https://odysia-cruise-uk.client.prod.eu-west.dreamlake.io/cruise-lines/oceania-cruises/oceania-vista")</f>
        <v>https://odysia-cruise-uk.client.prod.eu-west.dreamlake.io/cruise-lines/oceania-cruises/oceania-vista</v>
      </c>
      <c r="D157" s="152" t="s">
        <v>511</v>
      </c>
      <c r="E157" s="152" t="str">
        <f>IFERROR(__xludf.DUMMYFUNCTION("REGEXREPLACE(D157, ""https://odysia-cruise-uk.client.prod.eu-west.dreamlake.io"", """")"),"/cruise-lines/oceania-cruises/oceania-vista")</f>
        <v>/cruise-lines/oceania-cruises/oceania-vista</v>
      </c>
    </row>
    <row r="158">
      <c r="A158" s="154" t="s">
        <v>512</v>
      </c>
      <c r="B158" s="152" t="str">
        <f>IFERROR(__xludf.DUMMYFUNCTION("REGEXREPLACE(A158, ""&lt;loc&gt;"", """")"),"https://odysia-cruise-uk.client.prod.eu-west.dreamlake.io/cruise-lines/royal-caribbean/symphony-of-the-seas&lt;/loc&gt;")</f>
        <v>https://odysia-cruise-uk.client.prod.eu-west.dreamlake.io/cruise-lines/royal-caribbean/symphony-of-the-seas&lt;/loc&gt;</v>
      </c>
      <c r="C158" s="153" t="str">
        <f>IFERROR(__xludf.DUMMYFUNCTION("REGEXREPLACE(B158, ""&lt;/loc&gt;"", """")"),"https://odysia-cruise-uk.client.prod.eu-west.dreamlake.io/cruise-lines/royal-caribbean/symphony-of-the-seas")</f>
        <v>https://odysia-cruise-uk.client.prod.eu-west.dreamlake.io/cruise-lines/royal-caribbean/symphony-of-the-seas</v>
      </c>
      <c r="D158" s="152" t="s">
        <v>513</v>
      </c>
      <c r="E158" s="152" t="str">
        <f>IFERROR(__xludf.DUMMYFUNCTION("REGEXREPLACE(D158, ""https://odysia-cruise-uk.client.prod.eu-west.dreamlake.io"", """")"),"/cruise-lines/royal-caribbean/symphony-of-the-seas")</f>
        <v>/cruise-lines/royal-caribbean/symphony-of-the-seas</v>
      </c>
    </row>
    <row r="159">
      <c r="A159" s="154" t="s">
        <v>514</v>
      </c>
      <c r="B159" s="152" t="str">
        <f>IFERROR(__xludf.DUMMYFUNCTION("REGEXREPLACE(A159, ""&lt;loc&gt;"", """")"),"https://odysia-cruise-uk.client.prod.eu-west.dreamlake.io/cruise-lines/norwegian-cruise-line/norwegian-epic/cruises&lt;/loc&gt;")</f>
        <v>https://odysia-cruise-uk.client.prod.eu-west.dreamlake.io/cruise-lines/norwegian-cruise-line/norwegian-epic/cruises&lt;/loc&gt;</v>
      </c>
      <c r="C159" s="153" t="str">
        <f>IFERROR(__xludf.DUMMYFUNCTION("REGEXREPLACE(B159, ""&lt;/loc&gt;"", """")"),"https://odysia-cruise-uk.client.prod.eu-west.dreamlake.io/cruise-lines/norwegian-cruise-line/norwegian-epic/cruises")</f>
        <v>https://odysia-cruise-uk.client.prod.eu-west.dreamlake.io/cruise-lines/norwegian-cruise-line/norwegian-epic/cruises</v>
      </c>
      <c r="D159" s="152" t="s">
        <v>515</v>
      </c>
      <c r="E159" s="152" t="str">
        <f>IFERROR(__xludf.DUMMYFUNCTION("REGEXREPLACE(D159, ""https://odysia-cruise-uk.client.prod.eu-west.dreamlake.io"", """")"),"/cruise-lines/norwegian-cruise-line/norwegian-epic/cruises")</f>
        <v>/cruise-lines/norwegian-cruise-line/norwegian-epic/cruises</v>
      </c>
    </row>
    <row r="160">
      <c r="A160" s="154" t="s">
        <v>516</v>
      </c>
      <c r="B160" s="152" t="str">
        <f>IFERROR(__xludf.DUMMYFUNCTION("REGEXREPLACE(A160, ""&lt;loc&gt;"", """")"),"https://odysia-cruise-uk.client.prod.eu-west.dreamlake.io/cruise-lines/celebrity-cruises/celebrity-apex/cruises&lt;/loc&gt;")</f>
        <v>https://odysia-cruise-uk.client.prod.eu-west.dreamlake.io/cruise-lines/celebrity-cruises/celebrity-apex/cruises&lt;/loc&gt;</v>
      </c>
      <c r="C160" s="153" t="str">
        <f>IFERROR(__xludf.DUMMYFUNCTION("REGEXREPLACE(B160, ""&lt;/loc&gt;"", """")"),"https://odysia-cruise-uk.client.prod.eu-west.dreamlake.io/cruise-lines/celebrity-cruises/celebrity-apex/cruises")</f>
        <v>https://odysia-cruise-uk.client.prod.eu-west.dreamlake.io/cruise-lines/celebrity-cruises/celebrity-apex/cruises</v>
      </c>
      <c r="D160" s="152" t="s">
        <v>517</v>
      </c>
      <c r="E160" s="152" t="str">
        <f>IFERROR(__xludf.DUMMYFUNCTION("REGEXREPLACE(D160, ""https://odysia-cruise-uk.client.prod.eu-west.dreamlake.io"", """")"),"/cruise-lines/celebrity-cruises/celebrity-apex/cruises")</f>
        <v>/cruise-lines/celebrity-cruises/celebrity-apex/cruises</v>
      </c>
    </row>
    <row r="161">
      <c r="A161" s="154" t="s">
        <v>518</v>
      </c>
      <c r="B161" s="152" t="str">
        <f>IFERROR(__xludf.DUMMYFUNCTION("REGEXREPLACE(A161, ""&lt;loc&gt;"", """")"),"https://odysia-cruise-uk.client.prod.eu-west.dreamlake.io/destinations/canary-islands-cruises&lt;/loc&gt;")</f>
        <v>https://odysia-cruise-uk.client.prod.eu-west.dreamlake.io/destinations/canary-islands-cruises&lt;/loc&gt;</v>
      </c>
      <c r="C161" s="153" t="str">
        <f>IFERROR(__xludf.DUMMYFUNCTION("REGEXREPLACE(B161, ""&lt;/loc&gt;"", """")"),"https://odysia-cruise-uk.client.prod.eu-west.dreamlake.io/destinations/canary-islands-cruises")</f>
        <v>https://odysia-cruise-uk.client.prod.eu-west.dreamlake.io/destinations/canary-islands-cruises</v>
      </c>
    </row>
    <row r="162">
      <c r="A162" s="154" t="s">
        <v>519</v>
      </c>
      <c r="B162" s="152" t="str">
        <f>IFERROR(__xludf.DUMMYFUNCTION("REGEXREPLACE(A162, ""&lt;loc&gt;"", """")"),"https://odysia-cruise-uk.client.prod.eu-west.dreamlake.io/cruise-lines/norwegian-cruise-line/norwegian-bliss/cruises&lt;/loc&gt;")</f>
        <v>https://odysia-cruise-uk.client.prod.eu-west.dreamlake.io/cruise-lines/norwegian-cruise-line/norwegian-bliss/cruises&lt;/loc&gt;</v>
      </c>
      <c r="C162" s="153" t="str">
        <f>IFERROR(__xludf.DUMMYFUNCTION("REGEXREPLACE(B162, ""&lt;/loc&gt;"", """")"),"https://odysia-cruise-uk.client.prod.eu-west.dreamlake.io/cruise-lines/norwegian-cruise-line/norwegian-bliss/cruises")</f>
        <v>https://odysia-cruise-uk.client.prod.eu-west.dreamlake.io/cruise-lines/norwegian-cruise-line/norwegian-bliss/cruises</v>
      </c>
      <c r="D162" s="152" t="s">
        <v>520</v>
      </c>
      <c r="E162" s="152" t="str">
        <f>IFERROR(__xludf.DUMMYFUNCTION("REGEXREPLACE(D162, ""https://odysia-cruise-uk.client.prod.eu-west.dreamlake.io"", """")"),"/cruise-lines/norwegian-cruise-line/norwegian-bliss/cruises")</f>
        <v>/cruise-lines/norwegian-cruise-line/norwegian-bliss/cruises</v>
      </c>
    </row>
    <row r="163">
      <c r="A163" s="154" t="s">
        <v>521</v>
      </c>
      <c r="B163" s="152" t="str">
        <f>IFERROR(__xludf.DUMMYFUNCTION("REGEXREPLACE(A163, ""&lt;loc&gt;"", """")"),"https://odysia-cruise-uk.client.prod.eu-west.dreamlake.io/cruise-lines/princess-cruises/grand-princess/cruises&lt;/loc&gt;")</f>
        <v>https://odysia-cruise-uk.client.prod.eu-west.dreamlake.io/cruise-lines/princess-cruises/grand-princess/cruises&lt;/loc&gt;</v>
      </c>
      <c r="C163" s="153" t="str">
        <f>IFERROR(__xludf.DUMMYFUNCTION("REGEXREPLACE(B163, ""&lt;/loc&gt;"", """")"),"https://odysia-cruise-uk.client.prod.eu-west.dreamlake.io/cruise-lines/princess-cruises/grand-princess/cruises")</f>
        <v>https://odysia-cruise-uk.client.prod.eu-west.dreamlake.io/cruise-lines/princess-cruises/grand-princess/cruises</v>
      </c>
      <c r="D163" s="152" t="s">
        <v>522</v>
      </c>
      <c r="E163" s="152" t="str">
        <f>IFERROR(__xludf.DUMMYFUNCTION("REGEXREPLACE(D163, ""https://odysia-cruise-uk.client.prod.eu-west.dreamlake.io"", """")"),"/cruise-lines/princess-cruises/grand-princess/cruises")</f>
        <v>/cruise-lines/princess-cruises/grand-princess/cruises</v>
      </c>
    </row>
    <row r="164">
      <c r="A164" s="154" t="s">
        <v>523</v>
      </c>
      <c r="B164" s="152" t="str">
        <f>IFERROR(__xludf.DUMMYFUNCTION("REGEXREPLACE(A164, ""&lt;loc&gt;"", """")"),"https://odysia-cruise-uk.client.prod.eu-west.dreamlake.io/cruise-lines/explora-journeys/explora-i/cruises&lt;/loc&gt;")</f>
        <v>https://odysia-cruise-uk.client.prod.eu-west.dreamlake.io/cruise-lines/explora-journeys/explora-i/cruises&lt;/loc&gt;</v>
      </c>
      <c r="C164" s="153" t="str">
        <f>IFERROR(__xludf.DUMMYFUNCTION("REGEXREPLACE(B164, ""&lt;/loc&gt;"", """")"),"https://odysia-cruise-uk.client.prod.eu-west.dreamlake.io/cruise-lines/explora-journeys/explora-i/cruises")</f>
        <v>https://odysia-cruise-uk.client.prod.eu-west.dreamlake.io/cruise-lines/explora-journeys/explora-i/cruises</v>
      </c>
      <c r="D164" s="152" t="s">
        <v>524</v>
      </c>
      <c r="E164" s="152" t="str">
        <f>IFERROR(__xludf.DUMMYFUNCTION("REGEXREPLACE(D164, ""https://odysia-cruise-uk.client.prod.eu-west.dreamlake.io"", """")"),"/cruise-lines/explora-journeys/explora-i/cruises")</f>
        <v>/cruise-lines/explora-journeys/explora-i/cruises</v>
      </c>
    </row>
    <row r="165">
      <c r="A165" s="154" t="s">
        <v>525</v>
      </c>
      <c r="B165" s="152" t="str">
        <f>IFERROR(__xludf.DUMMYFUNCTION("REGEXREPLACE(A165, ""&lt;loc&gt;"", """")"),"https://odysia-cruise-uk.client.prod.eu-west.dreamlake.io/cruise-lines/royal-caribbean/voyager-of-the-seas&lt;/loc&gt;")</f>
        <v>https://odysia-cruise-uk.client.prod.eu-west.dreamlake.io/cruise-lines/royal-caribbean/voyager-of-the-seas&lt;/loc&gt;</v>
      </c>
      <c r="C165" s="153" t="str">
        <f>IFERROR(__xludf.DUMMYFUNCTION("REGEXREPLACE(B165, ""&lt;/loc&gt;"", """")"),"https://odysia-cruise-uk.client.prod.eu-west.dreamlake.io/cruise-lines/royal-caribbean/voyager-of-the-seas")</f>
        <v>https://odysia-cruise-uk.client.prod.eu-west.dreamlake.io/cruise-lines/royal-caribbean/voyager-of-the-seas</v>
      </c>
      <c r="D165" s="152" t="s">
        <v>526</v>
      </c>
      <c r="E165" s="152" t="str">
        <f>IFERROR(__xludf.DUMMYFUNCTION("REGEXREPLACE(D165, ""https://odysia-cruise-uk.client.prod.eu-west.dreamlake.io"", """")"),"/cruise-lines/royal-caribbean/voyager-of-the-seas")</f>
        <v>/cruise-lines/royal-caribbean/voyager-of-the-seas</v>
      </c>
    </row>
    <row r="166">
      <c r="A166" s="154" t="s">
        <v>527</v>
      </c>
      <c r="B166" s="152" t="str">
        <f>IFERROR(__xludf.DUMMYFUNCTION("REGEXREPLACE(A166, ""&lt;loc&gt;"", """")"),"https://odysia-cruise-uk.client.prod.eu-west.dreamlake.io/cruise-deals/cruises-from-portsmouth&lt;/loc&gt;")</f>
        <v>https://odysia-cruise-uk.client.prod.eu-west.dreamlake.io/cruise-deals/cruises-from-portsmouth&lt;/loc&gt;</v>
      </c>
      <c r="C166" s="153" t="str">
        <f>IFERROR(__xludf.DUMMYFUNCTION("REGEXREPLACE(B166, ""&lt;/loc&gt;"", """")"),"https://odysia-cruise-uk.client.prod.eu-west.dreamlake.io/cruise-deals/cruises-from-portsmouth")</f>
        <v>https://odysia-cruise-uk.client.prod.eu-west.dreamlake.io/cruise-deals/cruises-from-portsmouth</v>
      </c>
      <c r="D166" s="152" t="s">
        <v>528</v>
      </c>
    </row>
    <row r="167">
      <c r="A167" s="154" t="s">
        <v>529</v>
      </c>
      <c r="B167" s="152" t="str">
        <f>IFERROR(__xludf.DUMMYFUNCTION("REGEXREPLACE(A167, ""&lt;loc&gt;"", """")"),"https://odysia-cruise-uk.client.prod.eu-west.dreamlake.io/cruise-lines/costa-cruises/cruises&lt;/loc&gt;")</f>
        <v>https://odysia-cruise-uk.client.prod.eu-west.dreamlake.io/cruise-lines/costa-cruises/cruises&lt;/loc&gt;</v>
      </c>
      <c r="C167" s="153" t="str">
        <f>IFERROR(__xludf.DUMMYFUNCTION("REGEXREPLACE(B167, ""&lt;/loc&gt;"", """")"),"https://odysia-cruise-uk.client.prod.eu-west.dreamlake.io/cruise-lines/costa-cruises/cruises")</f>
        <v>https://odysia-cruise-uk.client.prod.eu-west.dreamlake.io/cruise-lines/costa-cruises/cruises</v>
      </c>
      <c r="D167" s="152" t="s">
        <v>530</v>
      </c>
      <c r="E167" s="152" t="str">
        <f>IFERROR(__xludf.DUMMYFUNCTION("REGEXREPLACE(D167, ""https://odysia-cruise-uk.client.prod.eu-west.dreamlake.io"", """")"),"/cruise-lines/costa-cruises/cruises")</f>
        <v>/cruise-lines/costa-cruises/cruises</v>
      </c>
    </row>
    <row r="168">
      <c r="A168" s="154" t="s">
        <v>531</v>
      </c>
      <c r="B168" s="152" t="str">
        <f>IFERROR(__xludf.DUMMYFUNCTION("REGEXREPLACE(A168, ""&lt;loc&gt;"", """")"),"https://odysia-cruise-uk.client.prod.eu-west.dreamlake.io/cruise-lines/celebrity-cruises/celebrity-eclipse&lt;/loc&gt;")</f>
        <v>https://odysia-cruise-uk.client.prod.eu-west.dreamlake.io/cruise-lines/celebrity-cruises/celebrity-eclipse&lt;/loc&gt;</v>
      </c>
      <c r="C168" s="153" t="str">
        <f>IFERROR(__xludf.DUMMYFUNCTION("REGEXREPLACE(B168, ""&lt;/loc&gt;"", """")"),"https://odysia-cruise-uk.client.prod.eu-west.dreamlake.io/cruise-lines/celebrity-cruises/celebrity-eclipse")</f>
        <v>https://odysia-cruise-uk.client.prod.eu-west.dreamlake.io/cruise-lines/celebrity-cruises/celebrity-eclipse</v>
      </c>
      <c r="D168" s="152" t="s">
        <v>532</v>
      </c>
      <c r="E168" s="152" t="str">
        <f>IFERROR(__xludf.DUMMYFUNCTION("REGEXREPLACE(D168, ""https://odysia-cruise-uk.client.prod.eu-west.dreamlake.io"", """")"),"/cruise-lines/celebrity-cruises/celebrity-eclipse")</f>
        <v>/cruise-lines/celebrity-cruises/celebrity-eclipse</v>
      </c>
    </row>
    <row r="169">
      <c r="A169" s="154" t="s">
        <v>533</v>
      </c>
      <c r="B169" s="152" t="str">
        <f>IFERROR(__xludf.DUMMYFUNCTION("REGEXREPLACE(A169, ""&lt;loc&gt;"", """")"),"https://odysia-cruise-uk.client.prod.eu-west.dreamlake.io/cruise-lines/celebrity-cruises/celebrity-beyond&lt;/loc&gt;")</f>
        <v>https://odysia-cruise-uk.client.prod.eu-west.dreamlake.io/cruise-lines/celebrity-cruises/celebrity-beyond&lt;/loc&gt;</v>
      </c>
      <c r="C169" s="153" t="str">
        <f>IFERROR(__xludf.DUMMYFUNCTION("REGEXREPLACE(B169, ""&lt;/loc&gt;"", """")"),"https://odysia-cruise-uk.client.prod.eu-west.dreamlake.io/cruise-lines/celebrity-cruises/celebrity-beyond")</f>
        <v>https://odysia-cruise-uk.client.prod.eu-west.dreamlake.io/cruise-lines/celebrity-cruises/celebrity-beyond</v>
      </c>
      <c r="D169" s="152" t="s">
        <v>534</v>
      </c>
      <c r="E169" s="152" t="str">
        <f>IFERROR(__xludf.DUMMYFUNCTION("REGEXREPLACE(D169, ""https://odysia-cruise-uk.client.prod.eu-west.dreamlake.io"", """")"),"/cruise-lines/celebrity-cruises/celebrity-beyond")</f>
        <v>/cruise-lines/celebrity-cruises/celebrity-beyond</v>
      </c>
    </row>
    <row r="170">
      <c r="A170" s="154" t="s">
        <v>535</v>
      </c>
      <c r="B170" s="152" t="str">
        <f>IFERROR(__xludf.DUMMYFUNCTION("REGEXREPLACE(A170, ""&lt;loc&gt;"", """")"),"https://odysia-cruise-uk.client.prod.eu-west.dreamlake.io/cruise-lines/royal-caribbean/explorer-of-the-seas&lt;/loc&gt;")</f>
        <v>https://odysia-cruise-uk.client.prod.eu-west.dreamlake.io/cruise-lines/royal-caribbean/explorer-of-the-seas&lt;/loc&gt;</v>
      </c>
      <c r="C170" s="153" t="str">
        <f>IFERROR(__xludf.DUMMYFUNCTION("REGEXREPLACE(B170, ""&lt;/loc&gt;"", """")"),"https://odysia-cruise-uk.client.prod.eu-west.dreamlake.io/cruise-lines/royal-caribbean/explorer-of-the-seas")</f>
        <v>https://odysia-cruise-uk.client.prod.eu-west.dreamlake.io/cruise-lines/royal-caribbean/explorer-of-the-seas</v>
      </c>
      <c r="D170" s="152" t="s">
        <v>536</v>
      </c>
      <c r="E170" s="152" t="str">
        <f>IFERROR(__xludf.DUMMYFUNCTION("REGEXREPLACE(D170, ""https://odysia-cruise-uk.client.prod.eu-west.dreamlake.io"", """")"),"/cruise-lines/royal-caribbean/explorer-of-the-seas")</f>
        <v>/cruise-lines/royal-caribbean/explorer-of-the-seas</v>
      </c>
    </row>
    <row r="171">
      <c r="A171" s="154" t="s">
        <v>537</v>
      </c>
      <c r="B171" s="152" t="str">
        <f>IFERROR(__xludf.DUMMYFUNCTION("REGEXREPLACE(A171, ""&lt;loc&gt;"", """")"),"https://odysia-cruise-uk.client.prod.eu-west.dreamlake.io/cruise-lines/celebrity-cruises/celebrity-constellation/cruises&lt;/loc&gt;")</f>
        <v>https://odysia-cruise-uk.client.prod.eu-west.dreamlake.io/cruise-lines/celebrity-cruises/celebrity-constellation/cruises&lt;/loc&gt;</v>
      </c>
      <c r="C171" s="153" t="str">
        <f>IFERROR(__xludf.DUMMYFUNCTION("REGEXREPLACE(B171, ""&lt;/loc&gt;"", """")"),"https://odysia-cruise-uk.client.prod.eu-west.dreamlake.io/cruise-lines/celebrity-cruises/celebrity-constellation/cruises")</f>
        <v>https://odysia-cruise-uk.client.prod.eu-west.dreamlake.io/cruise-lines/celebrity-cruises/celebrity-constellation/cruises</v>
      </c>
      <c r="D171" s="152" t="s">
        <v>538</v>
      </c>
      <c r="E171" s="152" t="str">
        <f>IFERROR(__xludf.DUMMYFUNCTION("REGEXREPLACE(D171, ""https://odysia-cruise-uk.client.prod.eu-west.dreamlake.io"", """")"),"/cruise-lines/celebrity-cruises/celebrity-constellation/cruises")</f>
        <v>/cruise-lines/celebrity-cruises/celebrity-constellation/cruises</v>
      </c>
    </row>
    <row r="172">
      <c r="A172" s="154" t="s">
        <v>539</v>
      </c>
      <c r="B172" s="152" t="str">
        <f>IFERROR(__xludf.DUMMYFUNCTION("REGEXREPLACE(A172, ""&lt;loc&gt;"", """")"),"https://odysia-cruise-uk.client.prod.eu-west.dreamlake.io/cruise-lines/po-cruises/arvia/cruises&lt;/loc&gt;")</f>
        <v>https://odysia-cruise-uk.client.prod.eu-west.dreamlake.io/cruise-lines/po-cruises/arvia/cruises&lt;/loc&gt;</v>
      </c>
      <c r="C172" s="153" t="str">
        <f>IFERROR(__xludf.DUMMYFUNCTION("REGEXREPLACE(B172, ""&lt;/loc&gt;"", """")"),"https://odysia-cruise-uk.client.prod.eu-west.dreamlake.io/cruise-lines/po-cruises/arvia/cruises")</f>
        <v>https://odysia-cruise-uk.client.prod.eu-west.dreamlake.io/cruise-lines/po-cruises/arvia/cruises</v>
      </c>
      <c r="D172" s="152" t="s">
        <v>540</v>
      </c>
      <c r="E172" s="152" t="str">
        <f>IFERROR(__xludf.DUMMYFUNCTION("REGEXREPLACE(D172, ""https://odysia-cruise-uk.client.prod.eu-west.dreamlake.io"", """")"),"/cruise-lines/po-cruises/arvia/cruises")</f>
        <v>/cruise-lines/po-cruises/arvia/cruises</v>
      </c>
    </row>
    <row r="173">
      <c r="A173" s="154" t="s">
        <v>541</v>
      </c>
      <c r="B173" s="152" t="str">
        <f>IFERROR(__xludf.DUMMYFUNCTION("REGEXREPLACE(A173, ""&lt;loc&gt;"", """")"),"https://odysia-cruise-uk.client.prod.eu-west.dreamlake.io/cruise-lines/ambassador-cruise-line/ambition&lt;/loc&gt;")</f>
        <v>https://odysia-cruise-uk.client.prod.eu-west.dreamlake.io/cruise-lines/ambassador-cruise-line/ambition&lt;/loc&gt;</v>
      </c>
      <c r="C173" s="153" t="str">
        <f>IFERROR(__xludf.DUMMYFUNCTION("REGEXREPLACE(B173, ""&lt;/loc&gt;"", """")"),"https://odysia-cruise-uk.client.prod.eu-west.dreamlake.io/cruise-lines/ambassador-cruise-line/ambition")</f>
        <v>https://odysia-cruise-uk.client.prod.eu-west.dreamlake.io/cruise-lines/ambassador-cruise-line/ambition</v>
      </c>
      <c r="D173" s="152" t="s">
        <v>542</v>
      </c>
      <c r="E173" s="152" t="str">
        <f>IFERROR(__xludf.DUMMYFUNCTION("REGEXREPLACE(D173, ""https://odysia-cruise-uk.client.prod.eu-west.dreamlake.io"", """")"),"/cruise-lines/ambassador-cruise-line/ambition")</f>
        <v>/cruise-lines/ambassador-cruise-line/ambition</v>
      </c>
    </row>
    <row r="174">
      <c r="A174" s="154" t="s">
        <v>543</v>
      </c>
      <c r="B174" s="152" t="str">
        <f>IFERROR(__xludf.DUMMYFUNCTION("REGEXREPLACE(A174, ""&lt;loc&gt;"", """")"),"https://odysia-cruise-uk.client.prod.eu-west.dreamlake.io/cruise-lines/msc-cruises/msc-divina/cruises&lt;/loc&gt;")</f>
        <v>https://odysia-cruise-uk.client.prod.eu-west.dreamlake.io/cruise-lines/msc-cruises/msc-divina/cruises&lt;/loc&gt;</v>
      </c>
      <c r="C174" s="153" t="str">
        <f>IFERROR(__xludf.DUMMYFUNCTION("REGEXREPLACE(B174, ""&lt;/loc&gt;"", """")"),"https://odysia-cruise-uk.client.prod.eu-west.dreamlake.io/cruise-lines/msc-cruises/msc-divina/cruises")</f>
        <v>https://odysia-cruise-uk.client.prod.eu-west.dreamlake.io/cruise-lines/msc-cruises/msc-divina/cruises</v>
      </c>
      <c r="D174" s="152" t="s">
        <v>544</v>
      </c>
      <c r="E174" s="152" t="str">
        <f>IFERROR(__xludf.DUMMYFUNCTION("REGEXREPLACE(D174, ""https://odysia-cruise-uk.client.prod.eu-west.dreamlake.io"", """")"),"/cruise-lines/msc-cruises/msc-divina/cruises")</f>
        <v>/cruise-lines/msc-cruises/msc-divina/cruises</v>
      </c>
    </row>
    <row r="175">
      <c r="A175" s="154" t="s">
        <v>545</v>
      </c>
      <c r="B175" s="152" t="str">
        <f>IFERROR(__xludf.DUMMYFUNCTION("REGEXREPLACE(A175, ""&lt;loc&gt;"", """")"),"https://odysia-cruise-uk.client.prod.eu-west.dreamlake.io/cruise-lines/seabourn/seabourn-encore&lt;/loc&gt;")</f>
        <v>https://odysia-cruise-uk.client.prod.eu-west.dreamlake.io/cruise-lines/seabourn/seabourn-encore&lt;/loc&gt;</v>
      </c>
      <c r="C175" s="153" t="str">
        <f>IFERROR(__xludf.DUMMYFUNCTION("REGEXREPLACE(B175, ""&lt;/loc&gt;"", """")"),"https://odysia-cruise-uk.client.prod.eu-west.dreamlake.io/cruise-lines/seabourn/seabourn-encore")</f>
        <v>https://odysia-cruise-uk.client.prod.eu-west.dreamlake.io/cruise-lines/seabourn/seabourn-encore</v>
      </c>
      <c r="D175" s="152" t="s">
        <v>546</v>
      </c>
      <c r="E175" s="152" t="str">
        <f>IFERROR(__xludf.DUMMYFUNCTION("REGEXREPLACE(D175, ""https://odysia-cruise-uk.client.prod.eu-west.dreamlake.io"", """")"),"/cruise-lines/seabourn/seabourn-encore")</f>
        <v>/cruise-lines/seabourn/seabourn-encore</v>
      </c>
    </row>
    <row r="176">
      <c r="A176" s="154" t="s">
        <v>547</v>
      </c>
      <c r="B176" s="152" t="str">
        <f>IFERROR(__xludf.DUMMYFUNCTION("REGEXREPLACE(A176, ""&lt;loc&gt;"", """")"),"https://odysia-cruise-uk.client.prod.eu-west.dreamlake.io/cruise-lines/norwegian-cruise-line/norwegian-sun/cruises&lt;/loc&gt;")</f>
        <v>https://odysia-cruise-uk.client.prod.eu-west.dreamlake.io/cruise-lines/norwegian-cruise-line/norwegian-sun/cruises&lt;/loc&gt;</v>
      </c>
      <c r="C176" s="153" t="str">
        <f>IFERROR(__xludf.DUMMYFUNCTION("REGEXREPLACE(B176, ""&lt;/loc&gt;"", """")"),"https://odysia-cruise-uk.client.prod.eu-west.dreamlake.io/cruise-lines/norwegian-cruise-line/norwegian-sun/cruises")</f>
        <v>https://odysia-cruise-uk.client.prod.eu-west.dreamlake.io/cruise-lines/norwegian-cruise-line/norwegian-sun/cruises</v>
      </c>
      <c r="D176" s="152" t="s">
        <v>548</v>
      </c>
      <c r="E176" s="152" t="str">
        <f>IFERROR(__xludf.DUMMYFUNCTION("REGEXREPLACE(D176, ""https://odysia-cruise-uk.client.prod.eu-west.dreamlake.io"", """")"),"/cruise-lines/norwegian-cruise-line/norwegian-sun/cruises")</f>
        <v>/cruise-lines/norwegian-cruise-line/norwegian-sun/cruises</v>
      </c>
    </row>
    <row r="177">
      <c r="A177" s="154" t="s">
        <v>549</v>
      </c>
      <c r="B177" s="152" t="str">
        <f>IFERROR(__xludf.DUMMYFUNCTION("REGEXREPLACE(A177, ""&lt;loc&gt;"", """")"),"https://odysia-cruise-uk.client.prod.eu-west.dreamlake.io/cruise-lines/princess-cruises/diamond-princess/cruises&lt;/loc&gt;")</f>
        <v>https://odysia-cruise-uk.client.prod.eu-west.dreamlake.io/cruise-lines/princess-cruises/diamond-princess/cruises&lt;/loc&gt;</v>
      </c>
      <c r="C177" s="153" t="str">
        <f>IFERROR(__xludf.DUMMYFUNCTION("REGEXREPLACE(B177, ""&lt;/loc&gt;"", """")"),"https://odysia-cruise-uk.client.prod.eu-west.dreamlake.io/cruise-lines/princess-cruises/diamond-princess/cruises")</f>
        <v>https://odysia-cruise-uk.client.prod.eu-west.dreamlake.io/cruise-lines/princess-cruises/diamond-princess/cruises</v>
      </c>
      <c r="D177" s="152" t="s">
        <v>550</v>
      </c>
      <c r="E177" s="152" t="str">
        <f>IFERROR(__xludf.DUMMYFUNCTION("REGEXREPLACE(D177, ""https://odysia-cruise-uk.client.prod.eu-west.dreamlake.io"", """")"),"/cruise-lines/princess-cruises/diamond-princess/cruises")</f>
        <v>/cruise-lines/princess-cruises/diamond-princess/cruises</v>
      </c>
    </row>
    <row r="178">
      <c r="A178" s="154" t="s">
        <v>551</v>
      </c>
      <c r="B178" s="152" t="str">
        <f>IFERROR(__xludf.DUMMYFUNCTION("REGEXREPLACE(A178, ""&lt;loc&gt;"", """")"),"https://odysia-cruise-uk.client.prod.eu-west.dreamlake.io/cruise-lines/princess-cruises/crown-princess&lt;/loc&gt;")</f>
        <v>https://odysia-cruise-uk.client.prod.eu-west.dreamlake.io/cruise-lines/princess-cruises/crown-princess&lt;/loc&gt;</v>
      </c>
      <c r="C178" s="153" t="str">
        <f>IFERROR(__xludf.DUMMYFUNCTION("REGEXREPLACE(B178, ""&lt;/loc&gt;"", """")"),"https://odysia-cruise-uk.client.prod.eu-west.dreamlake.io/cruise-lines/princess-cruises/crown-princess")</f>
        <v>https://odysia-cruise-uk.client.prod.eu-west.dreamlake.io/cruise-lines/princess-cruises/crown-princess</v>
      </c>
      <c r="D178" s="152" t="s">
        <v>552</v>
      </c>
      <c r="E178" s="152" t="str">
        <f>IFERROR(__xludf.DUMMYFUNCTION("REGEXREPLACE(D178, ""https://odysia-cruise-uk.client.prod.eu-west.dreamlake.io"", """")"),"/cruise-lines/princess-cruises/crown-princess")</f>
        <v>/cruise-lines/princess-cruises/crown-princess</v>
      </c>
    </row>
    <row r="179">
      <c r="A179" s="154" t="s">
        <v>553</v>
      </c>
      <c r="B179" s="152" t="str">
        <f>IFERROR(__xludf.DUMMYFUNCTION("REGEXREPLACE(A179, ""&lt;loc&gt;"", """")"),"https://odysia-cruise-uk.client.prod.eu-west.dreamlake.io/cruise-lines/oceania-cruises/oceania-insignia/cruises&lt;/loc&gt;")</f>
        <v>https://odysia-cruise-uk.client.prod.eu-west.dreamlake.io/cruise-lines/oceania-cruises/oceania-insignia/cruises&lt;/loc&gt;</v>
      </c>
      <c r="C179" s="153" t="str">
        <f>IFERROR(__xludf.DUMMYFUNCTION("REGEXREPLACE(B179, ""&lt;/loc&gt;"", """")"),"https://odysia-cruise-uk.client.prod.eu-west.dreamlake.io/cruise-lines/oceania-cruises/oceania-insignia/cruises")</f>
        <v>https://odysia-cruise-uk.client.prod.eu-west.dreamlake.io/cruise-lines/oceania-cruises/oceania-insignia/cruises</v>
      </c>
      <c r="D179" s="152" t="s">
        <v>554</v>
      </c>
      <c r="E179" s="152" t="str">
        <f>IFERROR(__xludf.DUMMYFUNCTION("REGEXREPLACE(D179, ""https://odysia-cruise-uk.client.prod.eu-west.dreamlake.io"", """")"),"/cruise-lines/oceania-cruises/oceania-insignia/cruises")</f>
        <v>/cruise-lines/oceania-cruises/oceania-insignia/cruises</v>
      </c>
    </row>
    <row r="180">
      <c r="A180" s="154" t="s">
        <v>555</v>
      </c>
      <c r="B180" s="152" t="str">
        <f>IFERROR(__xludf.DUMMYFUNCTION("REGEXREPLACE(A180, ""&lt;loc&gt;"", """")"),"https://odysia-cruise-uk.client.prod.eu-west.dreamlake.io/cruise-lines/msc-cruises/msc-magnifica&lt;/loc&gt;")</f>
        <v>https://odysia-cruise-uk.client.prod.eu-west.dreamlake.io/cruise-lines/msc-cruises/msc-magnifica&lt;/loc&gt;</v>
      </c>
      <c r="C180" s="153" t="str">
        <f>IFERROR(__xludf.DUMMYFUNCTION("REGEXREPLACE(B180, ""&lt;/loc&gt;"", """")"),"https://odysia-cruise-uk.client.prod.eu-west.dreamlake.io/cruise-lines/msc-cruises/msc-magnifica")</f>
        <v>https://odysia-cruise-uk.client.prod.eu-west.dreamlake.io/cruise-lines/msc-cruises/msc-magnifica</v>
      </c>
      <c r="D180" s="152" t="s">
        <v>556</v>
      </c>
      <c r="E180" s="152" t="str">
        <f>IFERROR(__xludf.DUMMYFUNCTION("REGEXREPLACE(D180, ""https://odysia-cruise-uk.client.prod.eu-west.dreamlake.io"", """")"),"/cruise-lines/msc-cruises/msc-magnifica")</f>
        <v>/cruise-lines/msc-cruises/msc-magnifica</v>
      </c>
    </row>
    <row r="181">
      <c r="A181" s="154" t="s">
        <v>557</v>
      </c>
      <c r="B181" s="152" t="str">
        <f>IFERROR(__xludf.DUMMYFUNCTION("REGEXREPLACE(A181, ""&lt;loc&gt;"", """")"),"https://odysia-cruise-uk.client.prod.eu-west.dreamlake.io/cruise-lines/seabourn/seabourn-sojourn&lt;/loc&gt;")</f>
        <v>https://odysia-cruise-uk.client.prod.eu-west.dreamlake.io/cruise-lines/seabourn/seabourn-sojourn&lt;/loc&gt;</v>
      </c>
      <c r="C181" s="153" t="str">
        <f>IFERROR(__xludf.DUMMYFUNCTION("REGEXREPLACE(B181, ""&lt;/loc&gt;"", """")"),"https://odysia-cruise-uk.client.prod.eu-west.dreamlake.io/cruise-lines/seabourn/seabourn-sojourn")</f>
        <v>https://odysia-cruise-uk.client.prod.eu-west.dreamlake.io/cruise-lines/seabourn/seabourn-sojourn</v>
      </c>
      <c r="D181" s="152" t="s">
        <v>558</v>
      </c>
      <c r="E181" s="152" t="str">
        <f>IFERROR(__xludf.DUMMYFUNCTION("REGEXREPLACE(D181, ""https://odysia-cruise-uk.client.prod.eu-west.dreamlake.io"", """")"),"/cruise-lines/seabourn/seabourn-sojourn")</f>
        <v>/cruise-lines/seabourn/seabourn-sojourn</v>
      </c>
    </row>
    <row r="182">
      <c r="A182" s="154" t="s">
        <v>559</v>
      </c>
      <c r="B182" s="152" t="str">
        <f>IFERROR(__xludf.DUMMYFUNCTION("REGEXREPLACE(A182, ""&lt;loc&gt;"", """")"),"https://odysia-cruise-uk.client.prod.eu-west.dreamlake.io/cruise-lines/msc-cruises/msc-splendida&lt;/loc&gt;")</f>
        <v>https://odysia-cruise-uk.client.prod.eu-west.dreamlake.io/cruise-lines/msc-cruises/msc-splendida&lt;/loc&gt;</v>
      </c>
      <c r="C182" s="153" t="str">
        <f>IFERROR(__xludf.DUMMYFUNCTION("REGEXREPLACE(B182, ""&lt;/loc&gt;"", """")"),"https://odysia-cruise-uk.client.prod.eu-west.dreamlake.io/cruise-lines/msc-cruises/msc-splendida")</f>
        <v>https://odysia-cruise-uk.client.prod.eu-west.dreamlake.io/cruise-lines/msc-cruises/msc-splendida</v>
      </c>
      <c r="D182" s="152" t="s">
        <v>560</v>
      </c>
      <c r="E182" s="152" t="str">
        <f>IFERROR(__xludf.DUMMYFUNCTION("REGEXREPLACE(D182, ""https://odysia-cruise-uk.client.prod.eu-west.dreamlake.io"", """")"),"/cruise-lines/msc-cruises/msc-splendida")</f>
        <v>/cruise-lines/msc-cruises/msc-splendida</v>
      </c>
    </row>
    <row r="183">
      <c r="A183" s="154" t="s">
        <v>561</v>
      </c>
      <c r="B183" s="152" t="str">
        <f>IFERROR(__xludf.DUMMYFUNCTION("REGEXREPLACE(A183, ""&lt;loc&gt;"", """")"),"https://odysia-cruise-uk.client.prod.eu-west.dreamlake.io/cruise-lines/msc-cruises/msc-poesia&lt;/loc&gt;")</f>
        <v>https://odysia-cruise-uk.client.prod.eu-west.dreamlake.io/cruise-lines/msc-cruises/msc-poesia&lt;/loc&gt;</v>
      </c>
      <c r="C183" s="153" t="str">
        <f>IFERROR(__xludf.DUMMYFUNCTION("REGEXREPLACE(B183, ""&lt;/loc&gt;"", """")"),"https://odysia-cruise-uk.client.prod.eu-west.dreamlake.io/cruise-lines/msc-cruises/msc-poesia")</f>
        <v>https://odysia-cruise-uk.client.prod.eu-west.dreamlake.io/cruise-lines/msc-cruises/msc-poesia</v>
      </c>
      <c r="D183" s="152" t="s">
        <v>562</v>
      </c>
      <c r="E183" s="152" t="str">
        <f>IFERROR(__xludf.DUMMYFUNCTION("REGEXREPLACE(D183, ""https://odysia-cruise-uk.client.prod.eu-west.dreamlake.io"", """")"),"/cruise-lines/msc-cruises/msc-poesia")</f>
        <v>/cruise-lines/msc-cruises/msc-poesia</v>
      </c>
    </row>
    <row r="184">
      <c r="A184" s="154" t="s">
        <v>563</v>
      </c>
      <c r="B184" s="152" t="str">
        <f>IFERROR(__xludf.DUMMYFUNCTION("REGEXREPLACE(A184, ""&lt;loc&gt;"", """")"),"https://odysia-cruise-uk.client.prod.eu-west.dreamlake.io/cruise-lines/msc-cruises/msc-sinfonia/cruises&lt;/loc&gt;")</f>
        <v>https://odysia-cruise-uk.client.prod.eu-west.dreamlake.io/cruise-lines/msc-cruises/msc-sinfonia/cruises&lt;/loc&gt;</v>
      </c>
      <c r="C184" s="153" t="str">
        <f>IFERROR(__xludf.DUMMYFUNCTION("REGEXREPLACE(B184, ""&lt;/loc&gt;"", """")"),"https://odysia-cruise-uk.client.prod.eu-west.dreamlake.io/cruise-lines/msc-cruises/msc-sinfonia/cruises")</f>
        <v>https://odysia-cruise-uk.client.prod.eu-west.dreamlake.io/cruise-lines/msc-cruises/msc-sinfonia/cruises</v>
      </c>
      <c r="D184" s="152" t="s">
        <v>564</v>
      </c>
      <c r="E184" s="152" t="str">
        <f>IFERROR(__xludf.DUMMYFUNCTION("REGEXREPLACE(D184, ""https://odysia-cruise-uk.client.prod.eu-west.dreamlake.io"", """")"),"/cruise-lines/msc-cruises/msc-sinfonia/cruises")</f>
        <v>/cruise-lines/msc-cruises/msc-sinfonia/cruises</v>
      </c>
    </row>
    <row r="185">
      <c r="A185" s="154" t="s">
        <v>565</v>
      </c>
      <c r="B185" s="152" t="str">
        <f>IFERROR(__xludf.DUMMYFUNCTION("REGEXREPLACE(A185, ""&lt;loc&gt;"", """")"),"https://odysia-cruise-uk.client.prod.eu-west.dreamlake.io/cruise-lines/norwegian-cruise-line/norwegian-getaway/cruises&lt;/loc&gt;")</f>
        <v>https://odysia-cruise-uk.client.prod.eu-west.dreamlake.io/cruise-lines/norwegian-cruise-line/norwegian-getaway/cruises&lt;/loc&gt;</v>
      </c>
      <c r="C185" s="153" t="str">
        <f>IFERROR(__xludf.DUMMYFUNCTION("REGEXREPLACE(B185, ""&lt;/loc&gt;"", """")"),"https://odysia-cruise-uk.client.prod.eu-west.dreamlake.io/cruise-lines/norwegian-cruise-line/norwegian-getaway/cruises")</f>
        <v>https://odysia-cruise-uk.client.prod.eu-west.dreamlake.io/cruise-lines/norwegian-cruise-line/norwegian-getaway/cruises</v>
      </c>
      <c r="D185" s="152" t="s">
        <v>566</v>
      </c>
      <c r="E185" s="152" t="str">
        <f>IFERROR(__xludf.DUMMYFUNCTION("REGEXREPLACE(D185, ""https://odysia-cruise-uk.client.prod.eu-west.dreamlake.io"", """")"),"/cruise-lines/norwegian-cruise-line/norwegian-getaway/cruises")</f>
        <v>/cruise-lines/norwegian-cruise-line/norwegian-getaway/cruises</v>
      </c>
    </row>
    <row r="186">
      <c r="A186" s="154" t="s">
        <v>567</v>
      </c>
      <c r="B186" s="152" t="str">
        <f>IFERROR(__xludf.DUMMYFUNCTION("REGEXREPLACE(A186, ""&lt;loc&gt;"", """")"),"https://odysia-cruise-uk.client.prod.eu-west.dreamlake.io/cruise-lines/royal-caribbean/oasis-of-the-seas/cruises&lt;/loc&gt;")</f>
        <v>https://odysia-cruise-uk.client.prod.eu-west.dreamlake.io/cruise-lines/royal-caribbean/oasis-of-the-seas/cruises&lt;/loc&gt;</v>
      </c>
      <c r="C186" s="153" t="str">
        <f>IFERROR(__xludf.DUMMYFUNCTION("REGEXREPLACE(B186, ""&lt;/loc&gt;"", """")"),"https://odysia-cruise-uk.client.prod.eu-west.dreamlake.io/cruise-lines/royal-caribbean/oasis-of-the-seas/cruises")</f>
        <v>https://odysia-cruise-uk.client.prod.eu-west.dreamlake.io/cruise-lines/royal-caribbean/oasis-of-the-seas/cruises</v>
      </c>
      <c r="D186" s="152" t="s">
        <v>568</v>
      </c>
      <c r="E186" s="152" t="str">
        <f>IFERROR(__xludf.DUMMYFUNCTION("REGEXREPLACE(D186, ""https://odysia-cruise-uk.client.prod.eu-west.dreamlake.io"", """")"),"/cruise-lines/royal-caribbean/oasis-of-the-seas/cruises")</f>
        <v>/cruise-lines/royal-caribbean/oasis-of-the-seas/cruises</v>
      </c>
    </row>
    <row r="187">
      <c r="A187" s="154" t="s">
        <v>569</v>
      </c>
      <c r="B187" s="152" t="str">
        <f>IFERROR(__xludf.DUMMYFUNCTION("REGEXREPLACE(A187, ""&lt;loc&gt;"", """")"),"https://odysia-cruise-uk.client.prod.eu-west.dreamlake.io/cruise-lines/po-cruises/arcadia&lt;/loc&gt;")</f>
        <v>https://odysia-cruise-uk.client.prod.eu-west.dreamlake.io/cruise-lines/po-cruises/arcadia&lt;/loc&gt;</v>
      </c>
      <c r="C187" s="153" t="str">
        <f>IFERROR(__xludf.DUMMYFUNCTION("REGEXREPLACE(B187, ""&lt;/loc&gt;"", """")"),"https://odysia-cruise-uk.client.prod.eu-west.dreamlake.io/cruise-lines/po-cruises/arcadia")</f>
        <v>https://odysia-cruise-uk.client.prod.eu-west.dreamlake.io/cruise-lines/po-cruises/arcadia</v>
      </c>
      <c r="D187" s="152" t="s">
        <v>570</v>
      </c>
      <c r="E187" s="152" t="str">
        <f>IFERROR(__xludf.DUMMYFUNCTION("REGEXREPLACE(D187, ""https://odysia-cruise-uk.client.prod.eu-west.dreamlake.io"", """")"),"/cruise-lines/po-cruises/arcadia")</f>
        <v>/cruise-lines/po-cruises/arcadia</v>
      </c>
    </row>
    <row r="188">
      <c r="A188" s="154" t="s">
        <v>571</v>
      </c>
      <c r="B188" s="152" t="str">
        <f>IFERROR(__xludf.DUMMYFUNCTION("REGEXREPLACE(A188, ""&lt;loc&gt;"", """")"),"https://odysia-cruise-uk.client.prod.eu-west.dreamlake.io/cruise-lines/royal-caribbean/ovation-of-the-seas/cruises&lt;/loc&gt;")</f>
        <v>https://odysia-cruise-uk.client.prod.eu-west.dreamlake.io/cruise-lines/royal-caribbean/ovation-of-the-seas/cruises&lt;/loc&gt;</v>
      </c>
      <c r="C188" s="153" t="str">
        <f>IFERROR(__xludf.DUMMYFUNCTION("REGEXREPLACE(B188, ""&lt;/loc&gt;"", """")"),"https://odysia-cruise-uk.client.prod.eu-west.dreamlake.io/cruise-lines/royal-caribbean/ovation-of-the-seas/cruises")</f>
        <v>https://odysia-cruise-uk.client.prod.eu-west.dreamlake.io/cruise-lines/royal-caribbean/ovation-of-the-seas/cruises</v>
      </c>
      <c r="D188" s="152" t="s">
        <v>572</v>
      </c>
      <c r="E188" s="152" t="str">
        <f>IFERROR(__xludf.DUMMYFUNCTION("REGEXREPLACE(D188, ""https://odysia-cruise-uk.client.prod.eu-west.dreamlake.io"", """")"),"/cruise-lines/royal-caribbean/ovation-of-the-seas/cruises")</f>
        <v>/cruise-lines/royal-caribbean/ovation-of-the-seas/cruises</v>
      </c>
    </row>
    <row r="189">
      <c r="A189" s="154" t="s">
        <v>573</v>
      </c>
      <c r="B189" s="152" t="str">
        <f>IFERROR(__xludf.DUMMYFUNCTION("REGEXREPLACE(A189, ""&lt;loc&gt;"", """")"),"https://odysia-cruise-uk.client.prod.eu-west.dreamlake.io/cruise-lines/celebrity-cruises/celebrity-constellation&lt;/loc&gt;")</f>
        <v>https://odysia-cruise-uk.client.prod.eu-west.dreamlake.io/cruise-lines/celebrity-cruises/celebrity-constellation&lt;/loc&gt;</v>
      </c>
      <c r="C189" s="153" t="str">
        <f>IFERROR(__xludf.DUMMYFUNCTION("REGEXREPLACE(B189, ""&lt;/loc&gt;"", """")"),"https://odysia-cruise-uk.client.prod.eu-west.dreamlake.io/cruise-lines/celebrity-cruises/celebrity-constellation")</f>
        <v>https://odysia-cruise-uk.client.prod.eu-west.dreamlake.io/cruise-lines/celebrity-cruises/celebrity-constellation</v>
      </c>
      <c r="D189" s="152" t="s">
        <v>574</v>
      </c>
      <c r="E189" s="152" t="str">
        <f>IFERROR(__xludf.DUMMYFUNCTION("REGEXREPLACE(D189, ""https://odysia-cruise-uk.client.prod.eu-west.dreamlake.io"", """")"),"/cruise-lines/celebrity-cruises/celebrity-constellation")</f>
        <v>/cruise-lines/celebrity-cruises/celebrity-constellation</v>
      </c>
    </row>
    <row r="190">
      <c r="A190" s="154" t="s">
        <v>575</v>
      </c>
      <c r="B190" s="152" t="str">
        <f>IFERROR(__xludf.DUMMYFUNCTION("REGEXREPLACE(A190, ""&lt;loc&gt;"", """")"),"https://odysia-cruise-uk.client.prod.eu-west.dreamlake.io/cruise-lines/holland-america-line/nieuw-statendam&lt;/loc&gt;")</f>
        <v>https://odysia-cruise-uk.client.prod.eu-west.dreamlake.io/cruise-lines/holland-america-line/nieuw-statendam&lt;/loc&gt;</v>
      </c>
      <c r="C190" s="153" t="str">
        <f>IFERROR(__xludf.DUMMYFUNCTION("REGEXREPLACE(B190, ""&lt;/loc&gt;"", """")"),"https://odysia-cruise-uk.client.prod.eu-west.dreamlake.io/cruise-lines/holland-america-line/nieuw-statendam")</f>
        <v>https://odysia-cruise-uk.client.prod.eu-west.dreamlake.io/cruise-lines/holland-america-line/nieuw-statendam</v>
      </c>
      <c r="D190" s="152" t="s">
        <v>576</v>
      </c>
      <c r="E190" s="152" t="str">
        <f>IFERROR(__xludf.DUMMYFUNCTION("REGEXREPLACE(D190, ""https://odysia-cruise-uk.client.prod.eu-west.dreamlake.io"", """")"),"/cruise-lines/holland-america-line/nieuw-statendam")</f>
        <v>/cruise-lines/holland-america-line/nieuw-statendam</v>
      </c>
    </row>
    <row r="191">
      <c r="A191" s="154" t="s">
        <v>577</v>
      </c>
      <c r="B191" s="152" t="str">
        <f>IFERROR(__xludf.DUMMYFUNCTION("REGEXREPLACE(A191, ""&lt;loc&gt;"", """")"),"https://odysia-cruise-uk.client.prod.eu-west.dreamlake.io/cruise-lines/msc-cruises/msc-lirica&lt;/loc&gt;")</f>
        <v>https://odysia-cruise-uk.client.prod.eu-west.dreamlake.io/cruise-lines/msc-cruises/msc-lirica&lt;/loc&gt;</v>
      </c>
      <c r="C191" s="153" t="str">
        <f>IFERROR(__xludf.DUMMYFUNCTION("REGEXREPLACE(B191, ""&lt;/loc&gt;"", """")"),"https://odysia-cruise-uk.client.prod.eu-west.dreamlake.io/cruise-lines/msc-cruises/msc-lirica")</f>
        <v>https://odysia-cruise-uk.client.prod.eu-west.dreamlake.io/cruise-lines/msc-cruises/msc-lirica</v>
      </c>
      <c r="D191" s="152" t="s">
        <v>578</v>
      </c>
      <c r="E191" s="152" t="str">
        <f>IFERROR(__xludf.DUMMYFUNCTION("REGEXREPLACE(D191, ""https://odysia-cruise-uk.client.prod.eu-west.dreamlake.io"", """")"),"/cruise-lines/msc-cruises/msc-lirica")</f>
        <v>/cruise-lines/msc-cruises/msc-lirica</v>
      </c>
    </row>
    <row r="192">
      <c r="A192" s="154" t="s">
        <v>579</v>
      </c>
      <c r="B192" s="152" t="str">
        <f>IFERROR(__xludf.DUMMYFUNCTION("REGEXREPLACE(A192, ""&lt;loc&gt;"", """")"),"https://odysia-cruise-uk.client.prod.eu-west.dreamlake.io/cruise-lines/norwegian-cruise-line/norwegian-luna/cruises&lt;/loc&gt;")</f>
        <v>https://odysia-cruise-uk.client.prod.eu-west.dreamlake.io/cruise-lines/norwegian-cruise-line/norwegian-luna/cruises&lt;/loc&gt;</v>
      </c>
      <c r="C192" s="153" t="str">
        <f>IFERROR(__xludf.DUMMYFUNCTION("REGEXREPLACE(B192, ""&lt;/loc&gt;"", """")"),"https://odysia-cruise-uk.client.prod.eu-west.dreamlake.io/cruise-lines/norwegian-cruise-line/norwegian-luna/cruises")</f>
        <v>https://odysia-cruise-uk.client.prod.eu-west.dreamlake.io/cruise-lines/norwegian-cruise-line/norwegian-luna/cruises</v>
      </c>
      <c r="D192" s="152" t="s">
        <v>580</v>
      </c>
      <c r="E192" s="152" t="str">
        <f>IFERROR(__xludf.DUMMYFUNCTION("REGEXREPLACE(D192, ""https://odysia-cruise-uk.client.prod.eu-west.dreamlake.io"", """")"),"/cruise-lines/norwegian-cruise-line/norwegian-luna/cruises")</f>
        <v>/cruise-lines/norwegian-cruise-line/norwegian-luna/cruises</v>
      </c>
    </row>
    <row r="193">
      <c r="A193" s="154" t="s">
        <v>581</v>
      </c>
      <c r="B193" s="152" t="str">
        <f>IFERROR(__xludf.DUMMYFUNCTION("REGEXREPLACE(A193, ""&lt;loc&gt;"", """")"),"https://odysia-cruise-uk.client.prod.eu-west.dreamlake.io/cruise-lines/regent-seven-seas-cruises/seven-seas-explorer/cruises&lt;/loc&gt;")</f>
        <v>https://odysia-cruise-uk.client.prod.eu-west.dreamlake.io/cruise-lines/regent-seven-seas-cruises/seven-seas-explorer/cruises&lt;/loc&gt;</v>
      </c>
      <c r="C193" s="153" t="str">
        <f>IFERROR(__xludf.DUMMYFUNCTION("REGEXREPLACE(B193, ""&lt;/loc&gt;"", """")"),"https://odysia-cruise-uk.client.prod.eu-west.dreamlake.io/cruise-lines/regent-seven-seas-cruises/seven-seas-explorer/cruises")</f>
        <v>https://odysia-cruise-uk.client.prod.eu-west.dreamlake.io/cruise-lines/regent-seven-seas-cruises/seven-seas-explorer/cruises</v>
      </c>
      <c r="D193" s="152" t="s">
        <v>582</v>
      </c>
      <c r="E193" s="152" t="str">
        <f>IFERROR(__xludf.DUMMYFUNCTION("REGEXREPLACE(D193, ""https://odysia-cruise-uk.client.prod.eu-west.dreamlake.io"", """")"),"/cruise-lines/regent-seven-seas-cruises/seven-seas-explorer/cruises")</f>
        <v>/cruise-lines/regent-seven-seas-cruises/seven-seas-explorer/cruises</v>
      </c>
    </row>
    <row r="194">
      <c r="A194" s="154" t="s">
        <v>583</v>
      </c>
      <c r="B194" s="152" t="str">
        <f>IFERROR(__xludf.DUMMYFUNCTION("REGEXREPLACE(A194, ""&lt;loc&gt;"", """")"),"https://odysia-cruise-uk.client.prod.eu-west.dreamlake.io/cruise-lines/msc-cruises/msc-fantasia&lt;/loc&gt;")</f>
        <v>https://odysia-cruise-uk.client.prod.eu-west.dreamlake.io/cruise-lines/msc-cruises/msc-fantasia&lt;/loc&gt;</v>
      </c>
      <c r="C194" s="153" t="str">
        <f>IFERROR(__xludf.DUMMYFUNCTION("REGEXREPLACE(B194, ""&lt;/loc&gt;"", """")"),"https://odysia-cruise-uk.client.prod.eu-west.dreamlake.io/cruise-lines/msc-cruises/msc-fantasia")</f>
        <v>https://odysia-cruise-uk.client.prod.eu-west.dreamlake.io/cruise-lines/msc-cruises/msc-fantasia</v>
      </c>
      <c r="D194" s="152" t="s">
        <v>584</v>
      </c>
      <c r="E194" s="152" t="str">
        <f>IFERROR(__xludf.DUMMYFUNCTION("REGEXREPLACE(D194, ""https://odysia-cruise-uk.client.prod.eu-west.dreamlake.io"", """")"),"/cruise-lines/msc-cruises/msc-fantasia")</f>
        <v>/cruise-lines/msc-cruises/msc-fantasia</v>
      </c>
    </row>
    <row r="195">
      <c r="A195" s="154" t="s">
        <v>585</v>
      </c>
      <c r="B195" s="152" t="str">
        <f>IFERROR(__xludf.DUMMYFUNCTION("REGEXREPLACE(A195, ""&lt;loc&gt;"", """")"),"https://odysia-cruise-uk.client.prod.eu-west.dreamlake.io/cruise-lines/msc-cruises/msc-preziosa/cruises&lt;/loc&gt;")</f>
        <v>https://odysia-cruise-uk.client.prod.eu-west.dreamlake.io/cruise-lines/msc-cruises/msc-preziosa/cruises&lt;/loc&gt;</v>
      </c>
      <c r="C195" s="153" t="str">
        <f>IFERROR(__xludf.DUMMYFUNCTION("REGEXREPLACE(B195, ""&lt;/loc&gt;"", """")"),"https://odysia-cruise-uk.client.prod.eu-west.dreamlake.io/cruise-lines/msc-cruises/msc-preziosa/cruises")</f>
        <v>https://odysia-cruise-uk.client.prod.eu-west.dreamlake.io/cruise-lines/msc-cruises/msc-preziosa/cruises</v>
      </c>
      <c r="D195" s="152" t="s">
        <v>586</v>
      </c>
      <c r="E195" s="152" t="str">
        <f>IFERROR(__xludf.DUMMYFUNCTION("REGEXREPLACE(D195, ""https://odysia-cruise-uk.client.prod.eu-west.dreamlake.io"", """")"),"/cruise-lines/msc-cruises/msc-preziosa/cruises")</f>
        <v>/cruise-lines/msc-cruises/msc-preziosa/cruises</v>
      </c>
    </row>
    <row r="196">
      <c r="A196" s="154" t="s">
        <v>587</v>
      </c>
      <c r="B196" s="152" t="str">
        <f>IFERROR(__xludf.DUMMYFUNCTION("REGEXREPLACE(A196, ""&lt;loc&gt;"", """")"),"https://odysia-cruise-uk.client.prod.eu-west.dreamlake.io/cruise-lines/azamara/cruises&lt;/loc&gt;")</f>
        <v>https://odysia-cruise-uk.client.prod.eu-west.dreamlake.io/cruise-lines/azamara/cruises&lt;/loc&gt;</v>
      </c>
      <c r="C196" s="153" t="str">
        <f>IFERROR(__xludf.DUMMYFUNCTION("REGEXREPLACE(B196, ""&lt;/loc&gt;"", """")"),"https://odysia-cruise-uk.client.prod.eu-west.dreamlake.io/cruise-lines/azamara/cruises")</f>
        <v>https://odysia-cruise-uk.client.prod.eu-west.dreamlake.io/cruise-lines/azamara/cruises</v>
      </c>
    </row>
    <row r="197">
      <c r="A197" s="154" t="s">
        <v>588</v>
      </c>
      <c r="B197" s="152" t="str">
        <f>IFERROR(__xludf.DUMMYFUNCTION("REGEXREPLACE(A197, ""&lt;loc&gt;"", """")"),"https://odysia-cruise-uk.client.prod.eu-west.dreamlake.io/cruise-lines/royal-caribbean/explorer-of-the-seas/cruises&lt;/loc&gt;")</f>
        <v>https://odysia-cruise-uk.client.prod.eu-west.dreamlake.io/cruise-lines/royal-caribbean/explorer-of-the-seas/cruises&lt;/loc&gt;</v>
      </c>
      <c r="C197" s="153" t="str">
        <f>IFERROR(__xludf.DUMMYFUNCTION("REGEXREPLACE(B197, ""&lt;/loc&gt;"", """")"),"https://odysia-cruise-uk.client.prod.eu-west.dreamlake.io/cruise-lines/royal-caribbean/explorer-of-the-seas/cruises")</f>
        <v>https://odysia-cruise-uk.client.prod.eu-west.dreamlake.io/cruise-lines/royal-caribbean/explorer-of-the-seas/cruises</v>
      </c>
      <c r="D197" s="152" t="s">
        <v>589</v>
      </c>
      <c r="E197" s="152" t="str">
        <f>IFERROR(__xludf.DUMMYFUNCTION("REGEXREPLACE(D197, ""https://odysia-cruise-uk.client.prod.eu-west.dreamlake.io"", """")"),"/cruise-lines/royal-caribbean/explorer-of-the-seas/cruises")</f>
        <v>/cruise-lines/royal-caribbean/explorer-of-the-seas/cruises</v>
      </c>
    </row>
    <row r="198">
      <c r="A198" s="154" t="s">
        <v>590</v>
      </c>
      <c r="B198" s="152" t="str">
        <f>IFERROR(__xludf.DUMMYFUNCTION("REGEXREPLACE(A198, ""&lt;loc&gt;"", """")"),"https://odysia-cruise-uk.client.prod.eu-west.dreamlake.io/cruise-lines/celebrity-cruises/celebrity-xcel&lt;/loc&gt;")</f>
        <v>https://odysia-cruise-uk.client.prod.eu-west.dreamlake.io/cruise-lines/celebrity-cruises/celebrity-xcel&lt;/loc&gt;</v>
      </c>
      <c r="C198" s="153" t="str">
        <f>IFERROR(__xludf.DUMMYFUNCTION("REGEXREPLACE(B198, ""&lt;/loc&gt;"", """")"),"https://odysia-cruise-uk.client.prod.eu-west.dreamlake.io/cruise-lines/celebrity-cruises/celebrity-xcel")</f>
        <v>https://odysia-cruise-uk.client.prod.eu-west.dreamlake.io/cruise-lines/celebrity-cruises/celebrity-xcel</v>
      </c>
      <c r="D198" s="152" t="s">
        <v>591</v>
      </c>
      <c r="E198" s="152" t="str">
        <f>IFERROR(__xludf.DUMMYFUNCTION("REGEXREPLACE(D198, ""https://odysia-cruise-uk.client.prod.eu-west.dreamlake.io"", """")"),"/cruise-lines/celebrity-cruises/celebrity-xcel")</f>
        <v>/cruise-lines/celebrity-cruises/celebrity-xcel</v>
      </c>
    </row>
    <row r="199">
      <c r="A199" s="154" t="s">
        <v>592</v>
      </c>
      <c r="B199" s="152" t="str">
        <f>IFERROR(__xludf.DUMMYFUNCTION("REGEXREPLACE(A199, ""&lt;loc&gt;"", """")"),"https://odysia-cruise-uk.client.prod.eu-west.dreamlake.io/cruise-calendar/canary-islands-cruise-dates&lt;/loc&gt;")</f>
        <v>https://odysia-cruise-uk.client.prod.eu-west.dreamlake.io/cruise-calendar/canary-islands-cruise-dates&lt;/loc&gt;</v>
      </c>
      <c r="C199" s="153" t="str">
        <f>IFERROR(__xludf.DUMMYFUNCTION("REGEXREPLACE(B199, ""&lt;/loc&gt;"", """")"),"https://odysia-cruise-uk.client.prod.eu-west.dreamlake.io/cruise-calendar/canary-islands-cruise-dates")</f>
        <v>https://odysia-cruise-uk.client.prod.eu-west.dreamlake.io/cruise-calendar/canary-islands-cruise-dates</v>
      </c>
    </row>
    <row r="200">
      <c r="A200" s="154" t="s">
        <v>593</v>
      </c>
      <c r="B200" s="152" t="str">
        <f>IFERROR(__xludf.DUMMYFUNCTION("REGEXREPLACE(A200, ""&lt;loc&gt;"", """")"),"https://odysia-cruise-uk.client.prod.eu-west.dreamlake.io/cruise-lines/oceania-cruises/oceania-insignia&lt;/loc&gt;")</f>
        <v>https://odysia-cruise-uk.client.prod.eu-west.dreamlake.io/cruise-lines/oceania-cruises/oceania-insignia&lt;/loc&gt;</v>
      </c>
      <c r="C200" s="153" t="str">
        <f>IFERROR(__xludf.DUMMYFUNCTION("REGEXREPLACE(B200, ""&lt;/loc&gt;"", """")"),"https://odysia-cruise-uk.client.prod.eu-west.dreamlake.io/cruise-lines/oceania-cruises/oceania-insignia")</f>
        <v>https://odysia-cruise-uk.client.prod.eu-west.dreamlake.io/cruise-lines/oceania-cruises/oceania-insignia</v>
      </c>
      <c r="D200" s="152" t="s">
        <v>594</v>
      </c>
      <c r="E200" s="152" t="str">
        <f>IFERROR(__xludf.DUMMYFUNCTION("REGEXREPLACE(D200, ""https://odysia-cruise-uk.client.prod.eu-west.dreamlake.io"", """")"),"/cruise-lines/oceania-cruises/oceania-insignia")</f>
        <v>/cruise-lines/oceania-cruises/oceania-insignia</v>
      </c>
    </row>
    <row r="201">
      <c r="A201" s="154" t="s">
        <v>595</v>
      </c>
      <c r="B201" s="152" t="str">
        <f>IFERROR(__xludf.DUMMYFUNCTION("REGEXREPLACE(A201, ""&lt;loc&gt;"", """")"),"https://odysia-cruise-uk.client.prod.eu-west.dreamlake.io/cruise-deals/cruises-from-newcastle&lt;/loc&gt;")</f>
        <v>https://odysia-cruise-uk.client.prod.eu-west.dreamlake.io/cruise-deals/cruises-from-newcastle&lt;/loc&gt;</v>
      </c>
      <c r="C201" s="153" t="str">
        <f>IFERROR(__xludf.DUMMYFUNCTION("REGEXREPLACE(B201, ""&lt;/loc&gt;"", """")"),"https://odysia-cruise-uk.client.prod.eu-west.dreamlake.io/cruise-deals/cruises-from-newcastle")</f>
        <v>https://odysia-cruise-uk.client.prod.eu-west.dreamlake.io/cruise-deals/cruises-from-newcastle</v>
      </c>
      <c r="D201" s="152" t="s">
        <v>596</v>
      </c>
    </row>
    <row r="202">
      <c r="A202" s="154" t="s">
        <v>597</v>
      </c>
      <c r="B202" s="152" t="str">
        <f>IFERROR(__xludf.DUMMYFUNCTION("REGEXREPLACE(A202, ""&lt;loc&gt;"", """")"),"https://odysia-cruise-uk.client.prod.eu-west.dreamlake.io/cruise-lines/princess-cruises/sapphire-princess&lt;/loc&gt;")</f>
        <v>https://odysia-cruise-uk.client.prod.eu-west.dreamlake.io/cruise-lines/princess-cruises/sapphire-princess&lt;/loc&gt;</v>
      </c>
      <c r="C202" s="153" t="str">
        <f>IFERROR(__xludf.DUMMYFUNCTION("REGEXREPLACE(B202, ""&lt;/loc&gt;"", """")"),"https://odysia-cruise-uk.client.prod.eu-west.dreamlake.io/cruise-lines/princess-cruises/sapphire-princess")</f>
        <v>https://odysia-cruise-uk.client.prod.eu-west.dreamlake.io/cruise-lines/princess-cruises/sapphire-princess</v>
      </c>
      <c r="D202" s="152" t="s">
        <v>598</v>
      </c>
      <c r="E202" s="152" t="str">
        <f>IFERROR(__xludf.DUMMYFUNCTION("REGEXREPLACE(D202, ""https://odysia-cruise-uk.client.prod.eu-west.dreamlake.io"", """")"),"/cruise-lines/princess-cruises/sapphire-princess")</f>
        <v>/cruise-lines/princess-cruises/sapphire-princess</v>
      </c>
    </row>
    <row r="203">
      <c r="A203" s="154" t="s">
        <v>599</v>
      </c>
      <c r="B203" s="152" t="str">
        <f>IFERROR(__xludf.DUMMYFUNCTION("REGEXREPLACE(A203, ""&lt;loc&gt;"", """")"),"https://odysia-cruise-uk.client.prod.eu-west.dreamlake.io/destinations/northern-europe-cruises&lt;/loc&gt;")</f>
        <v>https://odysia-cruise-uk.client.prod.eu-west.dreamlake.io/destinations/northern-europe-cruises&lt;/loc&gt;</v>
      </c>
      <c r="C203" s="153" t="str">
        <f>IFERROR(__xludf.DUMMYFUNCTION("REGEXREPLACE(B203, ""&lt;/loc&gt;"", """")"),"https://odysia-cruise-uk.client.prod.eu-west.dreamlake.io/destinations/northern-europe-cruises")</f>
        <v>https://odysia-cruise-uk.client.prod.eu-west.dreamlake.io/destinations/northern-europe-cruises</v>
      </c>
    </row>
    <row r="204">
      <c r="A204" s="154" t="s">
        <v>600</v>
      </c>
      <c r="B204" s="152" t="str">
        <f>IFERROR(__xludf.DUMMYFUNCTION("REGEXREPLACE(A204, ""&lt;loc&gt;"", """")"),"https://odysia-cruise-uk.client.prod.eu-west.dreamlake.io/cruise-lines/celebrity-cruises/celebrity-millennium/cruises&lt;/loc&gt;")</f>
        <v>https://odysia-cruise-uk.client.prod.eu-west.dreamlake.io/cruise-lines/celebrity-cruises/celebrity-millennium/cruises&lt;/loc&gt;</v>
      </c>
      <c r="C204" s="153" t="str">
        <f>IFERROR(__xludf.DUMMYFUNCTION("REGEXREPLACE(B204, ""&lt;/loc&gt;"", """")"),"https://odysia-cruise-uk.client.prod.eu-west.dreamlake.io/cruise-lines/celebrity-cruises/celebrity-millennium/cruises")</f>
        <v>https://odysia-cruise-uk.client.prod.eu-west.dreamlake.io/cruise-lines/celebrity-cruises/celebrity-millennium/cruises</v>
      </c>
      <c r="D204" s="152" t="s">
        <v>601</v>
      </c>
      <c r="E204" s="152" t="str">
        <f>IFERROR(__xludf.DUMMYFUNCTION("REGEXREPLACE(D204, ""https://odysia-cruise-uk.client.prod.eu-west.dreamlake.io"", """")"),"/cruise-lines/celebrity-cruises/celebrity-millennium/cruises")</f>
        <v>/cruise-lines/celebrity-cruises/celebrity-millennium/cruises</v>
      </c>
    </row>
    <row r="205">
      <c r="A205" s="154" t="s">
        <v>602</v>
      </c>
      <c r="B205" s="152" t="str">
        <f>IFERROR(__xludf.DUMMYFUNCTION("REGEXREPLACE(A205, ""&lt;loc&gt;"", """")"),"https://odysia-cruise-uk.client.prod.eu-west.dreamlake.io/destinations/polar-regions-cruises&lt;/loc&gt;")</f>
        <v>https://odysia-cruise-uk.client.prod.eu-west.dreamlake.io/destinations/polar-regions-cruises&lt;/loc&gt;</v>
      </c>
      <c r="C205" s="153" t="str">
        <f>IFERROR(__xludf.DUMMYFUNCTION("REGEXREPLACE(B205, ""&lt;/loc&gt;"", """")"),"https://odysia-cruise-uk.client.prod.eu-west.dreamlake.io/destinations/polar-regions-cruises")</f>
        <v>https://odysia-cruise-uk.client.prod.eu-west.dreamlake.io/destinations/polar-regions-cruises</v>
      </c>
    </row>
    <row r="206">
      <c r="A206" s="154" t="s">
        <v>603</v>
      </c>
      <c r="B206" s="152" t="str">
        <f>IFERROR(__xludf.DUMMYFUNCTION("REGEXREPLACE(A206, ""&lt;loc&gt;"", """")"),"https://odysia-cruise-uk.client.prod.eu-west.dreamlake.io/cruise-calendar&lt;/loc&gt;")</f>
        <v>https://odysia-cruise-uk.client.prod.eu-west.dreamlake.io/cruise-calendar&lt;/loc&gt;</v>
      </c>
      <c r="C206" s="153" t="str">
        <f>IFERROR(__xludf.DUMMYFUNCTION("REGEXREPLACE(B206, ""&lt;/loc&gt;"", """")"),"https://odysia-cruise-uk.client.prod.eu-west.dreamlake.io/cruise-calendar")</f>
        <v>https://odysia-cruise-uk.client.prod.eu-west.dreamlake.io/cruise-calendar</v>
      </c>
    </row>
    <row r="207">
      <c r="A207" s="154" t="s">
        <v>604</v>
      </c>
      <c r="B207" s="152" t="str">
        <f>IFERROR(__xludf.DUMMYFUNCTION("REGEXREPLACE(A207, ""&lt;loc&gt;"", """")"),"https://odysia-cruise-uk.client.prod.eu-west.dreamlake.io/cruise-lines/celebrity-cruises/celebrity-ascent&lt;/loc&gt;")</f>
        <v>https://odysia-cruise-uk.client.prod.eu-west.dreamlake.io/cruise-lines/celebrity-cruises/celebrity-ascent&lt;/loc&gt;</v>
      </c>
      <c r="C207" s="153" t="str">
        <f>IFERROR(__xludf.DUMMYFUNCTION("REGEXREPLACE(B207, ""&lt;/loc&gt;"", """")"),"https://odysia-cruise-uk.client.prod.eu-west.dreamlake.io/cruise-lines/celebrity-cruises/celebrity-ascent")</f>
        <v>https://odysia-cruise-uk.client.prod.eu-west.dreamlake.io/cruise-lines/celebrity-cruises/celebrity-ascent</v>
      </c>
      <c r="D207" s="152" t="s">
        <v>605</v>
      </c>
      <c r="E207" s="152" t="str">
        <f>IFERROR(__xludf.DUMMYFUNCTION("REGEXREPLACE(D207, ""https://odysia-cruise-uk.client.prod.eu-west.dreamlake.io"", """")"),"/cruise-lines/celebrity-cruises/celebrity-ascent")</f>
        <v>/cruise-lines/celebrity-cruises/celebrity-ascent</v>
      </c>
    </row>
    <row r="208">
      <c r="A208" s="154" t="s">
        <v>606</v>
      </c>
      <c r="B208" s="152" t="str">
        <f>IFERROR(__xludf.DUMMYFUNCTION("REGEXREPLACE(A208, ""&lt;loc&gt;"", """")"),"https://odysia-cruise-uk.client.prod.eu-west.dreamlake.io/cruise-lines/princess-cruises/island-princess/cruises&lt;/loc&gt;")</f>
        <v>https://odysia-cruise-uk.client.prod.eu-west.dreamlake.io/cruise-lines/princess-cruises/island-princess/cruises&lt;/loc&gt;</v>
      </c>
      <c r="C208" s="153" t="str">
        <f>IFERROR(__xludf.DUMMYFUNCTION("REGEXREPLACE(B208, ""&lt;/loc&gt;"", """")"),"https://odysia-cruise-uk.client.prod.eu-west.dreamlake.io/cruise-lines/princess-cruises/island-princess/cruises")</f>
        <v>https://odysia-cruise-uk.client.prod.eu-west.dreamlake.io/cruise-lines/princess-cruises/island-princess/cruises</v>
      </c>
      <c r="D208" s="152" t="s">
        <v>607</v>
      </c>
      <c r="E208" s="152" t="str">
        <f>IFERROR(__xludf.DUMMYFUNCTION("REGEXREPLACE(D208, ""https://odysia-cruise-uk.client.prod.eu-west.dreamlake.io"", """")"),"/cruise-lines/princess-cruises/island-princess/cruises")</f>
        <v>/cruise-lines/princess-cruises/island-princess/cruises</v>
      </c>
    </row>
    <row r="209">
      <c r="A209" s="154" t="s">
        <v>608</v>
      </c>
      <c r="B209" s="152" t="str">
        <f>IFERROR(__xludf.DUMMYFUNCTION("REGEXREPLACE(A209, ""&lt;loc&gt;"", """")"),"https://odysia-cruise-uk.client.prod.eu-west.dreamlake.io/cruise-lines/celebrity-cruises/celebrity-xcel/cruises&lt;/loc&gt;")</f>
        <v>https://odysia-cruise-uk.client.prod.eu-west.dreamlake.io/cruise-lines/celebrity-cruises/celebrity-xcel/cruises&lt;/loc&gt;</v>
      </c>
      <c r="C209" s="153" t="str">
        <f>IFERROR(__xludf.DUMMYFUNCTION("REGEXREPLACE(B209, ""&lt;/loc&gt;"", """")"),"https://odysia-cruise-uk.client.prod.eu-west.dreamlake.io/cruise-lines/celebrity-cruises/celebrity-xcel/cruises")</f>
        <v>https://odysia-cruise-uk.client.prod.eu-west.dreamlake.io/cruise-lines/celebrity-cruises/celebrity-xcel/cruises</v>
      </c>
      <c r="D209" s="152" t="s">
        <v>609</v>
      </c>
      <c r="E209" s="152" t="str">
        <f>IFERROR(__xludf.DUMMYFUNCTION("REGEXREPLACE(D209, ""https://odysia-cruise-uk.client.prod.eu-west.dreamlake.io"", """")"),"/cruise-lines/celebrity-cruises/celebrity-xcel/cruises")</f>
        <v>/cruise-lines/celebrity-cruises/celebrity-xcel/cruises</v>
      </c>
    </row>
    <row r="210">
      <c r="A210" s="154" t="s">
        <v>610</v>
      </c>
      <c r="B210" s="152" t="str">
        <f>IFERROR(__xludf.DUMMYFUNCTION("REGEXREPLACE(A210, ""&lt;loc&gt;"", """")"),"https://odysia-cruise-uk.client.prod.eu-west.dreamlake.io/cruise-lines/royal-caribbean/legend-of-the-seas/cruises&lt;/loc&gt;")</f>
        <v>https://odysia-cruise-uk.client.prod.eu-west.dreamlake.io/cruise-lines/royal-caribbean/legend-of-the-seas/cruises&lt;/loc&gt;</v>
      </c>
      <c r="C210" s="153" t="str">
        <f>IFERROR(__xludf.DUMMYFUNCTION("REGEXREPLACE(B210, ""&lt;/loc&gt;"", """")"),"https://odysia-cruise-uk.client.prod.eu-west.dreamlake.io/cruise-lines/royal-caribbean/legend-of-the-seas/cruises")</f>
        <v>https://odysia-cruise-uk.client.prod.eu-west.dreamlake.io/cruise-lines/royal-caribbean/legend-of-the-seas/cruises</v>
      </c>
      <c r="D210" s="152" t="s">
        <v>611</v>
      </c>
      <c r="E210" s="152" t="str">
        <f>IFERROR(__xludf.DUMMYFUNCTION("REGEXREPLACE(D210, ""https://odysia-cruise-uk.client.prod.eu-west.dreamlake.io"", """")"),"/cruise-lines/royal-caribbean/legend-of-the-seas/cruises")</f>
        <v>/cruise-lines/royal-caribbean/legend-of-the-seas/cruises</v>
      </c>
    </row>
    <row r="211">
      <c r="A211" s="154" t="s">
        <v>612</v>
      </c>
      <c r="B211" s="152" t="str">
        <f>IFERROR(__xludf.DUMMYFUNCTION("REGEXREPLACE(A211, ""&lt;loc&gt;"", """")"),"https://odysia-cruise-uk.client.prod.eu-west.dreamlake.io/cruise-lines/royal-caribbean/adventure-of-the-seas/cruises&lt;/loc&gt;")</f>
        <v>https://odysia-cruise-uk.client.prod.eu-west.dreamlake.io/cruise-lines/royal-caribbean/adventure-of-the-seas/cruises&lt;/loc&gt;</v>
      </c>
      <c r="C211" s="153" t="str">
        <f>IFERROR(__xludf.DUMMYFUNCTION("REGEXREPLACE(B211, ""&lt;/loc&gt;"", """")"),"https://odysia-cruise-uk.client.prod.eu-west.dreamlake.io/cruise-lines/royal-caribbean/adventure-of-the-seas/cruises")</f>
        <v>https://odysia-cruise-uk.client.prod.eu-west.dreamlake.io/cruise-lines/royal-caribbean/adventure-of-the-seas/cruises</v>
      </c>
      <c r="D211" s="152" t="s">
        <v>613</v>
      </c>
      <c r="E211" s="152" t="str">
        <f>IFERROR(__xludf.DUMMYFUNCTION("REGEXREPLACE(D211, ""https://odysia-cruise-uk.client.prod.eu-west.dreamlake.io"", """")"),"/cruise-lines/royal-caribbean/adventure-of-the-seas/cruises")</f>
        <v>/cruise-lines/royal-caribbean/adventure-of-the-seas/cruises</v>
      </c>
    </row>
    <row r="212">
      <c r="A212" s="154" t="s">
        <v>614</v>
      </c>
      <c r="B212" s="152" t="str">
        <f>IFERROR(__xludf.DUMMYFUNCTION("REGEXREPLACE(A212, ""&lt;loc&gt;"", """")"),"https://odysia-cruise-uk.client.prod.eu-west.dreamlake.io/cruise-lines/azamara/azamara-quest&lt;/loc&gt;")</f>
        <v>https://odysia-cruise-uk.client.prod.eu-west.dreamlake.io/cruise-lines/azamara/azamara-quest&lt;/loc&gt;</v>
      </c>
      <c r="C212" s="153" t="str">
        <f>IFERROR(__xludf.DUMMYFUNCTION("REGEXREPLACE(B212, ""&lt;/loc&gt;"", """")"),"https://odysia-cruise-uk.client.prod.eu-west.dreamlake.io/cruise-lines/azamara/azamara-quest")</f>
        <v>https://odysia-cruise-uk.client.prod.eu-west.dreamlake.io/cruise-lines/azamara/azamara-quest</v>
      </c>
    </row>
    <row r="213">
      <c r="A213" s="154" t="s">
        <v>615</v>
      </c>
      <c r="B213" s="152" t="str">
        <f>IFERROR(__xludf.DUMMYFUNCTION("REGEXREPLACE(A213, ""&lt;loc&gt;"", """")"),"https://odysia-cruise-uk.client.prod.eu-west.dreamlake.io/cruise-lines/holland-america-line/nieuw-statendam/cruises&lt;/loc&gt;")</f>
        <v>https://odysia-cruise-uk.client.prod.eu-west.dreamlake.io/cruise-lines/holland-america-line/nieuw-statendam/cruises&lt;/loc&gt;</v>
      </c>
      <c r="C213" s="153" t="str">
        <f>IFERROR(__xludf.DUMMYFUNCTION("REGEXREPLACE(B213, ""&lt;/loc&gt;"", """")"),"https://odysia-cruise-uk.client.prod.eu-west.dreamlake.io/cruise-lines/holland-america-line/nieuw-statendam/cruises")</f>
        <v>https://odysia-cruise-uk.client.prod.eu-west.dreamlake.io/cruise-lines/holland-america-line/nieuw-statendam/cruises</v>
      </c>
      <c r="D213" s="152" t="s">
        <v>616</v>
      </c>
      <c r="E213" s="152" t="str">
        <f>IFERROR(__xludf.DUMMYFUNCTION("REGEXREPLACE(D213, ""https://odysia-cruise-uk.client.prod.eu-west.dreamlake.io"", """")"),"/cruise-lines/holland-america-line/nieuw-statendam/cruises")</f>
        <v>/cruise-lines/holland-america-line/nieuw-statendam/cruises</v>
      </c>
    </row>
    <row r="214">
      <c r="A214" s="154" t="s">
        <v>617</v>
      </c>
      <c r="B214" s="152" t="str">
        <f>IFERROR(__xludf.DUMMYFUNCTION("REGEXREPLACE(A214, ""&lt;loc&gt;"", """")"),"https://odysia-cruise-uk.client.prod.eu-west.dreamlake.io/cruise-lines/oceania-cruises&lt;/loc&gt;")</f>
        <v>https://odysia-cruise-uk.client.prod.eu-west.dreamlake.io/cruise-lines/oceania-cruises&lt;/loc&gt;</v>
      </c>
      <c r="C214" s="153" t="str">
        <f>IFERROR(__xludf.DUMMYFUNCTION("REGEXREPLACE(B214, ""&lt;/loc&gt;"", """")"),"https://odysia-cruise-uk.client.prod.eu-west.dreamlake.io/cruise-lines/oceania-cruises")</f>
        <v>https://odysia-cruise-uk.client.prod.eu-west.dreamlake.io/cruise-lines/oceania-cruises</v>
      </c>
      <c r="D214" s="152" t="s">
        <v>618</v>
      </c>
      <c r="E214" s="152" t="str">
        <f>IFERROR(__xludf.DUMMYFUNCTION("REGEXREPLACE(D214, ""https://odysia-cruise-uk.client.prod.eu-west.dreamlake.io"", """")"),"/cruise-lines/oceania-cruises")</f>
        <v>/cruise-lines/oceania-cruises</v>
      </c>
    </row>
    <row r="215">
      <c r="A215" s="154" t="s">
        <v>619</v>
      </c>
      <c r="B215" s="152" t="str">
        <f>IFERROR(__xludf.DUMMYFUNCTION("REGEXREPLACE(A215, ""&lt;loc&gt;"", """")"),"https://odysia-cruise-uk.client.prod.eu-west.dreamlake.io/cruise-lines/celebrity-cruises&lt;/loc&gt;")</f>
        <v>https://odysia-cruise-uk.client.prod.eu-west.dreamlake.io/cruise-lines/celebrity-cruises&lt;/loc&gt;</v>
      </c>
      <c r="C215" s="153" t="str">
        <f>IFERROR(__xludf.DUMMYFUNCTION("REGEXREPLACE(B215, ""&lt;/loc&gt;"", """")"),"https://odysia-cruise-uk.client.prod.eu-west.dreamlake.io/cruise-lines/celebrity-cruises")</f>
        <v>https://odysia-cruise-uk.client.prod.eu-west.dreamlake.io/cruise-lines/celebrity-cruises</v>
      </c>
      <c r="D215" s="152" t="s">
        <v>620</v>
      </c>
      <c r="E215" s="152" t="str">
        <f>IFERROR(__xludf.DUMMYFUNCTION("REGEXREPLACE(D215, ""https://odysia-cruise-uk.client.prod.eu-west.dreamlake.io"", """")"),"/cruise-lines/celebrity-cruises")</f>
        <v>/cruise-lines/celebrity-cruises</v>
      </c>
    </row>
    <row r="216">
      <c r="A216" s="154" t="s">
        <v>621</v>
      </c>
      <c r="B216" s="152" t="str">
        <f>IFERROR(__xludf.DUMMYFUNCTION("REGEXREPLACE(A216, ""&lt;loc&gt;"", """")"),"https://odysia-cruise-uk.client.prod.eu-west.dreamlake.io/cruise-lines/costa-cruises/costa-pacifica&lt;/loc&gt;")</f>
        <v>https://odysia-cruise-uk.client.prod.eu-west.dreamlake.io/cruise-lines/costa-cruises/costa-pacifica&lt;/loc&gt;</v>
      </c>
      <c r="C216" s="153" t="str">
        <f>IFERROR(__xludf.DUMMYFUNCTION("REGEXREPLACE(B216, ""&lt;/loc&gt;"", """")"),"https://odysia-cruise-uk.client.prod.eu-west.dreamlake.io/cruise-lines/costa-cruises/costa-pacifica")</f>
        <v>https://odysia-cruise-uk.client.prod.eu-west.dreamlake.io/cruise-lines/costa-cruises/costa-pacifica</v>
      </c>
      <c r="D216" s="152" t="s">
        <v>622</v>
      </c>
      <c r="E216" s="152" t="str">
        <f>IFERROR(__xludf.DUMMYFUNCTION("REGEXREPLACE(D216, ""https://odysia-cruise-uk.client.prod.eu-west.dreamlake.io"", """")"),"/cruise-lines/costa-cruises/costa-pacifica")</f>
        <v>/cruise-lines/costa-cruises/costa-pacifica</v>
      </c>
    </row>
    <row r="217">
      <c r="A217" s="154" t="s">
        <v>623</v>
      </c>
      <c r="B217" s="152" t="str">
        <f>IFERROR(__xludf.DUMMYFUNCTION("REGEXREPLACE(A217, ""&lt;loc&gt;"", """")"),"https://odysia-cruise-uk.client.prod.eu-west.dreamlake.io/cruise-lines/royal-caribbean/allure-of-the-seas&lt;/loc&gt;")</f>
        <v>https://odysia-cruise-uk.client.prod.eu-west.dreamlake.io/cruise-lines/royal-caribbean/allure-of-the-seas&lt;/loc&gt;</v>
      </c>
      <c r="C217" s="153" t="str">
        <f>IFERROR(__xludf.DUMMYFUNCTION("REGEXREPLACE(B217, ""&lt;/loc&gt;"", """")"),"https://odysia-cruise-uk.client.prod.eu-west.dreamlake.io/cruise-lines/royal-caribbean/allure-of-the-seas")</f>
        <v>https://odysia-cruise-uk.client.prod.eu-west.dreamlake.io/cruise-lines/royal-caribbean/allure-of-the-seas</v>
      </c>
      <c r="D217" s="152" t="s">
        <v>624</v>
      </c>
      <c r="E217" s="152" t="str">
        <f>IFERROR(__xludf.DUMMYFUNCTION("REGEXREPLACE(D217, ""https://odysia-cruise-uk.client.prod.eu-west.dreamlake.io"", """")"),"/cruise-lines/royal-caribbean/allure-of-the-seas")</f>
        <v>/cruise-lines/royal-caribbean/allure-of-the-seas</v>
      </c>
    </row>
    <row r="218">
      <c r="A218" s="154" t="s">
        <v>625</v>
      </c>
      <c r="B218" s="152" t="str">
        <f>IFERROR(__xludf.DUMMYFUNCTION("REGEXREPLACE(A218, ""&lt;loc&gt;"", """")"),"https://odysia-cruise-uk.client.prod.eu-west.dreamlake.io/destinations/transatlantic-cruises&lt;/loc&gt;")</f>
        <v>https://odysia-cruise-uk.client.prod.eu-west.dreamlake.io/destinations/transatlantic-cruises&lt;/loc&gt;</v>
      </c>
      <c r="C218" s="153" t="str">
        <f>IFERROR(__xludf.DUMMYFUNCTION("REGEXREPLACE(B218, ""&lt;/loc&gt;"", """")"),"https://odysia-cruise-uk.client.prod.eu-west.dreamlake.io/destinations/transatlantic-cruises")</f>
        <v>https://odysia-cruise-uk.client.prod.eu-west.dreamlake.io/destinations/transatlantic-cruises</v>
      </c>
    </row>
    <row r="219">
      <c r="A219" s="154" t="s">
        <v>626</v>
      </c>
      <c r="B219" s="152" t="str">
        <f>IFERROR(__xludf.DUMMYFUNCTION("REGEXREPLACE(A219, ""&lt;loc&gt;"", """")"),"https://odysia-cruise-uk.client.prod.eu-west.dreamlake.io/cruise-lines/msc-cruises/msc-poesia/cruises&lt;/loc&gt;")</f>
        <v>https://odysia-cruise-uk.client.prod.eu-west.dreamlake.io/cruise-lines/msc-cruises/msc-poesia/cruises&lt;/loc&gt;</v>
      </c>
      <c r="C219" s="153" t="str">
        <f>IFERROR(__xludf.DUMMYFUNCTION("REGEXREPLACE(B219, ""&lt;/loc&gt;"", """")"),"https://odysia-cruise-uk.client.prod.eu-west.dreamlake.io/cruise-lines/msc-cruises/msc-poesia/cruises")</f>
        <v>https://odysia-cruise-uk.client.prod.eu-west.dreamlake.io/cruise-lines/msc-cruises/msc-poesia/cruises</v>
      </c>
      <c r="D219" s="152" t="s">
        <v>627</v>
      </c>
      <c r="E219" s="152" t="str">
        <f>IFERROR(__xludf.DUMMYFUNCTION("REGEXREPLACE(D219, ""https://odysia-cruise-uk.client.prod.eu-west.dreamlake.io"", """")"),"/cruise-lines/msc-cruises/msc-poesia/cruises")</f>
        <v>/cruise-lines/msc-cruises/msc-poesia/cruises</v>
      </c>
    </row>
    <row r="220">
      <c r="A220" s="154" t="s">
        <v>628</v>
      </c>
      <c r="B220" s="152" t="str">
        <f>IFERROR(__xludf.DUMMYFUNCTION("REGEXREPLACE(A220, ""&lt;loc&gt;"", """")"),"https://odysia-cruise-uk.client.prod.eu-west.dreamlake.io/cruise-lines/msc-cruises/msc-bellissima/cruises&lt;/loc&gt;")</f>
        <v>https://odysia-cruise-uk.client.prod.eu-west.dreamlake.io/cruise-lines/msc-cruises/msc-bellissima/cruises&lt;/loc&gt;</v>
      </c>
      <c r="C220" s="153" t="str">
        <f>IFERROR(__xludf.DUMMYFUNCTION("REGEXREPLACE(B220, ""&lt;/loc&gt;"", """")"),"https://odysia-cruise-uk.client.prod.eu-west.dreamlake.io/cruise-lines/msc-cruises/msc-bellissima/cruises")</f>
        <v>https://odysia-cruise-uk.client.prod.eu-west.dreamlake.io/cruise-lines/msc-cruises/msc-bellissima/cruises</v>
      </c>
      <c r="D220" s="152" t="s">
        <v>629</v>
      </c>
      <c r="E220" s="152" t="str">
        <f>IFERROR(__xludf.DUMMYFUNCTION("REGEXREPLACE(D220, ""https://odysia-cruise-uk.client.prod.eu-west.dreamlake.io"", """")"),"/cruise-lines/msc-cruises/msc-bellissima/cruises")</f>
        <v>/cruise-lines/msc-cruises/msc-bellissima/cruises</v>
      </c>
    </row>
    <row r="221">
      <c r="A221" s="154" t="s">
        <v>630</v>
      </c>
      <c r="B221" s="152" t="str">
        <f>IFERROR(__xludf.DUMMYFUNCTION("REGEXREPLACE(A221, ""&lt;loc&gt;"", """")"),"https://odysia-cruise-uk.client.prod.eu-west.dreamlake.io/cruise-lines/holland-america-line/noordam/cruises&lt;/loc&gt;")</f>
        <v>https://odysia-cruise-uk.client.prod.eu-west.dreamlake.io/cruise-lines/holland-america-line/noordam/cruises&lt;/loc&gt;</v>
      </c>
      <c r="C221" s="153" t="str">
        <f>IFERROR(__xludf.DUMMYFUNCTION("REGEXREPLACE(B221, ""&lt;/loc&gt;"", """")"),"https://odysia-cruise-uk.client.prod.eu-west.dreamlake.io/cruise-lines/holland-america-line/noordam/cruises")</f>
        <v>https://odysia-cruise-uk.client.prod.eu-west.dreamlake.io/cruise-lines/holland-america-line/noordam/cruises</v>
      </c>
      <c r="D221" s="152" t="s">
        <v>631</v>
      </c>
      <c r="E221" s="152" t="str">
        <f>IFERROR(__xludf.DUMMYFUNCTION("REGEXREPLACE(D221, ""https://odysia-cruise-uk.client.prod.eu-west.dreamlake.io"", """")"),"/cruise-lines/holland-america-line/noordam/cruises")</f>
        <v>/cruise-lines/holland-america-line/noordam/cruises</v>
      </c>
    </row>
    <row r="222">
      <c r="A222" s="154" t="s">
        <v>632</v>
      </c>
      <c r="B222" s="152" t="str">
        <f>IFERROR(__xludf.DUMMYFUNCTION("REGEXREPLACE(A222, ""&lt;loc&gt;"", """")"),"https://odysia-cruise-uk.client.prod.eu-west.dreamlake.io/cruise-lines/azamara/azamara-journey/cruises&lt;/loc&gt;")</f>
        <v>https://odysia-cruise-uk.client.prod.eu-west.dreamlake.io/cruise-lines/azamara/azamara-journey/cruises&lt;/loc&gt;</v>
      </c>
      <c r="C222" s="153" t="str">
        <f>IFERROR(__xludf.DUMMYFUNCTION("REGEXREPLACE(B222, ""&lt;/loc&gt;"", """")"),"https://odysia-cruise-uk.client.prod.eu-west.dreamlake.io/cruise-lines/azamara/azamara-journey/cruises")</f>
        <v>https://odysia-cruise-uk.client.prod.eu-west.dreamlake.io/cruise-lines/azamara/azamara-journey/cruises</v>
      </c>
    </row>
    <row r="223">
      <c r="A223" s="154" t="s">
        <v>633</v>
      </c>
      <c r="B223" s="152" t="str">
        <f>IFERROR(__xludf.DUMMYFUNCTION("REGEXREPLACE(A223, ""&lt;loc&gt;"", """")"),"https://odysia-cruise-uk.client.prod.eu-west.dreamlake.io/cruise-lines/regent-seven-seas-cruises/seven-seas-grandeur&lt;/loc&gt;")</f>
        <v>https://odysia-cruise-uk.client.prod.eu-west.dreamlake.io/cruise-lines/regent-seven-seas-cruises/seven-seas-grandeur&lt;/loc&gt;</v>
      </c>
      <c r="C223" s="153" t="str">
        <f>IFERROR(__xludf.DUMMYFUNCTION("REGEXREPLACE(B223, ""&lt;/loc&gt;"", """")"),"https://odysia-cruise-uk.client.prod.eu-west.dreamlake.io/cruise-lines/regent-seven-seas-cruises/seven-seas-grandeur")</f>
        <v>https://odysia-cruise-uk.client.prod.eu-west.dreamlake.io/cruise-lines/regent-seven-seas-cruises/seven-seas-grandeur</v>
      </c>
      <c r="D223" s="152" t="s">
        <v>634</v>
      </c>
      <c r="E223" s="152" t="str">
        <f>IFERROR(__xludf.DUMMYFUNCTION("REGEXREPLACE(D223, ""https://odysia-cruise-uk.client.prod.eu-west.dreamlake.io"", """")"),"/cruise-lines/regent-seven-seas-cruises/seven-seas-grandeur")</f>
        <v>/cruise-lines/regent-seven-seas-cruises/seven-seas-grandeur</v>
      </c>
    </row>
    <row r="224">
      <c r="A224" s="154" t="s">
        <v>635</v>
      </c>
      <c r="B224" s="152" t="str">
        <f>IFERROR(__xludf.DUMMYFUNCTION("REGEXREPLACE(A224, ""&lt;loc&gt;"", """")"),"https://odysia-cruise-uk.client.prod.eu-west.dreamlake.io/cruise-lines/cunard&lt;/loc&gt;")</f>
        <v>https://odysia-cruise-uk.client.prod.eu-west.dreamlake.io/cruise-lines/cunard&lt;/loc&gt;</v>
      </c>
      <c r="C224" s="153" t="str">
        <f>IFERROR(__xludf.DUMMYFUNCTION("REGEXREPLACE(B224, ""&lt;/loc&gt;"", """")"),"https://odysia-cruise-uk.client.prod.eu-west.dreamlake.io/cruise-lines/cunard")</f>
        <v>https://odysia-cruise-uk.client.prod.eu-west.dreamlake.io/cruise-lines/cunard</v>
      </c>
      <c r="D224" s="152" t="s">
        <v>636</v>
      </c>
      <c r="E224" s="152" t="str">
        <f>IFERROR(__xludf.DUMMYFUNCTION("REGEXREPLACE(D224, ""https://odysia-cruise-uk.client.prod.eu-west.dreamlake.io"", """")"),"/cruise-lines/cunard")</f>
        <v>/cruise-lines/cunard</v>
      </c>
    </row>
    <row r="225">
      <c r="A225" s="154" t="s">
        <v>637</v>
      </c>
      <c r="B225" s="152" t="str">
        <f>IFERROR(__xludf.DUMMYFUNCTION("REGEXREPLACE(A225, ""&lt;loc&gt;"", """")"),"https://odysia-cruise-uk.client.prod.eu-west.dreamlake.io/cruise-lines/costa-cruises/costa-toscana&lt;/loc&gt;")</f>
        <v>https://odysia-cruise-uk.client.prod.eu-west.dreamlake.io/cruise-lines/costa-cruises/costa-toscana&lt;/loc&gt;</v>
      </c>
      <c r="C225" s="153" t="str">
        <f>IFERROR(__xludf.DUMMYFUNCTION("REGEXREPLACE(B225, ""&lt;/loc&gt;"", """")"),"https://odysia-cruise-uk.client.prod.eu-west.dreamlake.io/cruise-lines/costa-cruises/costa-toscana")</f>
        <v>https://odysia-cruise-uk.client.prod.eu-west.dreamlake.io/cruise-lines/costa-cruises/costa-toscana</v>
      </c>
      <c r="D225" s="152" t="s">
        <v>638</v>
      </c>
      <c r="E225" s="152" t="str">
        <f>IFERROR(__xludf.DUMMYFUNCTION("REGEXREPLACE(D225, ""https://odysia-cruise-uk.client.prod.eu-west.dreamlake.io"", """")"),"/cruise-lines/costa-cruises/costa-toscana")</f>
        <v>/cruise-lines/costa-cruises/costa-toscana</v>
      </c>
    </row>
    <row r="226">
      <c r="A226" s="154" t="s">
        <v>639</v>
      </c>
      <c r="B226" s="152" t="str">
        <f>IFERROR(__xludf.DUMMYFUNCTION("REGEXREPLACE(A226, ""&lt;loc&gt;"", """")"),"https://odysia-cruise-uk.client.prod.eu-west.dreamlake.io/cruise-lines/princess-cruises/coral-princess&lt;/loc&gt;")</f>
        <v>https://odysia-cruise-uk.client.prod.eu-west.dreamlake.io/cruise-lines/princess-cruises/coral-princess&lt;/loc&gt;</v>
      </c>
      <c r="C226" s="153" t="str">
        <f>IFERROR(__xludf.DUMMYFUNCTION("REGEXREPLACE(B226, ""&lt;/loc&gt;"", """")"),"https://odysia-cruise-uk.client.prod.eu-west.dreamlake.io/cruise-lines/princess-cruises/coral-princess")</f>
        <v>https://odysia-cruise-uk.client.prod.eu-west.dreamlake.io/cruise-lines/princess-cruises/coral-princess</v>
      </c>
      <c r="D226" s="152" t="s">
        <v>640</v>
      </c>
      <c r="E226" s="152" t="str">
        <f>IFERROR(__xludf.DUMMYFUNCTION("REGEXREPLACE(D226, ""https://odysia-cruise-uk.client.prod.eu-west.dreamlake.io"", """")"),"/cruise-lines/princess-cruises/coral-princess")</f>
        <v>/cruise-lines/princess-cruises/coral-princess</v>
      </c>
    </row>
    <row r="227">
      <c r="A227" s="154" t="s">
        <v>641</v>
      </c>
      <c r="B227" s="152" t="str">
        <f>IFERROR(__xludf.DUMMYFUNCTION("REGEXREPLACE(A227, ""&lt;loc&gt;"", """")"),"https://odysia-cruise-uk.client.prod.eu-west.dreamlake.io/cruise-lines/cunard/queen-elizabeth&lt;/loc&gt;")</f>
        <v>https://odysia-cruise-uk.client.prod.eu-west.dreamlake.io/cruise-lines/cunard/queen-elizabeth&lt;/loc&gt;</v>
      </c>
      <c r="C227" s="153" t="str">
        <f>IFERROR(__xludf.DUMMYFUNCTION("REGEXREPLACE(B227, ""&lt;/loc&gt;"", """")"),"https://odysia-cruise-uk.client.prod.eu-west.dreamlake.io/cruise-lines/cunard/queen-elizabeth")</f>
        <v>https://odysia-cruise-uk.client.prod.eu-west.dreamlake.io/cruise-lines/cunard/queen-elizabeth</v>
      </c>
      <c r="D227" s="152" t="s">
        <v>642</v>
      </c>
      <c r="E227" s="152" t="str">
        <f>IFERROR(__xludf.DUMMYFUNCTION("REGEXREPLACE(D227, ""https://odysia-cruise-uk.client.prod.eu-west.dreamlake.io"", """")"),"/cruise-lines/cunard/queen-elizabeth")</f>
        <v>/cruise-lines/cunard/queen-elizabeth</v>
      </c>
    </row>
    <row r="228">
      <c r="A228" s="154" t="s">
        <v>643</v>
      </c>
      <c r="B228" s="152" t="str">
        <f>IFERROR(__xludf.DUMMYFUNCTION("REGEXREPLACE(A228, ""&lt;loc&gt;"", """")"),"https://odysia-cruise-uk.client.prod.eu-west.dreamlake.io/cruise-lines/msc-cruises/msc-meraviglia/cruises&lt;/loc&gt;")</f>
        <v>https://odysia-cruise-uk.client.prod.eu-west.dreamlake.io/cruise-lines/msc-cruises/msc-meraviglia/cruises&lt;/loc&gt;</v>
      </c>
      <c r="C228" s="153" t="str">
        <f>IFERROR(__xludf.DUMMYFUNCTION("REGEXREPLACE(B228, ""&lt;/loc&gt;"", """")"),"https://odysia-cruise-uk.client.prod.eu-west.dreamlake.io/cruise-lines/msc-cruises/msc-meraviglia/cruises")</f>
        <v>https://odysia-cruise-uk.client.prod.eu-west.dreamlake.io/cruise-lines/msc-cruises/msc-meraviglia/cruises</v>
      </c>
      <c r="D228" s="152" t="s">
        <v>644</v>
      </c>
      <c r="E228" s="152" t="str">
        <f>IFERROR(__xludf.DUMMYFUNCTION("REGEXREPLACE(D228, ""https://odysia-cruise-uk.client.prod.eu-west.dreamlake.io"", """")"),"/cruise-lines/msc-cruises/msc-meraviglia/cruises")</f>
        <v>/cruise-lines/msc-cruises/msc-meraviglia/cruises</v>
      </c>
    </row>
    <row r="229">
      <c r="A229" s="154" t="s">
        <v>645</v>
      </c>
      <c r="B229" s="152" t="str">
        <f>IFERROR(__xludf.DUMMYFUNCTION("REGEXREPLACE(A229, ""&lt;loc&gt;"", """")"),"https://odysia-cruise-uk.client.prod.eu-west.dreamlake.io/cruise-lines/norwegian-cruise-line/norwegian-escape/cruises&lt;/loc&gt;")</f>
        <v>https://odysia-cruise-uk.client.prod.eu-west.dreamlake.io/cruise-lines/norwegian-cruise-line/norwegian-escape/cruises&lt;/loc&gt;</v>
      </c>
      <c r="C229" s="153" t="str">
        <f>IFERROR(__xludf.DUMMYFUNCTION("REGEXREPLACE(B229, ""&lt;/loc&gt;"", """")"),"https://odysia-cruise-uk.client.prod.eu-west.dreamlake.io/cruise-lines/norwegian-cruise-line/norwegian-escape/cruises")</f>
        <v>https://odysia-cruise-uk.client.prod.eu-west.dreamlake.io/cruise-lines/norwegian-cruise-line/norwegian-escape/cruises</v>
      </c>
      <c r="D229" s="152" t="s">
        <v>646</v>
      </c>
      <c r="E229" s="152" t="str">
        <f>IFERROR(__xludf.DUMMYFUNCTION("REGEXREPLACE(D229, ""https://odysia-cruise-uk.client.prod.eu-west.dreamlake.io"", """")"),"/cruise-lines/norwegian-cruise-line/norwegian-escape/cruises")</f>
        <v>/cruise-lines/norwegian-cruise-line/norwegian-escape/cruises</v>
      </c>
    </row>
    <row r="230">
      <c r="A230" s="154" t="s">
        <v>647</v>
      </c>
      <c r="B230" s="152" t="str">
        <f>IFERROR(__xludf.DUMMYFUNCTION("REGEXREPLACE(A230, ""&lt;loc&gt;"", """")"),"https://odysia-cruise-uk.client.prod.eu-west.dreamlake.io/cruise-lines/msc-cruises/msc-fantasia/cruises&lt;/loc&gt;")</f>
        <v>https://odysia-cruise-uk.client.prod.eu-west.dreamlake.io/cruise-lines/msc-cruises/msc-fantasia/cruises&lt;/loc&gt;</v>
      </c>
      <c r="C230" s="153" t="str">
        <f>IFERROR(__xludf.DUMMYFUNCTION("REGEXREPLACE(B230, ""&lt;/loc&gt;"", """")"),"https://odysia-cruise-uk.client.prod.eu-west.dreamlake.io/cruise-lines/msc-cruises/msc-fantasia/cruises")</f>
        <v>https://odysia-cruise-uk.client.prod.eu-west.dreamlake.io/cruise-lines/msc-cruises/msc-fantasia/cruises</v>
      </c>
      <c r="D230" s="152" t="s">
        <v>648</v>
      </c>
      <c r="E230" s="152" t="str">
        <f>IFERROR(__xludf.DUMMYFUNCTION("REGEXREPLACE(D230, ""https://odysia-cruise-uk.client.prod.eu-west.dreamlake.io"", """")"),"/cruise-lines/msc-cruises/msc-fantasia/cruises")</f>
        <v>/cruise-lines/msc-cruises/msc-fantasia/cruises</v>
      </c>
    </row>
    <row r="231">
      <c r="A231" s="154" t="s">
        <v>649</v>
      </c>
      <c r="B231" s="152" t="str">
        <f>IFERROR(__xludf.DUMMYFUNCTION("REGEXREPLACE(A231, ""&lt;loc&gt;"", """")"),"https://odysia-cruise-uk.client.prod.eu-west.dreamlake.io/cruise-lines/oceania-cruises/oceania-sirena/cruises&lt;/loc&gt;")</f>
        <v>https://odysia-cruise-uk.client.prod.eu-west.dreamlake.io/cruise-lines/oceania-cruises/oceania-sirena/cruises&lt;/loc&gt;</v>
      </c>
      <c r="C231" s="153" t="str">
        <f>IFERROR(__xludf.DUMMYFUNCTION("REGEXREPLACE(B231, ""&lt;/loc&gt;"", """")"),"https://odysia-cruise-uk.client.prod.eu-west.dreamlake.io/cruise-lines/oceania-cruises/oceania-sirena/cruises")</f>
        <v>https://odysia-cruise-uk.client.prod.eu-west.dreamlake.io/cruise-lines/oceania-cruises/oceania-sirena/cruises</v>
      </c>
      <c r="D231" s="152" t="s">
        <v>650</v>
      </c>
      <c r="E231" s="152" t="str">
        <f>IFERROR(__xludf.DUMMYFUNCTION("REGEXREPLACE(D231, ""https://odysia-cruise-uk.client.prod.eu-west.dreamlake.io"", """")"),"/cruise-lines/oceania-cruises/oceania-sirena/cruises")</f>
        <v>/cruise-lines/oceania-cruises/oceania-sirena/cruises</v>
      </c>
    </row>
    <row r="232">
      <c r="A232" s="154" t="s">
        <v>651</v>
      </c>
      <c r="B232" s="152" t="str">
        <f>IFERROR(__xludf.DUMMYFUNCTION("REGEXREPLACE(A232, ""&lt;loc&gt;"", """")"),"https://odysia-cruise-uk.client.prod.eu-west.dreamlake.io/cruise-lines/regent-seven-seas-cruises/seven-seas-mariner/cruises&lt;/loc&gt;")</f>
        <v>https://odysia-cruise-uk.client.prod.eu-west.dreamlake.io/cruise-lines/regent-seven-seas-cruises/seven-seas-mariner/cruises&lt;/loc&gt;</v>
      </c>
      <c r="C232" s="153" t="str">
        <f>IFERROR(__xludf.DUMMYFUNCTION("REGEXREPLACE(B232, ""&lt;/loc&gt;"", """")"),"https://odysia-cruise-uk.client.prod.eu-west.dreamlake.io/cruise-lines/regent-seven-seas-cruises/seven-seas-mariner/cruises")</f>
        <v>https://odysia-cruise-uk.client.prod.eu-west.dreamlake.io/cruise-lines/regent-seven-seas-cruises/seven-seas-mariner/cruises</v>
      </c>
      <c r="D232" s="152" t="s">
        <v>652</v>
      </c>
      <c r="E232" s="152" t="str">
        <f>IFERROR(__xludf.DUMMYFUNCTION("REGEXREPLACE(D232, ""https://odysia-cruise-uk.client.prod.eu-west.dreamlake.io"", """")"),"/cruise-lines/regent-seven-seas-cruises/seven-seas-mariner/cruises")</f>
        <v>/cruise-lines/regent-seven-seas-cruises/seven-seas-mariner/cruises</v>
      </c>
    </row>
    <row r="233">
      <c r="A233" s="154" t="s">
        <v>653</v>
      </c>
      <c r="B233" s="152" t="str">
        <f>IFERROR(__xludf.DUMMYFUNCTION("REGEXREPLACE(A233, ""&lt;loc&gt;"", """")"),"https://odysia-cruise-uk.client.prod.eu-west.dreamlake.io/cruise-lines/po-cruises/iona&lt;/loc&gt;")</f>
        <v>https://odysia-cruise-uk.client.prod.eu-west.dreamlake.io/cruise-lines/po-cruises/iona&lt;/loc&gt;</v>
      </c>
      <c r="C233" s="153" t="str">
        <f>IFERROR(__xludf.DUMMYFUNCTION("REGEXREPLACE(B233, ""&lt;/loc&gt;"", """")"),"https://odysia-cruise-uk.client.prod.eu-west.dreamlake.io/cruise-lines/po-cruises/iona")</f>
        <v>https://odysia-cruise-uk.client.prod.eu-west.dreamlake.io/cruise-lines/po-cruises/iona</v>
      </c>
      <c r="D233" s="152" t="s">
        <v>654</v>
      </c>
      <c r="E233" s="152" t="str">
        <f>IFERROR(__xludf.DUMMYFUNCTION("REGEXREPLACE(D233, ""https://odysia-cruise-uk.client.prod.eu-west.dreamlake.io"", """")"),"/cruise-lines/po-cruises/iona")</f>
        <v>/cruise-lines/po-cruises/iona</v>
      </c>
    </row>
    <row r="234">
      <c r="A234" s="154" t="s">
        <v>655</v>
      </c>
      <c r="B234" s="152" t="str">
        <f>IFERROR(__xludf.DUMMYFUNCTION("REGEXREPLACE(A234, ""&lt;loc&gt;"", """")"),"https://odysia-cruise-uk.client.prod.eu-west.dreamlake.io/cruise-lines/msc-cruises/msc-virtuosa&lt;/loc&gt;")</f>
        <v>https://odysia-cruise-uk.client.prod.eu-west.dreamlake.io/cruise-lines/msc-cruises/msc-virtuosa&lt;/loc&gt;</v>
      </c>
      <c r="C234" s="153" t="str">
        <f>IFERROR(__xludf.DUMMYFUNCTION("REGEXREPLACE(B234, ""&lt;/loc&gt;"", """")"),"https://odysia-cruise-uk.client.prod.eu-west.dreamlake.io/cruise-lines/msc-cruises/msc-virtuosa")</f>
        <v>https://odysia-cruise-uk.client.prod.eu-west.dreamlake.io/cruise-lines/msc-cruises/msc-virtuosa</v>
      </c>
      <c r="D234" s="152" t="s">
        <v>656</v>
      </c>
      <c r="E234" s="152" t="str">
        <f>IFERROR(__xludf.DUMMYFUNCTION("REGEXREPLACE(D234, ""https://odysia-cruise-uk.client.prod.eu-west.dreamlake.io"", """")"),"/cruise-lines/msc-cruises/msc-virtuosa")</f>
        <v>/cruise-lines/msc-cruises/msc-virtuosa</v>
      </c>
    </row>
    <row r="235">
      <c r="A235" s="154" t="s">
        <v>657</v>
      </c>
      <c r="B235" s="152" t="str">
        <f>IFERROR(__xludf.DUMMYFUNCTION("REGEXREPLACE(A235, ""&lt;loc&gt;"", """")"),"https://odysia-cruise-uk.client.prod.eu-west.dreamlake.io/cruise-lines/msc-cruises/msc-bellissima&lt;/loc&gt;")</f>
        <v>https://odysia-cruise-uk.client.prod.eu-west.dreamlake.io/cruise-lines/msc-cruises/msc-bellissima&lt;/loc&gt;</v>
      </c>
      <c r="C235" s="153" t="str">
        <f>IFERROR(__xludf.DUMMYFUNCTION("REGEXREPLACE(B235, ""&lt;/loc&gt;"", """")"),"https://odysia-cruise-uk.client.prod.eu-west.dreamlake.io/cruise-lines/msc-cruises/msc-bellissima")</f>
        <v>https://odysia-cruise-uk.client.prod.eu-west.dreamlake.io/cruise-lines/msc-cruises/msc-bellissima</v>
      </c>
      <c r="D235" s="152" t="s">
        <v>658</v>
      </c>
      <c r="E235" s="152" t="str">
        <f>IFERROR(__xludf.DUMMYFUNCTION("REGEXREPLACE(D235, ""https://odysia-cruise-uk.client.prod.eu-west.dreamlake.io"", """")"),"/cruise-lines/msc-cruises/msc-bellissima")</f>
        <v>/cruise-lines/msc-cruises/msc-bellissima</v>
      </c>
    </row>
    <row r="236">
      <c r="A236" s="154" t="s">
        <v>659</v>
      </c>
      <c r="B236" s="152" t="str">
        <f>IFERROR(__xludf.DUMMYFUNCTION("REGEXREPLACE(A236, ""&lt;loc&gt;"", """")"),"https://odysia-cruise-uk.client.prod.eu-west.dreamlake.io/cruise-lines/royal-caribbean/spectrum-of-the-seas&lt;/loc&gt;")</f>
        <v>https://odysia-cruise-uk.client.prod.eu-west.dreamlake.io/cruise-lines/royal-caribbean/spectrum-of-the-seas&lt;/loc&gt;</v>
      </c>
      <c r="C236" s="153" t="str">
        <f>IFERROR(__xludf.DUMMYFUNCTION("REGEXREPLACE(B236, ""&lt;/loc&gt;"", """")"),"https://odysia-cruise-uk.client.prod.eu-west.dreamlake.io/cruise-lines/royal-caribbean/spectrum-of-the-seas")</f>
        <v>https://odysia-cruise-uk.client.prod.eu-west.dreamlake.io/cruise-lines/royal-caribbean/spectrum-of-the-seas</v>
      </c>
      <c r="D236" s="152" t="s">
        <v>660</v>
      </c>
      <c r="E236" s="152" t="str">
        <f>IFERROR(__xludf.DUMMYFUNCTION("REGEXREPLACE(D236, ""https://odysia-cruise-uk.client.prod.eu-west.dreamlake.io"", """")"),"/cruise-lines/royal-caribbean/spectrum-of-the-seas")</f>
        <v>/cruise-lines/royal-caribbean/spectrum-of-the-seas</v>
      </c>
    </row>
    <row r="237">
      <c r="A237" s="154" t="s">
        <v>661</v>
      </c>
      <c r="B237" s="152" t="str">
        <f>IFERROR(__xludf.DUMMYFUNCTION("REGEXREPLACE(A237, ""&lt;loc&gt;"", """")"),"https://odysia-cruise-uk.client.prod.eu-west.dreamlake.io/cruise-lines/princess-cruises/coral-princess/cruises&lt;/loc&gt;")</f>
        <v>https://odysia-cruise-uk.client.prod.eu-west.dreamlake.io/cruise-lines/princess-cruises/coral-princess/cruises&lt;/loc&gt;</v>
      </c>
      <c r="C237" s="153" t="str">
        <f>IFERROR(__xludf.DUMMYFUNCTION("REGEXREPLACE(B237, ""&lt;/loc&gt;"", """")"),"https://odysia-cruise-uk.client.prod.eu-west.dreamlake.io/cruise-lines/princess-cruises/coral-princess/cruises")</f>
        <v>https://odysia-cruise-uk.client.prod.eu-west.dreamlake.io/cruise-lines/princess-cruises/coral-princess/cruises</v>
      </c>
      <c r="D237" s="152" t="s">
        <v>662</v>
      </c>
      <c r="E237" s="152" t="str">
        <f>IFERROR(__xludf.DUMMYFUNCTION("REGEXREPLACE(D237, ""https://odysia-cruise-uk.client.prod.eu-west.dreamlake.io"", """")"),"/cruise-lines/princess-cruises/coral-princess/cruises")</f>
        <v>/cruise-lines/princess-cruises/coral-princess/cruises</v>
      </c>
    </row>
    <row r="238">
      <c r="A238" s="154" t="s">
        <v>663</v>
      </c>
      <c r="B238" s="152" t="str">
        <f>IFERROR(__xludf.DUMMYFUNCTION("REGEXREPLACE(A238, ""&lt;loc&gt;"", """")"),"https://odysia-cruise-uk.client.prod.eu-west.dreamlake.io/cruise-lines/explora-journeys/explora-i&lt;/loc&gt;")</f>
        <v>https://odysia-cruise-uk.client.prod.eu-west.dreamlake.io/cruise-lines/explora-journeys/explora-i&lt;/loc&gt;</v>
      </c>
      <c r="C238" s="153" t="str">
        <f>IFERROR(__xludf.DUMMYFUNCTION("REGEXREPLACE(B238, ""&lt;/loc&gt;"", """")"),"https://odysia-cruise-uk.client.prod.eu-west.dreamlake.io/cruise-lines/explora-journeys/explora-i")</f>
        <v>https://odysia-cruise-uk.client.prod.eu-west.dreamlake.io/cruise-lines/explora-journeys/explora-i</v>
      </c>
      <c r="D238" s="152" t="s">
        <v>664</v>
      </c>
      <c r="E238" s="152" t="str">
        <f>IFERROR(__xludf.DUMMYFUNCTION("REGEXREPLACE(D238, ""https://odysia-cruise-uk.client.prod.eu-west.dreamlake.io"", """")"),"/cruise-lines/explora-journeys/explora-i")</f>
        <v>/cruise-lines/explora-journeys/explora-i</v>
      </c>
    </row>
    <row r="239">
      <c r="A239" s="154" t="s">
        <v>665</v>
      </c>
      <c r="B239" s="152" t="str">
        <f>IFERROR(__xludf.DUMMYFUNCTION("REGEXREPLACE(A239, ""&lt;loc&gt;"", """")"),"https://odysia-cruise-uk.client.prod.eu-west.dreamlake.io/cruise-lines/regent-seven-seas-cruises/seven-seas-explorer&lt;/loc&gt;")</f>
        <v>https://odysia-cruise-uk.client.prod.eu-west.dreamlake.io/cruise-lines/regent-seven-seas-cruises/seven-seas-explorer&lt;/loc&gt;</v>
      </c>
      <c r="C239" s="153" t="str">
        <f>IFERROR(__xludf.DUMMYFUNCTION("REGEXREPLACE(B239, ""&lt;/loc&gt;"", """")"),"https://odysia-cruise-uk.client.prod.eu-west.dreamlake.io/cruise-lines/regent-seven-seas-cruises/seven-seas-explorer")</f>
        <v>https://odysia-cruise-uk.client.prod.eu-west.dreamlake.io/cruise-lines/regent-seven-seas-cruises/seven-seas-explorer</v>
      </c>
      <c r="D239" s="152" t="s">
        <v>666</v>
      </c>
      <c r="E239" s="152" t="str">
        <f>IFERROR(__xludf.DUMMYFUNCTION("REGEXREPLACE(D239, ""https://odysia-cruise-uk.client.prod.eu-west.dreamlake.io"", """")"),"/cruise-lines/regent-seven-seas-cruises/seven-seas-explorer")</f>
        <v>/cruise-lines/regent-seven-seas-cruises/seven-seas-explorer</v>
      </c>
    </row>
    <row r="240">
      <c r="A240" s="154" t="s">
        <v>667</v>
      </c>
      <c r="B240" s="152" t="str">
        <f>IFERROR(__xludf.DUMMYFUNCTION("REGEXREPLACE(A240, ""&lt;loc&gt;"", """")"),"https://odysia-cruise-uk.client.prod.eu-west.dreamlake.io/cruise-lines/royal-caribbean/navigator-of-the-seas/cruises&lt;/loc&gt;")</f>
        <v>https://odysia-cruise-uk.client.prod.eu-west.dreamlake.io/cruise-lines/royal-caribbean/navigator-of-the-seas/cruises&lt;/loc&gt;</v>
      </c>
      <c r="C240" s="153" t="str">
        <f>IFERROR(__xludf.DUMMYFUNCTION("REGEXREPLACE(B240, ""&lt;/loc&gt;"", """")"),"https://odysia-cruise-uk.client.prod.eu-west.dreamlake.io/cruise-lines/royal-caribbean/navigator-of-the-seas/cruises")</f>
        <v>https://odysia-cruise-uk.client.prod.eu-west.dreamlake.io/cruise-lines/royal-caribbean/navigator-of-the-seas/cruises</v>
      </c>
      <c r="D240" s="152" t="s">
        <v>668</v>
      </c>
      <c r="E240" s="152" t="str">
        <f>IFERROR(__xludf.DUMMYFUNCTION("REGEXREPLACE(D240, ""https://odysia-cruise-uk.client.prod.eu-west.dreamlake.io"", """")"),"/cruise-lines/royal-caribbean/navigator-of-the-seas/cruises")</f>
        <v>/cruise-lines/royal-caribbean/navigator-of-the-seas/cruises</v>
      </c>
    </row>
    <row r="241">
      <c r="A241" s="154" t="s">
        <v>669</v>
      </c>
      <c r="B241" s="152" t="str">
        <f>IFERROR(__xludf.DUMMYFUNCTION("REGEXREPLACE(A241, ""&lt;loc&gt;"", """")"),"https://odysia-cruise-uk.client.prod.eu-west.dreamlake.io/cruise-lines/virgin-voyages/valiant-lady&lt;/loc&gt;")</f>
        <v>https://odysia-cruise-uk.client.prod.eu-west.dreamlake.io/cruise-lines/virgin-voyages/valiant-lady&lt;/loc&gt;</v>
      </c>
      <c r="C241" s="153" t="str">
        <f>IFERROR(__xludf.DUMMYFUNCTION("REGEXREPLACE(B241, ""&lt;/loc&gt;"", """")"),"https://odysia-cruise-uk.client.prod.eu-west.dreamlake.io/cruise-lines/virgin-voyages/valiant-lady")</f>
        <v>https://odysia-cruise-uk.client.prod.eu-west.dreamlake.io/cruise-lines/virgin-voyages/valiant-lady</v>
      </c>
      <c r="D241" s="152" t="s">
        <v>670</v>
      </c>
      <c r="E241" s="152" t="str">
        <f>IFERROR(__xludf.DUMMYFUNCTION("REGEXREPLACE(D241, ""https://odysia-cruise-uk.client.prod.eu-west.dreamlake.io"", """")"),"/cruise-lines/virgin-voyages/valiant-lady")</f>
        <v>/cruise-lines/virgin-voyages/valiant-lady</v>
      </c>
    </row>
    <row r="242">
      <c r="A242" s="154" t="s">
        <v>671</v>
      </c>
      <c r="B242" s="152" t="str">
        <f>IFERROR(__xludf.DUMMYFUNCTION("REGEXREPLACE(A242, ""&lt;loc&gt;"", """")"),"https://odysia-cruise-uk.client.prod.eu-west.dreamlake.io/cruise-lines/norwegian-cruise-line/norwegian-aqua/cruises&lt;/loc&gt;")</f>
        <v>https://odysia-cruise-uk.client.prod.eu-west.dreamlake.io/cruise-lines/norwegian-cruise-line/norwegian-aqua/cruises&lt;/loc&gt;</v>
      </c>
      <c r="C242" s="153" t="str">
        <f>IFERROR(__xludf.DUMMYFUNCTION("REGEXREPLACE(B242, ""&lt;/loc&gt;"", """")"),"https://odysia-cruise-uk.client.prod.eu-west.dreamlake.io/cruise-lines/norwegian-cruise-line/norwegian-aqua/cruises")</f>
        <v>https://odysia-cruise-uk.client.prod.eu-west.dreamlake.io/cruise-lines/norwegian-cruise-line/norwegian-aqua/cruises</v>
      </c>
      <c r="D242" s="152" t="s">
        <v>672</v>
      </c>
      <c r="E242" s="152" t="str">
        <f>IFERROR(__xludf.DUMMYFUNCTION("REGEXREPLACE(D242, ""https://odysia-cruise-uk.client.prod.eu-west.dreamlake.io"", """")"),"/cruise-lines/norwegian-cruise-line/norwegian-aqua/cruises")</f>
        <v>/cruise-lines/norwegian-cruise-line/norwegian-aqua/cruises</v>
      </c>
    </row>
    <row r="243">
      <c r="A243" s="154" t="s">
        <v>673</v>
      </c>
      <c r="B243" s="152" t="str">
        <f>IFERROR(__xludf.DUMMYFUNCTION("REGEXREPLACE(A243, ""&lt;loc&gt;"", """")"),"https://odysia-cruise-uk.client.prod.eu-west.dreamlake.io/cruise-lines/norwegian-cruise-line/norwegian-jewel&lt;/loc&gt;")</f>
        <v>https://odysia-cruise-uk.client.prod.eu-west.dreamlake.io/cruise-lines/norwegian-cruise-line/norwegian-jewel&lt;/loc&gt;</v>
      </c>
      <c r="C243" s="153" t="str">
        <f>IFERROR(__xludf.DUMMYFUNCTION("REGEXREPLACE(B243, ""&lt;/loc&gt;"", """")"),"https://odysia-cruise-uk.client.prod.eu-west.dreamlake.io/cruise-lines/norwegian-cruise-line/norwegian-jewel")</f>
        <v>https://odysia-cruise-uk.client.prod.eu-west.dreamlake.io/cruise-lines/norwegian-cruise-line/norwegian-jewel</v>
      </c>
      <c r="D243" s="152" t="s">
        <v>674</v>
      </c>
      <c r="E243" s="152" t="str">
        <f>IFERROR(__xludf.DUMMYFUNCTION("REGEXREPLACE(D243, ""https://odysia-cruise-uk.client.prod.eu-west.dreamlake.io"", """")"),"/cruise-lines/norwegian-cruise-line/norwegian-jewel")</f>
        <v>/cruise-lines/norwegian-cruise-line/norwegian-jewel</v>
      </c>
    </row>
    <row r="244">
      <c r="A244" s="154" t="s">
        <v>675</v>
      </c>
      <c r="B244" s="152" t="str">
        <f>IFERROR(__xludf.DUMMYFUNCTION("REGEXREPLACE(A244, ""&lt;loc&gt;"", """")"),"https://odysia-cruise-uk.client.prod.eu-west.dreamlake.io/cruise-lines/costa-cruises/costa-diadema&lt;/loc&gt;")</f>
        <v>https://odysia-cruise-uk.client.prod.eu-west.dreamlake.io/cruise-lines/costa-cruises/costa-diadema&lt;/loc&gt;</v>
      </c>
      <c r="C244" s="153" t="str">
        <f>IFERROR(__xludf.DUMMYFUNCTION("REGEXREPLACE(B244, ""&lt;/loc&gt;"", """")"),"https://odysia-cruise-uk.client.prod.eu-west.dreamlake.io/cruise-lines/costa-cruises/costa-diadema")</f>
        <v>https://odysia-cruise-uk.client.prod.eu-west.dreamlake.io/cruise-lines/costa-cruises/costa-diadema</v>
      </c>
      <c r="D244" s="152" t="s">
        <v>676</v>
      </c>
      <c r="E244" s="152" t="str">
        <f>IFERROR(__xludf.DUMMYFUNCTION("REGEXREPLACE(D244, ""https://odysia-cruise-uk.client.prod.eu-west.dreamlake.io"", """")"),"/cruise-lines/costa-cruises/costa-diadema")</f>
        <v>/cruise-lines/costa-cruises/costa-diadema</v>
      </c>
    </row>
    <row r="245">
      <c r="A245" s="154" t="s">
        <v>677</v>
      </c>
      <c r="B245" s="152" t="str">
        <f>IFERROR(__xludf.DUMMYFUNCTION("REGEXREPLACE(A245, ""&lt;loc&gt;"", """")"),"https://odysia-cruise-uk.client.prod.eu-west.dreamlake.io/cruise-lines/royal-caribbean/jewel-of-the-seas/cruises&lt;/loc&gt;")</f>
        <v>https://odysia-cruise-uk.client.prod.eu-west.dreamlake.io/cruise-lines/royal-caribbean/jewel-of-the-seas/cruises&lt;/loc&gt;</v>
      </c>
      <c r="C245" s="153" t="str">
        <f>IFERROR(__xludf.DUMMYFUNCTION("REGEXREPLACE(B245, ""&lt;/loc&gt;"", """")"),"https://odysia-cruise-uk.client.prod.eu-west.dreamlake.io/cruise-lines/royal-caribbean/jewel-of-the-seas/cruises")</f>
        <v>https://odysia-cruise-uk.client.prod.eu-west.dreamlake.io/cruise-lines/royal-caribbean/jewel-of-the-seas/cruises</v>
      </c>
      <c r="D245" s="152" t="s">
        <v>678</v>
      </c>
      <c r="E245" s="152" t="str">
        <f>IFERROR(__xludf.DUMMYFUNCTION("REGEXREPLACE(D245, ""https://odysia-cruise-uk.client.prod.eu-west.dreamlake.io"", """")"),"/cruise-lines/royal-caribbean/jewel-of-the-seas/cruises")</f>
        <v>/cruise-lines/royal-caribbean/jewel-of-the-seas/cruises</v>
      </c>
    </row>
    <row r="246">
      <c r="A246" s="154" t="s">
        <v>679</v>
      </c>
      <c r="B246" s="152" t="str">
        <f>IFERROR(__xludf.DUMMYFUNCTION("REGEXREPLACE(A246, ""&lt;loc&gt;"", """")"),"https://odysia-cruise-uk.client.prod.eu-west.dreamlake.io/cruise-deals/cruises-from-tilbury&lt;/loc&gt;")</f>
        <v>https://odysia-cruise-uk.client.prod.eu-west.dreamlake.io/cruise-deals/cruises-from-tilbury&lt;/loc&gt;</v>
      </c>
      <c r="C246" s="153" t="str">
        <f>IFERROR(__xludf.DUMMYFUNCTION("REGEXREPLACE(B246, ""&lt;/loc&gt;"", """")"),"https://odysia-cruise-uk.client.prod.eu-west.dreamlake.io/cruise-deals/cruises-from-tilbury")</f>
        <v>https://odysia-cruise-uk.client.prod.eu-west.dreamlake.io/cruise-deals/cruises-from-tilbury</v>
      </c>
      <c r="D246" s="152" t="s">
        <v>680</v>
      </c>
    </row>
    <row r="247">
      <c r="A247" s="154" t="s">
        <v>681</v>
      </c>
      <c r="B247" s="152" t="str">
        <f>IFERROR(__xludf.DUMMYFUNCTION("REGEXREPLACE(A247, ""&lt;loc&gt;"", """")"),"https://odysia-cruise-uk.client.prod.eu-west.dreamlake.io/cruise-lines/celebrity-cruises/celebrity-infinity&lt;/loc&gt;")</f>
        <v>https://odysia-cruise-uk.client.prod.eu-west.dreamlake.io/cruise-lines/celebrity-cruises/celebrity-infinity&lt;/loc&gt;</v>
      </c>
      <c r="C247" s="153" t="str">
        <f>IFERROR(__xludf.DUMMYFUNCTION("REGEXREPLACE(B247, ""&lt;/loc&gt;"", """")"),"https://odysia-cruise-uk.client.prod.eu-west.dreamlake.io/cruise-lines/celebrity-cruises/celebrity-infinity")</f>
        <v>https://odysia-cruise-uk.client.prod.eu-west.dreamlake.io/cruise-lines/celebrity-cruises/celebrity-infinity</v>
      </c>
      <c r="D247" s="152" t="s">
        <v>682</v>
      </c>
      <c r="E247" s="152" t="str">
        <f>IFERROR(__xludf.DUMMYFUNCTION("REGEXREPLACE(D247, ""https://odysia-cruise-uk.client.prod.eu-west.dreamlake.io"", """")"),"/cruise-lines/celebrity-cruises/celebrity-infinity")</f>
        <v>/cruise-lines/celebrity-cruises/celebrity-infinity</v>
      </c>
    </row>
    <row r="248">
      <c r="A248" s="154" t="s">
        <v>683</v>
      </c>
      <c r="B248" s="152" t="str">
        <f>IFERROR(__xludf.DUMMYFUNCTION("REGEXREPLACE(A248, ""&lt;loc&gt;"", """")"),"https://odysia-cruise-uk.client.prod.eu-west.dreamlake.io/cruise-lines/seabourn/seabourn-quest&lt;/loc&gt;")</f>
        <v>https://odysia-cruise-uk.client.prod.eu-west.dreamlake.io/cruise-lines/seabourn/seabourn-quest&lt;/loc&gt;</v>
      </c>
      <c r="C248" s="153" t="str">
        <f>IFERROR(__xludf.DUMMYFUNCTION("REGEXREPLACE(B248, ""&lt;/loc&gt;"", """")"),"https://odysia-cruise-uk.client.prod.eu-west.dreamlake.io/cruise-lines/seabourn/seabourn-quest")</f>
        <v>https://odysia-cruise-uk.client.prod.eu-west.dreamlake.io/cruise-lines/seabourn/seabourn-quest</v>
      </c>
      <c r="D248" s="152" t="s">
        <v>684</v>
      </c>
      <c r="E248" s="152" t="str">
        <f>IFERROR(__xludf.DUMMYFUNCTION("REGEXREPLACE(D248, ""https://odysia-cruise-uk.client.prod.eu-west.dreamlake.io"", """")"),"/cruise-lines/seabourn/seabourn-quest")</f>
        <v>/cruise-lines/seabourn/seabourn-quest</v>
      </c>
    </row>
    <row r="249">
      <c r="A249" s="154" t="s">
        <v>685</v>
      </c>
      <c r="B249" s="152" t="str">
        <f>IFERROR(__xludf.DUMMYFUNCTION("REGEXREPLACE(A249, ""&lt;loc&gt;"", """")"),"https://odysia-cruise-uk.client.prod.eu-west.dreamlake.io/cruise-lines/oceania-cruises/oceania-marina&lt;/loc&gt;")</f>
        <v>https://odysia-cruise-uk.client.prod.eu-west.dreamlake.io/cruise-lines/oceania-cruises/oceania-marina&lt;/loc&gt;</v>
      </c>
      <c r="C249" s="153" t="str">
        <f>IFERROR(__xludf.DUMMYFUNCTION("REGEXREPLACE(B249, ""&lt;/loc&gt;"", """")"),"https://odysia-cruise-uk.client.prod.eu-west.dreamlake.io/cruise-lines/oceania-cruises/oceania-marina")</f>
        <v>https://odysia-cruise-uk.client.prod.eu-west.dreamlake.io/cruise-lines/oceania-cruises/oceania-marina</v>
      </c>
      <c r="D249" s="152" t="s">
        <v>686</v>
      </c>
      <c r="E249" s="152" t="str">
        <f>IFERROR(__xludf.DUMMYFUNCTION("REGEXREPLACE(D249, ""https://odysia-cruise-uk.client.prod.eu-west.dreamlake.io"", """")"),"/cruise-lines/oceania-cruises/oceania-marina")</f>
        <v>/cruise-lines/oceania-cruises/oceania-marina</v>
      </c>
    </row>
    <row r="250">
      <c r="A250" s="154" t="s">
        <v>687</v>
      </c>
      <c r="B250" s="152" t="str">
        <f>IFERROR(__xludf.DUMMYFUNCTION("REGEXREPLACE(A250, ""&lt;loc&gt;"", """")"),"https://odysia-cruise-uk.client.prod.eu-west.dreamlake.io/cruise-lines/fred-olsen-cruises&lt;/loc&gt;")</f>
        <v>https://odysia-cruise-uk.client.prod.eu-west.dreamlake.io/cruise-lines/fred-olsen-cruises&lt;/loc&gt;</v>
      </c>
      <c r="C250" s="153" t="str">
        <f>IFERROR(__xludf.DUMMYFUNCTION("REGEXREPLACE(B250, ""&lt;/loc&gt;"", """")"),"https://odysia-cruise-uk.client.prod.eu-west.dreamlake.io/cruise-lines/fred-olsen-cruises")</f>
        <v>https://odysia-cruise-uk.client.prod.eu-west.dreamlake.io/cruise-lines/fred-olsen-cruises</v>
      </c>
      <c r="D250" s="152" t="s">
        <v>688</v>
      </c>
      <c r="E250" s="152" t="str">
        <f>IFERROR(__xludf.DUMMYFUNCTION("REGEXREPLACE(D250, ""https://odysia-cruise-uk.client.prod.eu-west.dreamlake.io"", """")"),"/cruise-lines/fred-olsen-cruises")</f>
        <v>/cruise-lines/fred-olsen-cruises</v>
      </c>
    </row>
    <row r="251">
      <c r="A251" s="154" t="s">
        <v>689</v>
      </c>
      <c r="B251" s="152" t="str">
        <f>IFERROR(__xludf.DUMMYFUNCTION("REGEXREPLACE(A251, ""&lt;loc&gt;"", """")"),"https://odysia-cruise-uk.client.prod.eu-west.dreamlake.io/cruise-lines/ambassador-cruise-line/cruises&lt;/loc&gt;")</f>
        <v>https://odysia-cruise-uk.client.prod.eu-west.dreamlake.io/cruise-lines/ambassador-cruise-line/cruises&lt;/loc&gt;</v>
      </c>
      <c r="C251" s="153" t="str">
        <f>IFERROR(__xludf.DUMMYFUNCTION("REGEXREPLACE(B251, ""&lt;/loc&gt;"", """")"),"https://odysia-cruise-uk.client.prod.eu-west.dreamlake.io/cruise-lines/ambassador-cruise-line/cruises")</f>
        <v>https://odysia-cruise-uk.client.prod.eu-west.dreamlake.io/cruise-lines/ambassador-cruise-line/cruises</v>
      </c>
      <c r="D251" s="152" t="s">
        <v>690</v>
      </c>
      <c r="E251" s="152" t="str">
        <f>IFERROR(__xludf.DUMMYFUNCTION("REGEXREPLACE(D251, ""https://odysia-cruise-uk.client.prod.eu-west.dreamlake.io"", """")"),"/cruise-lines/ambassador-cruise-line/cruises")</f>
        <v>/cruise-lines/ambassador-cruise-line/cruises</v>
      </c>
    </row>
    <row r="252">
      <c r="A252" s="154" t="s">
        <v>691</v>
      </c>
      <c r="B252" s="152" t="str">
        <f>IFERROR(__xludf.DUMMYFUNCTION("REGEXREPLACE(A252, ""&lt;loc&gt;"", """")"),"https://odysia-cruise-uk.client.prod.eu-west.dreamlake.io/cruise-lines/royal-caribbean/odyssey-of-the-seas/cruises&lt;/loc&gt;")</f>
        <v>https://odysia-cruise-uk.client.prod.eu-west.dreamlake.io/cruise-lines/royal-caribbean/odyssey-of-the-seas/cruises&lt;/loc&gt;</v>
      </c>
      <c r="C252" s="153" t="str">
        <f>IFERROR(__xludf.DUMMYFUNCTION("REGEXREPLACE(B252, ""&lt;/loc&gt;"", """")"),"https://odysia-cruise-uk.client.prod.eu-west.dreamlake.io/cruise-lines/royal-caribbean/odyssey-of-the-seas/cruises")</f>
        <v>https://odysia-cruise-uk.client.prod.eu-west.dreamlake.io/cruise-lines/royal-caribbean/odyssey-of-the-seas/cruises</v>
      </c>
      <c r="D252" s="152" t="s">
        <v>692</v>
      </c>
      <c r="E252" s="152" t="str">
        <f>IFERROR(__xludf.DUMMYFUNCTION("REGEXREPLACE(D252, ""https://odysia-cruise-uk.client.prod.eu-west.dreamlake.io"", """")"),"/cruise-lines/royal-caribbean/odyssey-of-the-seas/cruises")</f>
        <v>/cruise-lines/royal-caribbean/odyssey-of-the-seas/cruises</v>
      </c>
    </row>
    <row r="253">
      <c r="A253" s="154" t="s">
        <v>693</v>
      </c>
      <c r="B253" s="152" t="str">
        <f>IFERROR(__xludf.DUMMYFUNCTION("REGEXREPLACE(A253, ""&lt;loc&gt;"", """")"),"https://odysia-cruise-uk.client.prod.eu-west.dreamlake.io/cruise-lines/royal-caribbean&lt;/loc&gt;")</f>
        <v>https://odysia-cruise-uk.client.prod.eu-west.dreamlake.io/cruise-lines/royal-caribbean&lt;/loc&gt;</v>
      </c>
      <c r="C253" s="153" t="str">
        <f>IFERROR(__xludf.DUMMYFUNCTION("REGEXREPLACE(B253, ""&lt;/loc&gt;"", """")"),"https://odysia-cruise-uk.client.prod.eu-west.dreamlake.io/cruise-lines/royal-caribbean")</f>
        <v>https://odysia-cruise-uk.client.prod.eu-west.dreamlake.io/cruise-lines/royal-caribbean</v>
      </c>
      <c r="D253" s="152" t="s">
        <v>694</v>
      </c>
      <c r="E253" s="152" t="str">
        <f>IFERROR(__xludf.DUMMYFUNCTION("REGEXREPLACE(D253, ""https://odysia-cruise-uk.client.prod.eu-west.dreamlake.io"", """")"),"/cruise-lines/royal-caribbean")</f>
        <v>/cruise-lines/royal-caribbean</v>
      </c>
    </row>
    <row r="254">
      <c r="A254" s="154" t="s">
        <v>695</v>
      </c>
      <c r="B254" s="152" t="str">
        <f>IFERROR(__xludf.DUMMYFUNCTION("REGEXREPLACE(A254, ""&lt;loc&gt;"", """")"),"https://odysia-cruise-uk.client.prod.eu-west.dreamlake.io/destinations&lt;/loc&gt;")</f>
        <v>https://odysia-cruise-uk.client.prod.eu-west.dreamlake.io/destinations&lt;/loc&gt;</v>
      </c>
      <c r="C254" s="153" t="str">
        <f>IFERROR(__xludf.DUMMYFUNCTION("REGEXREPLACE(B254, ""&lt;/loc&gt;"", """")"),"https://odysia-cruise-uk.client.prod.eu-west.dreamlake.io/destinations")</f>
        <v>https://odysia-cruise-uk.client.prod.eu-west.dreamlake.io/destinations</v>
      </c>
    </row>
    <row r="255">
      <c r="A255" s="154" t="s">
        <v>696</v>
      </c>
      <c r="B255" s="152" t="str">
        <f>IFERROR(__xludf.DUMMYFUNCTION("REGEXREPLACE(A255, ""&lt;loc&gt;"", """")"),"https://odysia-cruise-uk.client.prod.eu-west.dreamlake.io/cruise-lines/royal-caribbean/brilliance-of-the-seas/cruises&lt;/loc&gt;")</f>
        <v>https://odysia-cruise-uk.client.prod.eu-west.dreamlake.io/cruise-lines/royal-caribbean/brilliance-of-the-seas/cruises&lt;/loc&gt;</v>
      </c>
      <c r="C255" s="153" t="str">
        <f>IFERROR(__xludf.DUMMYFUNCTION("REGEXREPLACE(B255, ""&lt;/loc&gt;"", """")"),"https://odysia-cruise-uk.client.prod.eu-west.dreamlake.io/cruise-lines/royal-caribbean/brilliance-of-the-seas/cruises")</f>
        <v>https://odysia-cruise-uk.client.prod.eu-west.dreamlake.io/cruise-lines/royal-caribbean/brilliance-of-the-seas/cruises</v>
      </c>
      <c r="D255" s="152" t="s">
        <v>697</v>
      </c>
      <c r="E255" s="152" t="str">
        <f>IFERROR(__xludf.DUMMYFUNCTION("REGEXREPLACE(D255, ""https://odysia-cruise-uk.client.prod.eu-west.dreamlake.io"", """")"),"/cruise-lines/royal-caribbean/brilliance-of-the-seas/cruises")</f>
        <v>/cruise-lines/royal-caribbean/brilliance-of-the-seas/cruises</v>
      </c>
    </row>
    <row r="256">
      <c r="A256" s="154" t="s">
        <v>698</v>
      </c>
      <c r="B256" s="152" t="str">
        <f>IFERROR(__xludf.DUMMYFUNCTION("REGEXREPLACE(A256, ""&lt;loc&gt;"", """")"),"https://odysia-cruise-uk.client.prod.eu-west.dreamlake.io/cruise-lines/fred-olsen-cruises/balmoral&lt;/loc&gt;")</f>
        <v>https://odysia-cruise-uk.client.prod.eu-west.dreamlake.io/cruise-lines/fred-olsen-cruises/balmoral&lt;/loc&gt;</v>
      </c>
      <c r="C256" s="153" t="str">
        <f>IFERROR(__xludf.DUMMYFUNCTION("REGEXREPLACE(B256, ""&lt;/loc&gt;"", """")"),"https://odysia-cruise-uk.client.prod.eu-west.dreamlake.io/cruise-lines/fred-olsen-cruises/balmoral")</f>
        <v>https://odysia-cruise-uk.client.prod.eu-west.dreamlake.io/cruise-lines/fred-olsen-cruises/balmoral</v>
      </c>
      <c r="D256" s="152" t="s">
        <v>699</v>
      </c>
      <c r="E256" s="152" t="str">
        <f>IFERROR(__xludf.DUMMYFUNCTION("REGEXREPLACE(D256, ""https://odysia-cruise-uk.client.prod.eu-west.dreamlake.io"", """")"),"/cruise-lines/fred-olsen-cruises/balmoral")</f>
        <v>/cruise-lines/fred-olsen-cruises/balmoral</v>
      </c>
    </row>
    <row r="257">
      <c r="A257" s="154" t="s">
        <v>700</v>
      </c>
      <c r="B257" s="152" t="str">
        <f>IFERROR(__xludf.DUMMYFUNCTION("REGEXREPLACE(A257, ""&lt;loc&gt;"", """")"),"https://odysia-cruise-uk.client.prod.eu-west.dreamlake.io/cruise-lines/seabourn&lt;/loc&gt;")</f>
        <v>https://odysia-cruise-uk.client.prod.eu-west.dreamlake.io/cruise-lines/seabourn&lt;/loc&gt;</v>
      </c>
      <c r="C257" s="153" t="str">
        <f>IFERROR(__xludf.DUMMYFUNCTION("REGEXREPLACE(B257, ""&lt;/loc&gt;"", """")"),"https://odysia-cruise-uk.client.prod.eu-west.dreamlake.io/cruise-lines/seabourn")</f>
        <v>https://odysia-cruise-uk.client.prod.eu-west.dreamlake.io/cruise-lines/seabourn</v>
      </c>
      <c r="D257" s="152" t="s">
        <v>701</v>
      </c>
      <c r="E257" s="152" t="str">
        <f>IFERROR(__xludf.DUMMYFUNCTION("REGEXREPLACE(D257, ""https://odysia-cruise-uk.client.prod.eu-west.dreamlake.io"", """")"),"/cruise-lines/seabourn")</f>
        <v>/cruise-lines/seabourn</v>
      </c>
    </row>
    <row r="258">
      <c r="A258" s="154" t="s">
        <v>702</v>
      </c>
      <c r="B258" s="152" t="str">
        <f>IFERROR(__xludf.DUMMYFUNCTION("REGEXREPLACE(A258, ""&lt;loc&gt;"", """")"),"https://odysia-cruise-uk.client.prod.eu-west.dreamlake.io/cruise-lines/ambassador-cruise-line/renaissance&lt;/loc&gt;")</f>
        <v>https://odysia-cruise-uk.client.prod.eu-west.dreamlake.io/cruise-lines/ambassador-cruise-line/renaissance&lt;/loc&gt;</v>
      </c>
      <c r="C258" s="153" t="str">
        <f>IFERROR(__xludf.DUMMYFUNCTION("REGEXREPLACE(B258, ""&lt;/loc&gt;"", """")"),"https://odysia-cruise-uk.client.prod.eu-west.dreamlake.io/cruise-lines/ambassador-cruise-line/renaissance")</f>
        <v>https://odysia-cruise-uk.client.prod.eu-west.dreamlake.io/cruise-lines/ambassador-cruise-line/renaissance</v>
      </c>
      <c r="D258" s="152" t="s">
        <v>703</v>
      </c>
      <c r="E258" s="152" t="str">
        <f>IFERROR(__xludf.DUMMYFUNCTION("REGEXREPLACE(D258, ""https://odysia-cruise-uk.client.prod.eu-west.dreamlake.io"", """")"),"/cruise-lines/ambassador-cruise-line/renaissance")</f>
        <v>/cruise-lines/ambassador-cruise-line/renaissance</v>
      </c>
    </row>
    <row r="259">
      <c r="A259" s="154" t="s">
        <v>704</v>
      </c>
      <c r="B259" s="152" t="str">
        <f>IFERROR(__xludf.DUMMYFUNCTION("REGEXREPLACE(A259, ""&lt;loc&gt;"", """")"),"https://odysia-cruise-uk.client.prod.eu-west.dreamlake.io/cruise-lines/princess-cruises/star-princess/cruises&lt;/loc&gt;")</f>
        <v>https://odysia-cruise-uk.client.prod.eu-west.dreamlake.io/cruise-lines/princess-cruises/star-princess/cruises&lt;/loc&gt;</v>
      </c>
      <c r="C259" s="153" t="str">
        <f>IFERROR(__xludf.DUMMYFUNCTION("REGEXREPLACE(B259, ""&lt;/loc&gt;"", """")"),"https://odysia-cruise-uk.client.prod.eu-west.dreamlake.io/cruise-lines/princess-cruises/star-princess/cruises")</f>
        <v>https://odysia-cruise-uk.client.prod.eu-west.dreamlake.io/cruise-lines/princess-cruises/star-princess/cruises</v>
      </c>
      <c r="D259" s="152" t="s">
        <v>705</v>
      </c>
      <c r="E259" s="152" t="str">
        <f>IFERROR(__xludf.DUMMYFUNCTION("REGEXREPLACE(D259, ""https://odysia-cruise-uk.client.prod.eu-west.dreamlake.io"", """")"),"/cruise-lines/princess-cruises/star-princess/cruises")</f>
        <v>/cruise-lines/princess-cruises/star-princess/cruises</v>
      </c>
    </row>
    <row r="260">
      <c r="A260" s="154" t="s">
        <v>706</v>
      </c>
      <c r="B260" s="152" t="str">
        <f>IFERROR(__xludf.DUMMYFUNCTION("REGEXREPLACE(A260, ""&lt;loc&gt;"", """")"),"https://odysia-cruise-uk.client.prod.eu-west.dreamlake.io/cruise-lines/seabourn/seabourn-ovation&lt;/loc&gt;")</f>
        <v>https://odysia-cruise-uk.client.prod.eu-west.dreamlake.io/cruise-lines/seabourn/seabourn-ovation&lt;/loc&gt;</v>
      </c>
      <c r="C260" s="153" t="str">
        <f>IFERROR(__xludf.DUMMYFUNCTION("REGEXREPLACE(B260, ""&lt;/loc&gt;"", """")"),"https://odysia-cruise-uk.client.prod.eu-west.dreamlake.io/cruise-lines/seabourn/seabourn-ovation")</f>
        <v>https://odysia-cruise-uk.client.prod.eu-west.dreamlake.io/cruise-lines/seabourn/seabourn-ovation</v>
      </c>
      <c r="D260" s="152" t="s">
        <v>707</v>
      </c>
      <c r="E260" s="152" t="str">
        <f>IFERROR(__xludf.DUMMYFUNCTION("REGEXREPLACE(D260, ""https://odysia-cruise-uk.client.prod.eu-west.dreamlake.io"", """")"),"/cruise-lines/seabourn/seabourn-ovation")</f>
        <v>/cruise-lines/seabourn/seabourn-ovation</v>
      </c>
    </row>
    <row r="261">
      <c r="A261" s="154" t="s">
        <v>708</v>
      </c>
      <c r="B261" s="152" t="str">
        <f>IFERROR(__xludf.DUMMYFUNCTION("REGEXREPLACE(A261, ""&lt;loc&gt;"", """")"),"https://odysia-cruise-uk.client.prod.eu-west.dreamlake.io/cruise-lines/po-cruises/aurora&lt;/loc&gt;")</f>
        <v>https://odysia-cruise-uk.client.prod.eu-west.dreamlake.io/cruise-lines/po-cruises/aurora&lt;/loc&gt;</v>
      </c>
      <c r="C261" s="153" t="str">
        <f>IFERROR(__xludf.DUMMYFUNCTION("REGEXREPLACE(B261, ""&lt;/loc&gt;"", """")"),"https://odysia-cruise-uk.client.prod.eu-west.dreamlake.io/cruise-lines/po-cruises/aurora")</f>
        <v>https://odysia-cruise-uk.client.prod.eu-west.dreamlake.io/cruise-lines/po-cruises/aurora</v>
      </c>
      <c r="D261" s="152" t="s">
        <v>709</v>
      </c>
      <c r="E261" s="152" t="str">
        <f>IFERROR(__xludf.DUMMYFUNCTION("REGEXREPLACE(D261, ""https://odysia-cruise-uk.client.prod.eu-west.dreamlake.io"", """")"),"/cruise-lines/po-cruises/aurora")</f>
        <v>/cruise-lines/po-cruises/aurora</v>
      </c>
    </row>
    <row r="262">
      <c r="A262" s="154" t="s">
        <v>710</v>
      </c>
      <c r="B262" s="152" t="str">
        <f>IFERROR(__xludf.DUMMYFUNCTION("REGEXREPLACE(A262, ""&lt;loc&gt;"", """")"),"https://odysia-cruise-uk.client.prod.eu-west.dreamlake.io/cruise-lines/royal-caribbean/mariner-of-the-seas&lt;/loc&gt;")</f>
        <v>https://odysia-cruise-uk.client.prod.eu-west.dreamlake.io/cruise-lines/royal-caribbean/mariner-of-the-seas&lt;/loc&gt;</v>
      </c>
      <c r="C262" s="153" t="str">
        <f>IFERROR(__xludf.DUMMYFUNCTION("REGEXREPLACE(B262, ""&lt;/loc&gt;"", """")"),"https://odysia-cruise-uk.client.prod.eu-west.dreamlake.io/cruise-lines/royal-caribbean/mariner-of-the-seas")</f>
        <v>https://odysia-cruise-uk.client.prod.eu-west.dreamlake.io/cruise-lines/royal-caribbean/mariner-of-the-seas</v>
      </c>
      <c r="D262" s="152" t="s">
        <v>711</v>
      </c>
      <c r="E262" s="152" t="str">
        <f>IFERROR(__xludf.DUMMYFUNCTION("REGEXREPLACE(D262, ""https://odysia-cruise-uk.client.prod.eu-west.dreamlake.io"", """")"),"/cruise-lines/royal-caribbean/mariner-of-the-seas")</f>
        <v>/cruise-lines/royal-caribbean/mariner-of-the-seas</v>
      </c>
    </row>
    <row r="263">
      <c r="A263" s="154" t="s">
        <v>712</v>
      </c>
      <c r="B263" s="152" t="str">
        <f>IFERROR(__xludf.DUMMYFUNCTION("REGEXREPLACE(A263, ""&lt;loc&gt;"", """")"),"https://odysia-cruise-uk.client.prod.eu-west.dreamlake.io/cruise-lines/norwegian-cruise-line/pride-of-america&lt;/loc&gt;")</f>
        <v>https://odysia-cruise-uk.client.prod.eu-west.dreamlake.io/cruise-lines/norwegian-cruise-line/pride-of-america&lt;/loc&gt;</v>
      </c>
      <c r="C263" s="153" t="str">
        <f>IFERROR(__xludf.DUMMYFUNCTION("REGEXREPLACE(B263, ""&lt;/loc&gt;"", """")"),"https://odysia-cruise-uk.client.prod.eu-west.dreamlake.io/cruise-lines/norwegian-cruise-line/pride-of-america")</f>
        <v>https://odysia-cruise-uk.client.prod.eu-west.dreamlake.io/cruise-lines/norwegian-cruise-line/pride-of-america</v>
      </c>
      <c r="D263" s="152" t="s">
        <v>713</v>
      </c>
      <c r="E263" s="152" t="str">
        <f>IFERROR(__xludf.DUMMYFUNCTION("REGEXREPLACE(D263, ""https://odysia-cruise-uk.client.prod.eu-west.dreamlake.io"", """")"),"/cruise-lines/norwegian-cruise-line/pride-of-america")</f>
        <v>/cruise-lines/norwegian-cruise-line/pride-of-america</v>
      </c>
    </row>
    <row r="264">
      <c r="A264" s="154" t="s">
        <v>714</v>
      </c>
      <c r="B264" s="152" t="str">
        <f>IFERROR(__xludf.DUMMYFUNCTION("REGEXREPLACE(A264, ""&lt;loc&gt;"", """")"),"https://odysia-cruise-uk.client.prod.eu-west.dreamlake.io/cruise-lines/celebrity-cruises/celebrity-ascent/cruises&lt;/loc&gt;")</f>
        <v>https://odysia-cruise-uk.client.prod.eu-west.dreamlake.io/cruise-lines/celebrity-cruises/celebrity-ascent/cruises&lt;/loc&gt;</v>
      </c>
      <c r="C264" s="153" t="str">
        <f>IFERROR(__xludf.DUMMYFUNCTION("REGEXREPLACE(B264, ""&lt;/loc&gt;"", """")"),"https://odysia-cruise-uk.client.prod.eu-west.dreamlake.io/cruise-lines/celebrity-cruises/celebrity-ascent/cruises")</f>
        <v>https://odysia-cruise-uk.client.prod.eu-west.dreamlake.io/cruise-lines/celebrity-cruises/celebrity-ascent/cruises</v>
      </c>
      <c r="D264" s="152" t="s">
        <v>715</v>
      </c>
      <c r="E264" s="152" t="str">
        <f>IFERROR(__xludf.DUMMYFUNCTION("REGEXREPLACE(D264, ""https://odysia-cruise-uk.client.prod.eu-west.dreamlake.io"", """")"),"/cruise-lines/celebrity-cruises/celebrity-ascent/cruises")</f>
        <v>/cruise-lines/celebrity-cruises/celebrity-ascent/cruises</v>
      </c>
    </row>
    <row r="265">
      <c r="A265" s="154" t="s">
        <v>716</v>
      </c>
      <c r="B265" s="152" t="str">
        <f>IFERROR(__xludf.DUMMYFUNCTION("REGEXREPLACE(A265, ""&lt;loc&gt;"", """")"),"https://odysia-cruise-uk.client.prod.eu-west.dreamlake.io/cruise-lines/msc-cruises/msc-preziosa&lt;/loc&gt;")</f>
        <v>https://odysia-cruise-uk.client.prod.eu-west.dreamlake.io/cruise-lines/msc-cruises/msc-preziosa&lt;/loc&gt;</v>
      </c>
      <c r="C265" s="153" t="str">
        <f>IFERROR(__xludf.DUMMYFUNCTION("REGEXREPLACE(B265, ""&lt;/loc&gt;"", """")"),"https://odysia-cruise-uk.client.prod.eu-west.dreamlake.io/cruise-lines/msc-cruises/msc-preziosa")</f>
        <v>https://odysia-cruise-uk.client.prod.eu-west.dreamlake.io/cruise-lines/msc-cruises/msc-preziosa</v>
      </c>
      <c r="D265" s="152" t="s">
        <v>717</v>
      </c>
      <c r="E265" s="152" t="str">
        <f>IFERROR(__xludf.DUMMYFUNCTION("REGEXREPLACE(D265, ""https://odysia-cruise-uk.client.prod.eu-west.dreamlake.io"", """")"),"/cruise-lines/msc-cruises/msc-preziosa")</f>
        <v>/cruise-lines/msc-cruises/msc-preziosa</v>
      </c>
    </row>
    <row r="266">
      <c r="A266" s="154" t="s">
        <v>718</v>
      </c>
      <c r="B266" s="152" t="str">
        <f>IFERROR(__xludf.DUMMYFUNCTION("REGEXREPLACE(A266, ""&lt;loc&gt;"", """")"),"https://odysia-cruise-uk.client.prod.eu-west.dreamlake.io/cruise-lines/holland-america-line/volendam/cruises&lt;/loc&gt;")</f>
        <v>https://odysia-cruise-uk.client.prod.eu-west.dreamlake.io/cruise-lines/holland-america-line/volendam/cruises&lt;/loc&gt;</v>
      </c>
      <c r="C266" s="153" t="str">
        <f>IFERROR(__xludf.DUMMYFUNCTION("REGEXREPLACE(B266, ""&lt;/loc&gt;"", """")"),"https://odysia-cruise-uk.client.prod.eu-west.dreamlake.io/cruise-lines/holland-america-line/volendam/cruises")</f>
        <v>https://odysia-cruise-uk.client.prod.eu-west.dreamlake.io/cruise-lines/holland-america-line/volendam/cruises</v>
      </c>
      <c r="D266" s="152" t="s">
        <v>719</v>
      </c>
      <c r="E266" s="152" t="str">
        <f>IFERROR(__xludf.DUMMYFUNCTION("REGEXREPLACE(D266, ""https://odysia-cruise-uk.client.prod.eu-west.dreamlake.io"", """")"),"/cruise-lines/holland-america-line/volendam/cruises")</f>
        <v>/cruise-lines/holland-america-line/volendam/cruises</v>
      </c>
    </row>
    <row r="267">
      <c r="A267" s="154" t="s">
        <v>720</v>
      </c>
      <c r="B267" s="152" t="str">
        <f>IFERROR(__xludf.DUMMYFUNCTION("REGEXREPLACE(A267, ""&lt;loc&gt;"", """")"),"https://odysia-cruise-uk.client.prod.eu-west.dreamlake.io/cruise-lines/virgin-voyages/resilient-lady/cruises&lt;/loc&gt;")</f>
        <v>https://odysia-cruise-uk.client.prod.eu-west.dreamlake.io/cruise-lines/virgin-voyages/resilient-lady/cruises&lt;/loc&gt;</v>
      </c>
      <c r="C267" s="153" t="str">
        <f>IFERROR(__xludf.DUMMYFUNCTION("REGEXREPLACE(B267, ""&lt;/loc&gt;"", """")"),"https://odysia-cruise-uk.client.prod.eu-west.dreamlake.io/cruise-lines/virgin-voyages/resilient-lady/cruises")</f>
        <v>https://odysia-cruise-uk.client.prod.eu-west.dreamlake.io/cruise-lines/virgin-voyages/resilient-lady/cruises</v>
      </c>
      <c r="D267" s="152" t="s">
        <v>721</v>
      </c>
      <c r="E267" s="152" t="str">
        <f>IFERROR(__xludf.DUMMYFUNCTION("REGEXREPLACE(D267, ""https://odysia-cruise-uk.client.prod.eu-west.dreamlake.io"", """")"),"/cruise-lines/virgin-voyages/resilient-lady/cruises")</f>
        <v>/cruise-lines/virgin-voyages/resilient-lady/cruises</v>
      </c>
    </row>
    <row r="268">
      <c r="A268" s="154" t="s">
        <v>722</v>
      </c>
      <c r="B268" s="152" t="str">
        <f>IFERROR(__xludf.DUMMYFUNCTION("REGEXREPLACE(A268, ""&lt;loc&gt;"", """")"),"https://odysia-cruise-uk.client.prod.eu-west.dreamlake.io/cruise-lines/msc-cruises/msc-musica/cruises&lt;/loc&gt;")</f>
        <v>https://odysia-cruise-uk.client.prod.eu-west.dreamlake.io/cruise-lines/msc-cruises/msc-musica/cruises&lt;/loc&gt;</v>
      </c>
      <c r="C268" s="153" t="str">
        <f>IFERROR(__xludf.DUMMYFUNCTION("REGEXREPLACE(B268, ""&lt;/loc&gt;"", """")"),"https://odysia-cruise-uk.client.prod.eu-west.dreamlake.io/cruise-lines/msc-cruises/msc-musica/cruises")</f>
        <v>https://odysia-cruise-uk.client.prod.eu-west.dreamlake.io/cruise-lines/msc-cruises/msc-musica/cruises</v>
      </c>
      <c r="D268" s="152" t="s">
        <v>723</v>
      </c>
      <c r="E268" s="152" t="str">
        <f>IFERROR(__xludf.DUMMYFUNCTION("REGEXREPLACE(D268, ""https://odysia-cruise-uk.client.prod.eu-west.dreamlake.io"", """")"),"/cruise-lines/msc-cruises/msc-musica/cruises")</f>
        <v>/cruise-lines/msc-cruises/msc-musica/cruises</v>
      </c>
    </row>
    <row r="269">
      <c r="A269" s="154" t="s">
        <v>724</v>
      </c>
      <c r="B269" s="152" t="str">
        <f>IFERROR(__xludf.DUMMYFUNCTION("REGEXREPLACE(A269, ""&lt;loc&gt;"", """")"),"https://odysia-cruise-uk.client.prod.eu-west.dreamlake.io/cruise-lines/norwegian-cruise-line&lt;/loc&gt;")</f>
        <v>https://odysia-cruise-uk.client.prod.eu-west.dreamlake.io/cruise-lines/norwegian-cruise-line&lt;/loc&gt;</v>
      </c>
      <c r="C269" s="153" t="str">
        <f>IFERROR(__xludf.DUMMYFUNCTION("REGEXREPLACE(B269, ""&lt;/loc&gt;"", """")"),"https://odysia-cruise-uk.client.prod.eu-west.dreamlake.io/cruise-lines/norwegian-cruise-line")</f>
        <v>https://odysia-cruise-uk.client.prod.eu-west.dreamlake.io/cruise-lines/norwegian-cruise-line</v>
      </c>
      <c r="D269" s="152" t="s">
        <v>725</v>
      </c>
      <c r="E269" s="152" t="str">
        <f>IFERROR(__xludf.DUMMYFUNCTION("REGEXREPLACE(D269, ""https://odysia-cruise-uk.client.prod.eu-west.dreamlake.io"", """")"),"/cruise-lines/norwegian-cruise-line")</f>
        <v>/cruise-lines/norwegian-cruise-line</v>
      </c>
    </row>
    <row r="270">
      <c r="A270" s="154" t="s">
        <v>726</v>
      </c>
      <c r="B270" s="152" t="str">
        <f>IFERROR(__xludf.DUMMYFUNCTION("REGEXREPLACE(A270, ""&lt;loc&gt;"", """")"),"https://odysia-cruise-uk.client.prod.eu-west.dreamlake.io/cruise-deals/cruises-from-dover&lt;/loc&gt;")</f>
        <v>https://odysia-cruise-uk.client.prod.eu-west.dreamlake.io/cruise-deals/cruises-from-dover&lt;/loc&gt;</v>
      </c>
      <c r="C270" s="153" t="str">
        <f>IFERROR(__xludf.DUMMYFUNCTION("REGEXREPLACE(B270, ""&lt;/loc&gt;"", """")"),"https://odysia-cruise-uk.client.prod.eu-west.dreamlake.io/cruise-deals/cruises-from-dover")</f>
        <v>https://odysia-cruise-uk.client.prod.eu-west.dreamlake.io/cruise-deals/cruises-from-dover</v>
      </c>
      <c r="D270" s="152" t="s">
        <v>727</v>
      </c>
    </row>
    <row r="271">
      <c r="A271" s="154" t="s">
        <v>728</v>
      </c>
      <c r="B271" s="152" t="str">
        <f>IFERROR(__xludf.DUMMYFUNCTION("REGEXREPLACE(A271, ""&lt;loc&gt;"", """")"),"https://odysia-cruise-uk.client.prod.eu-west.dreamlake.io/cruise-lines/ambassador-cruise-line/ambience&lt;/loc&gt;")</f>
        <v>https://odysia-cruise-uk.client.prod.eu-west.dreamlake.io/cruise-lines/ambassador-cruise-line/ambience&lt;/loc&gt;</v>
      </c>
      <c r="C271" s="153" t="str">
        <f>IFERROR(__xludf.DUMMYFUNCTION("REGEXREPLACE(B271, ""&lt;/loc&gt;"", """")"),"https://odysia-cruise-uk.client.prod.eu-west.dreamlake.io/cruise-lines/ambassador-cruise-line/ambience")</f>
        <v>https://odysia-cruise-uk.client.prod.eu-west.dreamlake.io/cruise-lines/ambassador-cruise-line/ambience</v>
      </c>
      <c r="D271" s="152" t="s">
        <v>729</v>
      </c>
      <c r="E271" s="152" t="str">
        <f>IFERROR(__xludf.DUMMYFUNCTION("REGEXREPLACE(D271, ""https://odysia-cruise-uk.client.prod.eu-west.dreamlake.io"", """")"),"/cruise-lines/ambassador-cruise-line/ambience")</f>
        <v>/cruise-lines/ambassador-cruise-line/ambience</v>
      </c>
    </row>
    <row r="272">
      <c r="A272" s="154" t="s">
        <v>730</v>
      </c>
      <c r="B272" s="152" t="str">
        <f>IFERROR(__xludf.DUMMYFUNCTION("REGEXREPLACE(A272, ""&lt;loc&gt;"", """")"),"https://odysia-cruise-uk.client.prod.eu-west.dreamlake.io/cruise-lines/royal-caribbean/freedom-of-the-seas/cruises&lt;/loc&gt;")</f>
        <v>https://odysia-cruise-uk.client.prod.eu-west.dreamlake.io/cruise-lines/royal-caribbean/freedom-of-the-seas/cruises&lt;/loc&gt;</v>
      </c>
      <c r="C272" s="153" t="str">
        <f>IFERROR(__xludf.DUMMYFUNCTION("REGEXREPLACE(B272, ""&lt;/loc&gt;"", """")"),"https://odysia-cruise-uk.client.prod.eu-west.dreamlake.io/cruise-lines/royal-caribbean/freedom-of-the-seas/cruises")</f>
        <v>https://odysia-cruise-uk.client.prod.eu-west.dreamlake.io/cruise-lines/royal-caribbean/freedom-of-the-seas/cruises</v>
      </c>
      <c r="D272" s="152" t="s">
        <v>731</v>
      </c>
      <c r="E272" s="152" t="str">
        <f>IFERROR(__xludf.DUMMYFUNCTION("REGEXREPLACE(D272, ""https://odysia-cruise-uk.client.prod.eu-west.dreamlake.io"", """")"),"/cruise-lines/royal-caribbean/freedom-of-the-seas/cruises")</f>
        <v>/cruise-lines/royal-caribbean/freedom-of-the-seas/cruises</v>
      </c>
    </row>
    <row r="273">
      <c r="A273" s="154" t="s">
        <v>732</v>
      </c>
      <c r="B273" s="152" t="str">
        <f>IFERROR(__xludf.DUMMYFUNCTION("REGEXREPLACE(A273, ""&lt;loc&gt;"", """")"),"https://odysia-cruise-uk.client.prod.eu-west.dreamlake.io/cruise-lines/explora-journeys/explora-iii&lt;/loc&gt;")</f>
        <v>https://odysia-cruise-uk.client.prod.eu-west.dreamlake.io/cruise-lines/explora-journeys/explora-iii&lt;/loc&gt;</v>
      </c>
      <c r="C273" s="153" t="str">
        <f>IFERROR(__xludf.DUMMYFUNCTION("REGEXREPLACE(B273, ""&lt;/loc&gt;"", """")"),"https://odysia-cruise-uk.client.prod.eu-west.dreamlake.io/cruise-lines/explora-journeys/explora-iii")</f>
        <v>https://odysia-cruise-uk.client.prod.eu-west.dreamlake.io/cruise-lines/explora-journeys/explora-iii</v>
      </c>
      <c r="D273" s="152" t="s">
        <v>733</v>
      </c>
      <c r="E273" s="152" t="str">
        <f>IFERROR(__xludf.DUMMYFUNCTION("REGEXREPLACE(D273, ""https://odysia-cruise-uk.client.prod.eu-west.dreamlake.io"", """")"),"/cruise-lines/explora-journeys/explora-iii")</f>
        <v>/cruise-lines/explora-journeys/explora-iii</v>
      </c>
    </row>
    <row r="274">
      <c r="A274" s="154" t="s">
        <v>734</v>
      </c>
      <c r="B274" s="152" t="str">
        <f>IFERROR(__xludf.DUMMYFUNCTION("REGEXREPLACE(A274, ""&lt;loc&gt;"", """")"),"https://odysia-cruise-uk.client.prod.eu-west.dreamlake.io/cruise-lines/princess-cruises/sapphire-princess/cruises&lt;/loc&gt;")</f>
        <v>https://odysia-cruise-uk.client.prod.eu-west.dreamlake.io/cruise-lines/princess-cruises/sapphire-princess/cruises&lt;/loc&gt;</v>
      </c>
      <c r="C274" s="153" t="str">
        <f>IFERROR(__xludf.DUMMYFUNCTION("REGEXREPLACE(B274, ""&lt;/loc&gt;"", """")"),"https://odysia-cruise-uk.client.prod.eu-west.dreamlake.io/cruise-lines/princess-cruises/sapphire-princess/cruises")</f>
        <v>https://odysia-cruise-uk.client.prod.eu-west.dreamlake.io/cruise-lines/princess-cruises/sapphire-princess/cruises</v>
      </c>
      <c r="D274" s="152" t="s">
        <v>735</v>
      </c>
      <c r="E274" s="152" t="str">
        <f>IFERROR(__xludf.DUMMYFUNCTION("REGEXREPLACE(D274, ""https://odysia-cruise-uk.client.prod.eu-west.dreamlake.io"", """")"),"/cruise-lines/princess-cruises/sapphire-princess/cruises")</f>
        <v>/cruise-lines/princess-cruises/sapphire-princess/cruises</v>
      </c>
    </row>
    <row r="275">
      <c r="A275" s="154" t="s">
        <v>736</v>
      </c>
      <c r="B275" s="152" t="str">
        <f>IFERROR(__xludf.DUMMYFUNCTION("REGEXREPLACE(A275, ""&lt;loc&gt;"", """")"),"https://odysia-cruise-uk.client.prod.eu-west.dreamlake.io/cruise-lines/costa-cruises/costa-pacifica/cruises&lt;/loc&gt;")</f>
        <v>https://odysia-cruise-uk.client.prod.eu-west.dreamlake.io/cruise-lines/costa-cruises/costa-pacifica/cruises&lt;/loc&gt;</v>
      </c>
      <c r="C275" s="153" t="str">
        <f>IFERROR(__xludf.DUMMYFUNCTION("REGEXREPLACE(B275, ""&lt;/loc&gt;"", """")"),"https://odysia-cruise-uk.client.prod.eu-west.dreamlake.io/cruise-lines/costa-cruises/costa-pacifica/cruises")</f>
        <v>https://odysia-cruise-uk.client.prod.eu-west.dreamlake.io/cruise-lines/costa-cruises/costa-pacifica/cruises</v>
      </c>
      <c r="D275" s="152" t="s">
        <v>737</v>
      </c>
      <c r="E275" s="152" t="str">
        <f>IFERROR(__xludf.DUMMYFUNCTION("REGEXREPLACE(D275, ""https://odysia-cruise-uk.client.prod.eu-west.dreamlake.io"", """")"),"/cruise-lines/costa-cruises/costa-pacifica/cruises")</f>
        <v>/cruise-lines/costa-cruises/costa-pacifica/cruises</v>
      </c>
    </row>
    <row r="276">
      <c r="A276" s="154" t="s">
        <v>738</v>
      </c>
      <c r="B276" s="152" t="str">
        <f>IFERROR(__xludf.DUMMYFUNCTION("REGEXREPLACE(A276, ""&lt;loc&gt;"", """")"),"https://odysia-cruise-uk.client.prod.eu-west.dreamlake.io/cruise-lines/costa-cruises/costa-fascinosa&lt;/loc&gt;")</f>
        <v>https://odysia-cruise-uk.client.prod.eu-west.dreamlake.io/cruise-lines/costa-cruises/costa-fascinosa&lt;/loc&gt;</v>
      </c>
      <c r="C276" s="153" t="str">
        <f>IFERROR(__xludf.DUMMYFUNCTION("REGEXREPLACE(B276, ""&lt;/loc&gt;"", """")"),"https://odysia-cruise-uk.client.prod.eu-west.dreamlake.io/cruise-lines/costa-cruises/costa-fascinosa")</f>
        <v>https://odysia-cruise-uk.client.prod.eu-west.dreamlake.io/cruise-lines/costa-cruises/costa-fascinosa</v>
      </c>
      <c r="D276" s="152" t="s">
        <v>739</v>
      </c>
      <c r="E276" s="152" t="str">
        <f>IFERROR(__xludf.DUMMYFUNCTION("REGEXREPLACE(D276, ""https://odysia-cruise-uk.client.prod.eu-west.dreamlake.io"", """")"),"/cruise-lines/costa-cruises/costa-fascinosa")</f>
        <v>/cruise-lines/costa-cruises/costa-fascinosa</v>
      </c>
    </row>
    <row r="277">
      <c r="A277" s="154" t="s">
        <v>740</v>
      </c>
      <c r="B277" s="152" t="str">
        <f>IFERROR(__xludf.DUMMYFUNCTION("REGEXREPLACE(A277, ""&lt;loc&gt;"", """")"),"https://odysia-cruise-uk.client.prod.eu-west.dreamlake.io/cruise-lines/celebrity-cruises/celebrity-solstice/cruises&lt;/loc&gt;")</f>
        <v>https://odysia-cruise-uk.client.prod.eu-west.dreamlake.io/cruise-lines/celebrity-cruises/celebrity-solstice/cruises&lt;/loc&gt;</v>
      </c>
      <c r="C277" s="153" t="str">
        <f>IFERROR(__xludf.DUMMYFUNCTION("REGEXREPLACE(B277, ""&lt;/loc&gt;"", """")"),"https://odysia-cruise-uk.client.prod.eu-west.dreamlake.io/cruise-lines/celebrity-cruises/celebrity-solstice/cruises")</f>
        <v>https://odysia-cruise-uk.client.prod.eu-west.dreamlake.io/cruise-lines/celebrity-cruises/celebrity-solstice/cruises</v>
      </c>
      <c r="D277" s="152" t="s">
        <v>741</v>
      </c>
      <c r="E277" s="152" t="str">
        <f>IFERROR(__xludf.DUMMYFUNCTION("REGEXREPLACE(D277, ""https://odysia-cruise-uk.client.prod.eu-west.dreamlake.io"", """")"),"/cruise-lines/celebrity-cruises/celebrity-solstice/cruises")</f>
        <v>/cruise-lines/celebrity-cruises/celebrity-solstice/cruises</v>
      </c>
    </row>
    <row r="278">
      <c r="A278" s="154" t="s">
        <v>742</v>
      </c>
      <c r="B278" s="152" t="str">
        <f>IFERROR(__xludf.DUMMYFUNCTION("REGEXREPLACE(A278, ""&lt;loc&gt;"", """")"),"https://odysia-cruise-uk.client.prod.eu-west.dreamlake.io/cruise-lines/princess-cruises/diamond-princess&lt;/loc&gt;")</f>
        <v>https://odysia-cruise-uk.client.prod.eu-west.dreamlake.io/cruise-lines/princess-cruises/diamond-princess&lt;/loc&gt;</v>
      </c>
      <c r="C278" s="153" t="str">
        <f>IFERROR(__xludf.DUMMYFUNCTION("REGEXREPLACE(B278, ""&lt;/loc&gt;"", """")"),"https://odysia-cruise-uk.client.prod.eu-west.dreamlake.io/cruise-lines/princess-cruises/diamond-princess")</f>
        <v>https://odysia-cruise-uk.client.prod.eu-west.dreamlake.io/cruise-lines/princess-cruises/diamond-princess</v>
      </c>
      <c r="D278" s="152" t="s">
        <v>743</v>
      </c>
      <c r="E278" s="152" t="str">
        <f>IFERROR(__xludf.DUMMYFUNCTION("REGEXREPLACE(D278, ""https://odysia-cruise-uk.client.prod.eu-west.dreamlake.io"", """")"),"/cruise-lines/princess-cruises/diamond-princess")</f>
        <v>/cruise-lines/princess-cruises/diamond-princess</v>
      </c>
    </row>
    <row r="279">
      <c r="A279" s="154" t="s">
        <v>744</v>
      </c>
      <c r="B279" s="152" t="str">
        <f>IFERROR(__xludf.DUMMYFUNCTION("REGEXREPLACE(A279, ""&lt;loc&gt;"", """")"),"https://odysia-cruise-uk.client.prod.eu-west.dreamlake.io/cruise-lines/norwegian-cruise-line/norwegian-jade&lt;/loc&gt;")</f>
        <v>https://odysia-cruise-uk.client.prod.eu-west.dreamlake.io/cruise-lines/norwegian-cruise-line/norwegian-jade&lt;/loc&gt;</v>
      </c>
      <c r="C279" s="153" t="str">
        <f>IFERROR(__xludf.DUMMYFUNCTION("REGEXREPLACE(B279, ""&lt;/loc&gt;"", """")"),"https://odysia-cruise-uk.client.prod.eu-west.dreamlake.io/cruise-lines/norwegian-cruise-line/norwegian-jade")</f>
        <v>https://odysia-cruise-uk.client.prod.eu-west.dreamlake.io/cruise-lines/norwegian-cruise-line/norwegian-jade</v>
      </c>
      <c r="D279" s="152" t="s">
        <v>745</v>
      </c>
      <c r="E279" s="152" t="str">
        <f>IFERROR(__xludf.DUMMYFUNCTION("REGEXREPLACE(D279, ""https://odysia-cruise-uk.client.prod.eu-west.dreamlake.io"", """")"),"/cruise-lines/norwegian-cruise-line/norwegian-jade")</f>
        <v>/cruise-lines/norwegian-cruise-line/norwegian-jade</v>
      </c>
    </row>
    <row r="280">
      <c r="A280" s="154" t="s">
        <v>746</v>
      </c>
      <c r="B280" s="152" t="str">
        <f>IFERROR(__xludf.DUMMYFUNCTION("REGEXREPLACE(A280, ""&lt;loc&gt;"", """")"),"https://odysia-cruise-uk.client.prod.eu-west.dreamlake.io/cruise-lines/explora-journeys&lt;/loc&gt;")</f>
        <v>https://odysia-cruise-uk.client.prod.eu-west.dreamlake.io/cruise-lines/explora-journeys&lt;/loc&gt;</v>
      </c>
      <c r="C280" s="153" t="str">
        <f>IFERROR(__xludf.DUMMYFUNCTION("REGEXREPLACE(B280, ""&lt;/loc&gt;"", """")"),"https://odysia-cruise-uk.client.prod.eu-west.dreamlake.io/cruise-lines/explora-journeys")</f>
        <v>https://odysia-cruise-uk.client.prod.eu-west.dreamlake.io/cruise-lines/explora-journeys</v>
      </c>
      <c r="D280" s="152" t="s">
        <v>747</v>
      </c>
      <c r="E280" s="152" t="str">
        <f>IFERROR(__xludf.DUMMYFUNCTION("REGEXREPLACE(D280, ""https://odysia-cruise-uk.client.prod.eu-west.dreamlake.io"", """")"),"/cruise-lines/explora-journeys")</f>
        <v>/cruise-lines/explora-journeys</v>
      </c>
    </row>
    <row r="281">
      <c r="A281" s="154" t="s">
        <v>748</v>
      </c>
      <c r="B281" s="152" t="str">
        <f>IFERROR(__xludf.DUMMYFUNCTION("REGEXREPLACE(A281, ""&lt;loc&gt;"", """")"),"https://odysia-cruise-uk.client.prod.eu-west.dreamlake.io/cruise-lines/royal-caribbean/wonder-of-the-seas/cruises&lt;/loc&gt;")</f>
        <v>https://odysia-cruise-uk.client.prod.eu-west.dreamlake.io/cruise-lines/royal-caribbean/wonder-of-the-seas/cruises&lt;/loc&gt;</v>
      </c>
      <c r="C281" s="153" t="str">
        <f>IFERROR(__xludf.DUMMYFUNCTION("REGEXREPLACE(B281, ""&lt;/loc&gt;"", """")"),"https://odysia-cruise-uk.client.prod.eu-west.dreamlake.io/cruise-lines/royal-caribbean/wonder-of-the-seas/cruises")</f>
        <v>https://odysia-cruise-uk.client.prod.eu-west.dreamlake.io/cruise-lines/royal-caribbean/wonder-of-the-seas/cruises</v>
      </c>
      <c r="D281" s="152" t="s">
        <v>749</v>
      </c>
      <c r="E281" s="152" t="str">
        <f>IFERROR(__xludf.DUMMYFUNCTION("REGEXREPLACE(D281, ""https://odysia-cruise-uk.client.prod.eu-west.dreamlake.io"", """")"),"/cruise-lines/royal-caribbean/wonder-of-the-seas/cruises")</f>
        <v>/cruise-lines/royal-caribbean/wonder-of-the-seas/cruises</v>
      </c>
    </row>
    <row r="282">
      <c r="A282" s="154" t="s">
        <v>750</v>
      </c>
      <c r="B282" s="152" t="str">
        <f>IFERROR(__xludf.DUMMYFUNCTION("REGEXREPLACE(A282, ""&lt;loc&gt;"", """")"),"https://odysia-cruise-uk.client.prod.eu-west.dreamlake.io/cruise-lines/costa-cruises/costa-fortuna/cruises&lt;/loc&gt;")</f>
        <v>https://odysia-cruise-uk.client.prod.eu-west.dreamlake.io/cruise-lines/costa-cruises/costa-fortuna/cruises&lt;/loc&gt;</v>
      </c>
      <c r="C282" s="153" t="str">
        <f>IFERROR(__xludf.DUMMYFUNCTION("REGEXREPLACE(B282, ""&lt;/loc&gt;"", """")"),"https://odysia-cruise-uk.client.prod.eu-west.dreamlake.io/cruise-lines/costa-cruises/costa-fortuna/cruises")</f>
        <v>https://odysia-cruise-uk.client.prod.eu-west.dreamlake.io/cruise-lines/costa-cruises/costa-fortuna/cruises</v>
      </c>
      <c r="D282" s="152" t="s">
        <v>751</v>
      </c>
      <c r="E282" s="152" t="str">
        <f>IFERROR(__xludf.DUMMYFUNCTION("REGEXREPLACE(D282, ""https://odysia-cruise-uk.client.prod.eu-west.dreamlake.io"", """")"),"/cruise-lines/costa-cruises/costa-fortuna/cruises")</f>
        <v>/cruise-lines/costa-cruises/costa-fortuna/cruises</v>
      </c>
    </row>
    <row r="283">
      <c r="A283" s="154" t="s">
        <v>752</v>
      </c>
      <c r="B283" s="152" t="str">
        <f>IFERROR(__xludf.DUMMYFUNCTION("REGEXREPLACE(A283, ""&lt;loc&gt;"", """")"),"https://odysia-cruise-uk.client.prod.eu-west.dreamlake.io/cruise-lines/virgin-voyages/brilliant-lady/cruises&lt;/loc&gt;")</f>
        <v>https://odysia-cruise-uk.client.prod.eu-west.dreamlake.io/cruise-lines/virgin-voyages/brilliant-lady/cruises&lt;/loc&gt;</v>
      </c>
      <c r="C283" s="153" t="str">
        <f>IFERROR(__xludf.DUMMYFUNCTION("REGEXREPLACE(B283, ""&lt;/loc&gt;"", """")"),"https://odysia-cruise-uk.client.prod.eu-west.dreamlake.io/cruise-lines/virgin-voyages/brilliant-lady/cruises")</f>
        <v>https://odysia-cruise-uk.client.prod.eu-west.dreamlake.io/cruise-lines/virgin-voyages/brilliant-lady/cruises</v>
      </c>
      <c r="D283" s="152" t="s">
        <v>753</v>
      </c>
      <c r="E283" s="152" t="str">
        <f>IFERROR(__xludf.DUMMYFUNCTION("REGEXREPLACE(D283, ""https://odysia-cruise-uk.client.prod.eu-west.dreamlake.io"", """")"),"/cruise-lines/virgin-voyages/brilliant-lady/cruises")</f>
        <v>/cruise-lines/virgin-voyages/brilliant-lady/cruises</v>
      </c>
    </row>
    <row r="284">
      <c r="A284" s="154" t="s">
        <v>754</v>
      </c>
      <c r="B284" s="152" t="str">
        <f>IFERROR(__xludf.DUMMYFUNCTION("REGEXREPLACE(A284, ""&lt;loc&gt;"", """")"),"https://odysia-cruise-uk.client.prod.eu-west.dreamlake.io/cruise-lines/celebrity-cruises/celebrity-solstice&lt;/loc&gt;")</f>
        <v>https://odysia-cruise-uk.client.prod.eu-west.dreamlake.io/cruise-lines/celebrity-cruises/celebrity-solstice&lt;/loc&gt;</v>
      </c>
      <c r="C284" s="153" t="str">
        <f>IFERROR(__xludf.DUMMYFUNCTION("REGEXREPLACE(B284, ""&lt;/loc&gt;"", """")"),"https://odysia-cruise-uk.client.prod.eu-west.dreamlake.io/cruise-lines/celebrity-cruises/celebrity-solstice")</f>
        <v>https://odysia-cruise-uk.client.prod.eu-west.dreamlake.io/cruise-lines/celebrity-cruises/celebrity-solstice</v>
      </c>
      <c r="D284" s="152" t="s">
        <v>755</v>
      </c>
      <c r="E284" s="152" t="str">
        <f>IFERROR(__xludf.DUMMYFUNCTION("REGEXREPLACE(D284, ""https://odysia-cruise-uk.client.prod.eu-west.dreamlake.io"", """")"),"/cruise-lines/celebrity-cruises/celebrity-solstice")</f>
        <v>/cruise-lines/celebrity-cruises/celebrity-solstice</v>
      </c>
    </row>
    <row r="285">
      <c r="A285" s="154" t="s">
        <v>756</v>
      </c>
      <c r="B285" s="152" t="str">
        <f>IFERROR(__xludf.DUMMYFUNCTION("REGEXREPLACE(A285, ""&lt;loc&gt;"", """")"),"https://odysia-cruise-uk.client.prod.eu-west.dreamlake.io/cruise-lines/princess-cruises/sky-princess/cruises&lt;/loc&gt;")</f>
        <v>https://odysia-cruise-uk.client.prod.eu-west.dreamlake.io/cruise-lines/princess-cruises/sky-princess/cruises&lt;/loc&gt;</v>
      </c>
      <c r="C285" s="153" t="str">
        <f>IFERROR(__xludf.DUMMYFUNCTION("REGEXREPLACE(B285, ""&lt;/loc&gt;"", """")"),"https://odysia-cruise-uk.client.prod.eu-west.dreamlake.io/cruise-lines/princess-cruises/sky-princess/cruises")</f>
        <v>https://odysia-cruise-uk.client.prod.eu-west.dreamlake.io/cruise-lines/princess-cruises/sky-princess/cruises</v>
      </c>
      <c r="D285" s="152" t="s">
        <v>757</v>
      </c>
      <c r="E285" s="152" t="str">
        <f>IFERROR(__xludf.DUMMYFUNCTION("REGEXREPLACE(D285, ""https://odysia-cruise-uk.client.prod.eu-west.dreamlake.io"", """")"),"/cruise-lines/princess-cruises/sky-princess/cruises")</f>
        <v>/cruise-lines/princess-cruises/sky-princess/cruises</v>
      </c>
    </row>
    <row r="286">
      <c r="A286" s="154" t="s">
        <v>758</v>
      </c>
      <c r="B286" s="152" t="str">
        <f>IFERROR(__xludf.DUMMYFUNCTION("REGEXREPLACE(A286, ""&lt;loc&gt;"", """")"),"https://odysia-cruise-uk.client.prod.eu-west.dreamlake.io/cruise-lines/princess-cruises/grand-princess&lt;/loc&gt;")</f>
        <v>https://odysia-cruise-uk.client.prod.eu-west.dreamlake.io/cruise-lines/princess-cruises/grand-princess&lt;/loc&gt;</v>
      </c>
      <c r="C286" s="153" t="str">
        <f>IFERROR(__xludf.DUMMYFUNCTION("REGEXREPLACE(B286, ""&lt;/loc&gt;"", """")"),"https://odysia-cruise-uk.client.prod.eu-west.dreamlake.io/cruise-lines/princess-cruises/grand-princess")</f>
        <v>https://odysia-cruise-uk.client.prod.eu-west.dreamlake.io/cruise-lines/princess-cruises/grand-princess</v>
      </c>
      <c r="D286" s="152" t="s">
        <v>759</v>
      </c>
      <c r="E286" s="152" t="str">
        <f>IFERROR(__xludf.DUMMYFUNCTION("REGEXREPLACE(D286, ""https://odysia-cruise-uk.client.prod.eu-west.dreamlake.io"", """")"),"/cruise-lines/princess-cruises/grand-princess")</f>
        <v>/cruise-lines/princess-cruises/grand-princess</v>
      </c>
    </row>
    <row r="287">
      <c r="A287" s="154" t="s">
        <v>760</v>
      </c>
      <c r="B287" s="152" t="str">
        <f>IFERROR(__xludf.DUMMYFUNCTION("REGEXREPLACE(A287, ""&lt;loc&gt;"", """")"),"https://odysia-cruise-uk.client.prod.eu-west.dreamlake.io/cruise-lines/costa-cruises/costa-deliziosa&lt;/loc&gt;")</f>
        <v>https://odysia-cruise-uk.client.prod.eu-west.dreamlake.io/cruise-lines/costa-cruises/costa-deliziosa&lt;/loc&gt;</v>
      </c>
      <c r="C287" s="153" t="str">
        <f>IFERROR(__xludf.DUMMYFUNCTION("REGEXREPLACE(B287, ""&lt;/loc&gt;"", """")"),"https://odysia-cruise-uk.client.prod.eu-west.dreamlake.io/cruise-lines/costa-cruises/costa-deliziosa")</f>
        <v>https://odysia-cruise-uk.client.prod.eu-west.dreamlake.io/cruise-lines/costa-cruises/costa-deliziosa</v>
      </c>
      <c r="D287" s="152" t="s">
        <v>761</v>
      </c>
      <c r="E287" s="152" t="str">
        <f>IFERROR(__xludf.DUMMYFUNCTION("REGEXREPLACE(D287, ""https://odysia-cruise-uk.client.prod.eu-west.dreamlake.io"", """")"),"/cruise-lines/costa-cruises/costa-deliziosa")</f>
        <v>/cruise-lines/costa-cruises/costa-deliziosa</v>
      </c>
    </row>
    <row r="288">
      <c r="A288" s="154" t="s">
        <v>762</v>
      </c>
      <c r="B288" s="152" t="str">
        <f>IFERROR(__xludf.DUMMYFUNCTION("REGEXREPLACE(A288, ""&lt;loc&gt;"", """")"),"https://odysia-cruise-uk.client.prod.eu-west.dreamlake.io/cruise-lines/regent-seven-seas-cruises/seven-seas-voyager/cruises&lt;/loc&gt;")</f>
        <v>https://odysia-cruise-uk.client.prod.eu-west.dreamlake.io/cruise-lines/regent-seven-seas-cruises/seven-seas-voyager/cruises&lt;/loc&gt;</v>
      </c>
      <c r="C288" s="153" t="str">
        <f>IFERROR(__xludf.DUMMYFUNCTION("REGEXREPLACE(B288, ""&lt;/loc&gt;"", """")"),"https://odysia-cruise-uk.client.prod.eu-west.dreamlake.io/cruise-lines/regent-seven-seas-cruises/seven-seas-voyager/cruises")</f>
        <v>https://odysia-cruise-uk.client.prod.eu-west.dreamlake.io/cruise-lines/regent-seven-seas-cruises/seven-seas-voyager/cruises</v>
      </c>
      <c r="D288" s="152" t="s">
        <v>763</v>
      </c>
      <c r="E288" s="152" t="str">
        <f>IFERROR(__xludf.DUMMYFUNCTION("REGEXREPLACE(D288, ""https://odysia-cruise-uk.client.prod.eu-west.dreamlake.io"", """")"),"/cruise-lines/regent-seven-seas-cruises/seven-seas-voyager/cruises")</f>
        <v>/cruise-lines/regent-seven-seas-cruises/seven-seas-voyager/cruises</v>
      </c>
    </row>
    <row r="289">
      <c r="A289" s="154" t="s">
        <v>764</v>
      </c>
      <c r="B289" s="152" t="str">
        <f>IFERROR(__xludf.DUMMYFUNCTION("REGEXREPLACE(A289, ""&lt;loc&gt;"", """")"),"https://odysia-cruise-uk.client.prod.eu-west.dreamlake.io/cruise-lines/norwegian-cruise-line/norwegian-pearl&lt;/loc&gt;")</f>
        <v>https://odysia-cruise-uk.client.prod.eu-west.dreamlake.io/cruise-lines/norwegian-cruise-line/norwegian-pearl&lt;/loc&gt;</v>
      </c>
      <c r="C289" s="153" t="str">
        <f>IFERROR(__xludf.DUMMYFUNCTION("REGEXREPLACE(B289, ""&lt;/loc&gt;"", """")"),"https://odysia-cruise-uk.client.prod.eu-west.dreamlake.io/cruise-lines/norwegian-cruise-line/norwegian-pearl")</f>
        <v>https://odysia-cruise-uk.client.prod.eu-west.dreamlake.io/cruise-lines/norwegian-cruise-line/norwegian-pearl</v>
      </c>
      <c r="D289" s="152" t="s">
        <v>765</v>
      </c>
      <c r="E289" s="152" t="str">
        <f>IFERROR(__xludf.DUMMYFUNCTION("REGEXREPLACE(D289, ""https://odysia-cruise-uk.client.prod.eu-west.dreamlake.io"", """")"),"/cruise-lines/norwegian-cruise-line/norwegian-pearl")</f>
        <v>/cruise-lines/norwegian-cruise-line/norwegian-pearl</v>
      </c>
    </row>
    <row r="290">
      <c r="A290" s="154" t="s">
        <v>766</v>
      </c>
      <c r="B290" s="152" t="str">
        <f>IFERROR(__xludf.DUMMYFUNCTION("REGEXREPLACE(A290, ""&lt;loc&gt;"", """")"),"https://odysia-cruise-uk.client.prod.eu-west.dreamlake.io/cruise-lines/royal-caribbean/vision-of-the-seas/cruises&lt;/loc&gt;")</f>
        <v>https://odysia-cruise-uk.client.prod.eu-west.dreamlake.io/cruise-lines/royal-caribbean/vision-of-the-seas/cruises&lt;/loc&gt;</v>
      </c>
      <c r="C290" s="153" t="str">
        <f>IFERROR(__xludf.DUMMYFUNCTION("REGEXREPLACE(B290, ""&lt;/loc&gt;"", """")"),"https://odysia-cruise-uk.client.prod.eu-west.dreamlake.io/cruise-lines/royal-caribbean/vision-of-the-seas/cruises")</f>
        <v>https://odysia-cruise-uk.client.prod.eu-west.dreamlake.io/cruise-lines/royal-caribbean/vision-of-the-seas/cruises</v>
      </c>
      <c r="D290" s="152" t="s">
        <v>767</v>
      </c>
      <c r="E290" s="152" t="str">
        <f>IFERROR(__xludf.DUMMYFUNCTION("REGEXREPLACE(D290, ""https://odysia-cruise-uk.client.prod.eu-west.dreamlake.io"", """")"),"/cruise-lines/royal-caribbean/vision-of-the-seas/cruises")</f>
        <v>/cruise-lines/royal-caribbean/vision-of-the-seas/cruises</v>
      </c>
    </row>
    <row r="291">
      <c r="A291" s="154" t="s">
        <v>768</v>
      </c>
      <c r="B291" s="152" t="str">
        <f>IFERROR(__xludf.DUMMYFUNCTION("REGEXREPLACE(A291, ""&lt;loc&gt;"", """")"),"https://odysia-cruise-uk.client.prod.eu-west.dreamlake.io/cruise-lines/royal-caribbean/star-of-the-seas/cruises&lt;/loc&gt;")</f>
        <v>https://odysia-cruise-uk.client.prod.eu-west.dreamlake.io/cruise-lines/royal-caribbean/star-of-the-seas/cruises&lt;/loc&gt;</v>
      </c>
      <c r="C291" s="153" t="str">
        <f>IFERROR(__xludf.DUMMYFUNCTION("REGEXREPLACE(B291, ""&lt;/loc&gt;"", """")"),"https://odysia-cruise-uk.client.prod.eu-west.dreamlake.io/cruise-lines/royal-caribbean/star-of-the-seas/cruises")</f>
        <v>https://odysia-cruise-uk.client.prod.eu-west.dreamlake.io/cruise-lines/royal-caribbean/star-of-the-seas/cruises</v>
      </c>
      <c r="D291" s="152" t="s">
        <v>769</v>
      </c>
      <c r="E291" s="152" t="str">
        <f>IFERROR(__xludf.DUMMYFUNCTION("REGEXREPLACE(D291, ""https://odysia-cruise-uk.client.prod.eu-west.dreamlake.io"", """")"),"/cruise-lines/royal-caribbean/star-of-the-seas/cruises")</f>
        <v>/cruise-lines/royal-caribbean/star-of-the-seas/cruises</v>
      </c>
    </row>
    <row r="292">
      <c r="A292" s="154" t="s">
        <v>770</v>
      </c>
      <c r="B292" s="152" t="str">
        <f>IFERROR(__xludf.DUMMYFUNCTION("REGEXREPLACE(A292, ""&lt;loc&gt;"", """")"),"https://odysia-cruise-uk.client.prod.eu-west.dreamlake.io/cruise-calendar/mediterranean-cruise-dates&lt;/loc&gt;")</f>
        <v>https://odysia-cruise-uk.client.prod.eu-west.dreamlake.io/cruise-calendar/mediterranean-cruise-dates&lt;/loc&gt;</v>
      </c>
      <c r="C292" s="153" t="str">
        <f>IFERROR(__xludf.DUMMYFUNCTION("REGEXREPLACE(B292, ""&lt;/loc&gt;"", """")"),"https://odysia-cruise-uk.client.prod.eu-west.dreamlake.io/cruise-calendar/mediterranean-cruise-dates")</f>
        <v>https://odysia-cruise-uk.client.prod.eu-west.dreamlake.io/cruise-calendar/mediterranean-cruise-dates</v>
      </c>
    </row>
    <row r="293">
      <c r="A293" s="154" t="s">
        <v>771</v>
      </c>
      <c r="B293" s="152" t="str">
        <f>IFERROR(__xludf.DUMMYFUNCTION("REGEXREPLACE(A293, ""&lt;loc&gt;"", """")"),"https://odysia-cruise-uk.client.prod.eu-west.dreamlake.io/cruise-lines/msc-cruises/msc-seascape/cruises&lt;/loc&gt;")</f>
        <v>https://odysia-cruise-uk.client.prod.eu-west.dreamlake.io/cruise-lines/msc-cruises/msc-seascape/cruises&lt;/loc&gt;</v>
      </c>
      <c r="C293" s="153" t="str">
        <f>IFERROR(__xludf.DUMMYFUNCTION("REGEXREPLACE(B293, ""&lt;/loc&gt;"", """")"),"https://odysia-cruise-uk.client.prod.eu-west.dreamlake.io/cruise-lines/msc-cruises/msc-seascape/cruises")</f>
        <v>https://odysia-cruise-uk.client.prod.eu-west.dreamlake.io/cruise-lines/msc-cruises/msc-seascape/cruises</v>
      </c>
      <c r="D293" s="152" t="s">
        <v>772</v>
      </c>
      <c r="E293" s="152" t="str">
        <f>IFERROR(__xludf.DUMMYFUNCTION("REGEXREPLACE(D293, ""https://odysia-cruise-uk.client.prod.eu-west.dreamlake.io"", """")"),"/cruise-lines/msc-cruises/msc-seascape/cruises")</f>
        <v>/cruise-lines/msc-cruises/msc-seascape/cruises</v>
      </c>
    </row>
    <row r="294">
      <c r="A294" s="154" t="s">
        <v>773</v>
      </c>
      <c r="B294" s="152" t="str">
        <f>IFERROR(__xludf.DUMMYFUNCTION("REGEXREPLACE(A294, ""&lt;loc&gt;"", """")"),"https://odysia-cruise-uk.client.prod.eu-west.dreamlake.io/cruise-lines/princess-cruises/discovery-princess/cruises&lt;/loc&gt;")</f>
        <v>https://odysia-cruise-uk.client.prod.eu-west.dreamlake.io/cruise-lines/princess-cruises/discovery-princess/cruises&lt;/loc&gt;</v>
      </c>
      <c r="C294" s="153" t="str">
        <f>IFERROR(__xludf.DUMMYFUNCTION("REGEXREPLACE(B294, ""&lt;/loc&gt;"", """")"),"https://odysia-cruise-uk.client.prod.eu-west.dreamlake.io/cruise-lines/princess-cruises/discovery-princess/cruises")</f>
        <v>https://odysia-cruise-uk.client.prod.eu-west.dreamlake.io/cruise-lines/princess-cruises/discovery-princess/cruises</v>
      </c>
      <c r="D294" s="152" t="s">
        <v>774</v>
      </c>
      <c r="E294" s="152" t="str">
        <f>IFERROR(__xludf.DUMMYFUNCTION("REGEXREPLACE(D294, ""https://odysia-cruise-uk.client.prod.eu-west.dreamlake.io"", """")"),"/cruise-lines/princess-cruises/discovery-princess/cruises")</f>
        <v>/cruise-lines/princess-cruises/discovery-princess/cruises</v>
      </c>
    </row>
    <row r="295">
      <c r="A295" s="154" t="s">
        <v>775</v>
      </c>
      <c r="B295" s="152" t="str">
        <f>IFERROR(__xludf.DUMMYFUNCTION("REGEXREPLACE(A295, ""&lt;loc&gt;"", """")"),"https://odysia-cruise-uk.client.prod.eu-west.dreamlake.io/cruise-lines/oceania-cruises/oceania-allura&lt;/loc&gt;")</f>
        <v>https://odysia-cruise-uk.client.prod.eu-west.dreamlake.io/cruise-lines/oceania-cruises/oceania-allura&lt;/loc&gt;</v>
      </c>
      <c r="C295" s="153" t="str">
        <f>IFERROR(__xludf.DUMMYFUNCTION("REGEXREPLACE(B295, ""&lt;/loc&gt;"", """")"),"https://odysia-cruise-uk.client.prod.eu-west.dreamlake.io/cruise-lines/oceania-cruises/oceania-allura")</f>
        <v>https://odysia-cruise-uk.client.prod.eu-west.dreamlake.io/cruise-lines/oceania-cruises/oceania-allura</v>
      </c>
      <c r="D295" s="152" t="s">
        <v>776</v>
      </c>
      <c r="E295" s="152" t="str">
        <f>IFERROR(__xludf.DUMMYFUNCTION("REGEXREPLACE(D295, ""https://odysia-cruise-uk.client.prod.eu-west.dreamlake.io"", """")"),"/cruise-lines/oceania-cruises/oceania-allura")</f>
        <v>/cruise-lines/oceania-cruises/oceania-allura</v>
      </c>
    </row>
    <row r="296">
      <c r="A296" s="154" t="s">
        <v>777</v>
      </c>
      <c r="B296" s="152" t="str">
        <f>IFERROR(__xludf.DUMMYFUNCTION("REGEXREPLACE(A296, ""&lt;loc&gt;"", """")"),"https://odysia-cruise-uk.client.prod.eu-west.dreamlake.io/cruise-lines/po-cruises/azura&lt;/loc&gt;")</f>
        <v>https://odysia-cruise-uk.client.prod.eu-west.dreamlake.io/cruise-lines/po-cruises/azura&lt;/loc&gt;</v>
      </c>
      <c r="C296" s="153" t="str">
        <f>IFERROR(__xludf.DUMMYFUNCTION("REGEXREPLACE(B296, ""&lt;/loc&gt;"", """")"),"https://odysia-cruise-uk.client.prod.eu-west.dreamlake.io/cruise-lines/po-cruises/azura")</f>
        <v>https://odysia-cruise-uk.client.prod.eu-west.dreamlake.io/cruise-lines/po-cruises/azura</v>
      </c>
      <c r="D296" s="152" t="s">
        <v>778</v>
      </c>
      <c r="E296" s="152" t="str">
        <f>IFERROR(__xludf.DUMMYFUNCTION("REGEXREPLACE(D296, ""https://odysia-cruise-uk.client.prod.eu-west.dreamlake.io"", """")"),"/cruise-lines/po-cruises/azura")</f>
        <v>/cruise-lines/po-cruises/azura</v>
      </c>
    </row>
    <row r="297">
      <c r="A297" s="154" t="s">
        <v>779</v>
      </c>
      <c r="B297" s="152" t="str">
        <f>IFERROR(__xludf.DUMMYFUNCTION("REGEXREPLACE(A297, ""&lt;loc&gt;"", """")"),"https://odysia-cruise-uk.client.prod.eu-west.dreamlake.io/cruise-lines/po-cruises/britannia&lt;/loc&gt;")</f>
        <v>https://odysia-cruise-uk.client.prod.eu-west.dreamlake.io/cruise-lines/po-cruises/britannia&lt;/loc&gt;</v>
      </c>
      <c r="C297" s="153" t="str">
        <f>IFERROR(__xludf.DUMMYFUNCTION("REGEXREPLACE(B297, ""&lt;/loc&gt;"", """")"),"https://odysia-cruise-uk.client.prod.eu-west.dreamlake.io/cruise-lines/po-cruises/britannia")</f>
        <v>https://odysia-cruise-uk.client.prod.eu-west.dreamlake.io/cruise-lines/po-cruises/britannia</v>
      </c>
      <c r="D297" s="152" t="s">
        <v>780</v>
      </c>
      <c r="E297" s="152" t="str">
        <f>IFERROR(__xludf.DUMMYFUNCTION("REGEXREPLACE(D297, ""https://odysia-cruise-uk.client.prod.eu-west.dreamlake.io"", """")"),"/cruise-lines/po-cruises/britannia")</f>
        <v>/cruise-lines/po-cruises/britannia</v>
      </c>
    </row>
    <row r="298">
      <c r="A298" s="154" t="s">
        <v>781</v>
      </c>
      <c r="B298" s="152" t="str">
        <f>IFERROR(__xludf.DUMMYFUNCTION("REGEXREPLACE(A298, ""&lt;loc&gt;"", """")"),"https://odysia-cruise-uk.client.prod.eu-west.dreamlake.io/cruise-lines/explora-journeys/cruises&lt;/loc&gt;")</f>
        <v>https://odysia-cruise-uk.client.prod.eu-west.dreamlake.io/cruise-lines/explora-journeys/cruises&lt;/loc&gt;</v>
      </c>
      <c r="C298" s="153" t="str">
        <f>IFERROR(__xludf.DUMMYFUNCTION("REGEXREPLACE(B298, ""&lt;/loc&gt;"", """")"),"https://odysia-cruise-uk.client.prod.eu-west.dreamlake.io/cruise-lines/explora-journeys/cruises")</f>
        <v>https://odysia-cruise-uk.client.prod.eu-west.dreamlake.io/cruise-lines/explora-journeys/cruises</v>
      </c>
      <c r="D298" s="152" t="s">
        <v>782</v>
      </c>
      <c r="E298" s="152" t="str">
        <f>IFERROR(__xludf.DUMMYFUNCTION("REGEXREPLACE(D298, ""https://odysia-cruise-uk.client.prod.eu-west.dreamlake.io"", """")"),"/cruise-lines/explora-journeys/cruises")</f>
        <v>/cruise-lines/explora-journeys/cruises</v>
      </c>
    </row>
    <row r="299">
      <c r="A299" s="154" t="s">
        <v>783</v>
      </c>
      <c r="B299" s="152" t="str">
        <f>IFERROR(__xludf.DUMMYFUNCTION("REGEXREPLACE(A299, ""&lt;loc&gt;"", """")"),"https://odysia-cruise-uk.client.prod.eu-west.dreamlake.io/cruise-lines/celebrity-cruises/celebrity-apex&lt;/loc&gt;")</f>
        <v>https://odysia-cruise-uk.client.prod.eu-west.dreamlake.io/cruise-lines/celebrity-cruises/celebrity-apex&lt;/loc&gt;</v>
      </c>
      <c r="C299" s="153" t="str">
        <f>IFERROR(__xludf.DUMMYFUNCTION("REGEXREPLACE(B299, ""&lt;/loc&gt;"", """")"),"https://odysia-cruise-uk.client.prod.eu-west.dreamlake.io/cruise-lines/celebrity-cruises/celebrity-apex")</f>
        <v>https://odysia-cruise-uk.client.prod.eu-west.dreamlake.io/cruise-lines/celebrity-cruises/celebrity-apex</v>
      </c>
      <c r="D299" s="152" t="s">
        <v>784</v>
      </c>
      <c r="E299" s="152" t="str">
        <f>IFERROR(__xludf.DUMMYFUNCTION("REGEXREPLACE(D299, ""https://odysia-cruise-uk.client.prod.eu-west.dreamlake.io"", """")"),"/cruise-lines/celebrity-cruises/celebrity-apex")</f>
        <v>/cruise-lines/celebrity-cruises/celebrity-apex</v>
      </c>
    </row>
    <row r="300">
      <c r="A300" s="154" t="s">
        <v>785</v>
      </c>
      <c r="B300" s="152" t="str">
        <f>IFERROR(__xludf.DUMMYFUNCTION("REGEXREPLACE(A300, ""&lt;loc&gt;"", """")"),"https://odysia-cruise-uk.client.prod.eu-west.dreamlake.io/cruise-lines/po-cruises/ventura&lt;/loc&gt;")</f>
        <v>https://odysia-cruise-uk.client.prod.eu-west.dreamlake.io/cruise-lines/po-cruises/ventura&lt;/loc&gt;</v>
      </c>
      <c r="C300" s="153" t="str">
        <f>IFERROR(__xludf.DUMMYFUNCTION("REGEXREPLACE(B300, ""&lt;/loc&gt;"", """")"),"https://odysia-cruise-uk.client.prod.eu-west.dreamlake.io/cruise-lines/po-cruises/ventura")</f>
        <v>https://odysia-cruise-uk.client.prod.eu-west.dreamlake.io/cruise-lines/po-cruises/ventura</v>
      </c>
      <c r="D300" s="152" t="s">
        <v>786</v>
      </c>
      <c r="E300" s="152" t="str">
        <f>IFERROR(__xludf.DUMMYFUNCTION("REGEXREPLACE(D300, ""https://odysia-cruise-uk.client.prod.eu-west.dreamlake.io"", """")"),"/cruise-lines/po-cruises/ventura")</f>
        <v>/cruise-lines/po-cruises/ventura</v>
      </c>
    </row>
    <row r="301">
      <c r="A301" s="154" t="s">
        <v>787</v>
      </c>
      <c r="B301" s="152" t="str">
        <f>IFERROR(__xludf.DUMMYFUNCTION("REGEXREPLACE(A301, ""&lt;loc&gt;"", """")"),"https://odysia-cruise-uk.client.prod.eu-west.dreamlake.io/destinations/canada-cruises&lt;/loc&gt;")</f>
        <v>https://odysia-cruise-uk.client.prod.eu-west.dreamlake.io/destinations/canada-cruises&lt;/loc&gt;</v>
      </c>
      <c r="C301" s="153" t="str">
        <f>IFERROR(__xludf.DUMMYFUNCTION("REGEXREPLACE(B301, ""&lt;/loc&gt;"", """")"),"https://odysia-cruise-uk.client.prod.eu-west.dreamlake.io/destinations/canada-cruises")</f>
        <v>https://odysia-cruise-uk.client.prod.eu-west.dreamlake.io/destinations/canada-cruises</v>
      </c>
    </row>
    <row r="302">
      <c r="A302" s="154" t="s">
        <v>788</v>
      </c>
      <c r="B302" s="152" t="str">
        <f>IFERROR(__xludf.DUMMYFUNCTION("REGEXREPLACE(A302, ""&lt;loc&gt;"", """")"),"https://odysia-cruise-uk.client.prod.eu-west.dreamlake.io/cruise-lines/princess-cruises/enchanted-princess&lt;/loc&gt;")</f>
        <v>https://odysia-cruise-uk.client.prod.eu-west.dreamlake.io/cruise-lines/princess-cruises/enchanted-princess&lt;/loc&gt;</v>
      </c>
      <c r="C302" s="153" t="str">
        <f>IFERROR(__xludf.DUMMYFUNCTION("REGEXREPLACE(B302, ""&lt;/loc&gt;"", """")"),"https://odysia-cruise-uk.client.prod.eu-west.dreamlake.io/cruise-lines/princess-cruises/enchanted-princess")</f>
        <v>https://odysia-cruise-uk.client.prod.eu-west.dreamlake.io/cruise-lines/princess-cruises/enchanted-princess</v>
      </c>
      <c r="D302" s="152" t="s">
        <v>789</v>
      </c>
      <c r="E302" s="152" t="str">
        <f>IFERROR(__xludf.DUMMYFUNCTION("REGEXREPLACE(D302, ""https://odysia-cruise-uk.client.prod.eu-west.dreamlake.io"", """")"),"/cruise-lines/princess-cruises/enchanted-princess")</f>
        <v>/cruise-lines/princess-cruises/enchanted-princess</v>
      </c>
    </row>
    <row r="303">
      <c r="A303" s="154" t="s">
        <v>790</v>
      </c>
      <c r="B303" s="152" t="str">
        <f>IFERROR(__xludf.DUMMYFUNCTION("REGEXREPLACE(A303, ""&lt;loc&gt;"", """")"),"https://odysia-cruise-uk.client.prod.eu-west.dreamlake.io/cruise-lines/oceania-cruises/oceania-sirena&lt;/loc&gt;")</f>
        <v>https://odysia-cruise-uk.client.prod.eu-west.dreamlake.io/cruise-lines/oceania-cruises/oceania-sirena&lt;/loc&gt;</v>
      </c>
      <c r="C303" s="153" t="str">
        <f>IFERROR(__xludf.DUMMYFUNCTION("REGEXREPLACE(B303, ""&lt;/loc&gt;"", """")"),"https://odysia-cruise-uk.client.prod.eu-west.dreamlake.io/cruise-lines/oceania-cruises/oceania-sirena")</f>
        <v>https://odysia-cruise-uk.client.prod.eu-west.dreamlake.io/cruise-lines/oceania-cruises/oceania-sirena</v>
      </c>
      <c r="D303" s="152" t="s">
        <v>791</v>
      </c>
      <c r="E303" s="152" t="str">
        <f>IFERROR(__xludf.DUMMYFUNCTION("REGEXREPLACE(D303, ""https://odysia-cruise-uk.client.prod.eu-west.dreamlake.io"", """")"),"/cruise-lines/oceania-cruises/oceania-sirena")</f>
        <v>/cruise-lines/oceania-cruises/oceania-sirena</v>
      </c>
    </row>
    <row r="304">
      <c r="A304" s="154" t="s">
        <v>792</v>
      </c>
      <c r="B304" s="152" t="str">
        <f>IFERROR(__xludf.DUMMYFUNCTION("REGEXREPLACE(A304, ""&lt;loc&gt;"", """")"),"https://odysia-cruise-uk.client.prod.eu-west.dreamlake.io/cruise-lines/msc-cruises/msc-divina&lt;/loc&gt;")</f>
        <v>https://odysia-cruise-uk.client.prod.eu-west.dreamlake.io/cruise-lines/msc-cruises/msc-divina&lt;/loc&gt;</v>
      </c>
      <c r="C304" s="153" t="str">
        <f>IFERROR(__xludf.DUMMYFUNCTION("REGEXREPLACE(B304, ""&lt;/loc&gt;"", """")"),"https://odysia-cruise-uk.client.prod.eu-west.dreamlake.io/cruise-lines/msc-cruises/msc-divina")</f>
        <v>https://odysia-cruise-uk.client.prod.eu-west.dreamlake.io/cruise-lines/msc-cruises/msc-divina</v>
      </c>
      <c r="D304" s="152" t="s">
        <v>793</v>
      </c>
      <c r="E304" s="152" t="str">
        <f>IFERROR(__xludf.DUMMYFUNCTION("REGEXREPLACE(D304, ""https://odysia-cruise-uk.client.prod.eu-west.dreamlake.io"", """")"),"/cruise-lines/msc-cruises/msc-divina")</f>
        <v>/cruise-lines/msc-cruises/msc-divina</v>
      </c>
    </row>
    <row r="305">
      <c r="A305" s="154" t="s">
        <v>794</v>
      </c>
      <c r="B305" s="152" t="str">
        <f>IFERROR(__xludf.DUMMYFUNCTION("REGEXREPLACE(A305, ""&lt;loc&gt;"", """")"),"https://odysia-cruise-uk.client.prod.eu-west.dreamlake.io/cruise-lines/princess-cruises/caribbean-princess&lt;/loc&gt;")</f>
        <v>https://odysia-cruise-uk.client.prod.eu-west.dreamlake.io/cruise-lines/princess-cruises/caribbean-princess&lt;/loc&gt;</v>
      </c>
      <c r="C305" s="153" t="str">
        <f>IFERROR(__xludf.DUMMYFUNCTION("REGEXREPLACE(B305, ""&lt;/loc&gt;"", """")"),"https://odysia-cruise-uk.client.prod.eu-west.dreamlake.io/cruise-lines/princess-cruises/caribbean-princess")</f>
        <v>https://odysia-cruise-uk.client.prod.eu-west.dreamlake.io/cruise-lines/princess-cruises/caribbean-princess</v>
      </c>
      <c r="D305" s="152" t="s">
        <v>795</v>
      </c>
      <c r="E305" s="152" t="str">
        <f>IFERROR(__xludf.DUMMYFUNCTION("REGEXREPLACE(D305, ""https://odysia-cruise-uk.client.prod.eu-west.dreamlake.io"", """")"),"/cruise-lines/princess-cruises/caribbean-princess")</f>
        <v>/cruise-lines/princess-cruises/caribbean-princess</v>
      </c>
    </row>
    <row r="306">
      <c r="A306" s="154" t="s">
        <v>796</v>
      </c>
      <c r="B306" s="152" t="str">
        <f>IFERROR(__xludf.DUMMYFUNCTION("REGEXREPLACE(A306, ""&lt;loc&gt;"", """")"),"https://odysia-cruise-uk.client.prod.eu-west.dreamlake.io/cruise-lines/msc-cruises/msc-seaview&lt;/loc&gt;")</f>
        <v>https://odysia-cruise-uk.client.prod.eu-west.dreamlake.io/cruise-lines/msc-cruises/msc-seaview&lt;/loc&gt;</v>
      </c>
      <c r="C306" s="153" t="str">
        <f>IFERROR(__xludf.DUMMYFUNCTION("REGEXREPLACE(B306, ""&lt;/loc&gt;"", """")"),"https://odysia-cruise-uk.client.prod.eu-west.dreamlake.io/cruise-lines/msc-cruises/msc-seaview")</f>
        <v>https://odysia-cruise-uk.client.prod.eu-west.dreamlake.io/cruise-lines/msc-cruises/msc-seaview</v>
      </c>
      <c r="D306" s="152" t="s">
        <v>797</v>
      </c>
      <c r="E306" s="152" t="str">
        <f>IFERROR(__xludf.DUMMYFUNCTION("REGEXREPLACE(D306, ""https://odysia-cruise-uk.client.prod.eu-west.dreamlake.io"", """")"),"/cruise-lines/msc-cruises/msc-seaview")</f>
        <v>/cruise-lines/msc-cruises/msc-seaview</v>
      </c>
    </row>
    <row r="307">
      <c r="A307" s="154" t="s">
        <v>798</v>
      </c>
      <c r="B307" s="152" t="str">
        <f>IFERROR(__xludf.DUMMYFUNCTION("REGEXREPLACE(A307, ""&lt;loc&gt;"", """")"),"https://odysia-cruise-uk.client.prod.eu-west.dreamlake.io/cruise-lines/royal-caribbean/adventure-of-the-seas&lt;/loc&gt;")</f>
        <v>https://odysia-cruise-uk.client.prod.eu-west.dreamlake.io/cruise-lines/royal-caribbean/adventure-of-the-seas&lt;/loc&gt;</v>
      </c>
      <c r="C307" s="153" t="str">
        <f>IFERROR(__xludf.DUMMYFUNCTION("REGEXREPLACE(B307, ""&lt;/loc&gt;"", """")"),"https://odysia-cruise-uk.client.prod.eu-west.dreamlake.io/cruise-lines/royal-caribbean/adventure-of-the-seas")</f>
        <v>https://odysia-cruise-uk.client.prod.eu-west.dreamlake.io/cruise-lines/royal-caribbean/adventure-of-the-seas</v>
      </c>
      <c r="D307" s="152" t="s">
        <v>799</v>
      </c>
      <c r="E307" s="152" t="str">
        <f>IFERROR(__xludf.DUMMYFUNCTION("REGEXREPLACE(D307, ""https://odysia-cruise-uk.client.prod.eu-west.dreamlake.io"", """")"),"/cruise-lines/royal-caribbean/adventure-of-the-seas")</f>
        <v>/cruise-lines/royal-caribbean/adventure-of-the-seas</v>
      </c>
    </row>
    <row r="308">
      <c r="A308" s="154" t="s">
        <v>800</v>
      </c>
      <c r="B308" s="152" t="str">
        <f>IFERROR(__xludf.DUMMYFUNCTION("REGEXREPLACE(A308, ""&lt;loc&gt;"", """")"),"https://odysia-cruise-uk.client.prod.eu-west.dreamlake.io/cruise-lines/royal-caribbean/liberty-of-the-seas/cruises&lt;/loc&gt;")</f>
        <v>https://odysia-cruise-uk.client.prod.eu-west.dreamlake.io/cruise-lines/royal-caribbean/liberty-of-the-seas/cruises&lt;/loc&gt;</v>
      </c>
      <c r="C308" s="153" t="str">
        <f>IFERROR(__xludf.DUMMYFUNCTION("REGEXREPLACE(B308, ""&lt;/loc&gt;"", """")"),"https://odysia-cruise-uk.client.prod.eu-west.dreamlake.io/cruise-lines/royal-caribbean/liberty-of-the-seas/cruises")</f>
        <v>https://odysia-cruise-uk.client.prod.eu-west.dreamlake.io/cruise-lines/royal-caribbean/liberty-of-the-seas/cruises</v>
      </c>
      <c r="D308" s="152" t="s">
        <v>801</v>
      </c>
      <c r="E308" s="152" t="str">
        <f>IFERROR(__xludf.DUMMYFUNCTION("REGEXREPLACE(D308, ""https://odysia-cruise-uk.client.prod.eu-west.dreamlake.io"", """")"),"/cruise-lines/royal-caribbean/liberty-of-the-seas/cruises")</f>
        <v>/cruise-lines/royal-caribbean/liberty-of-the-seas/cruises</v>
      </c>
    </row>
    <row r="309">
      <c r="A309" s="154" t="s">
        <v>802</v>
      </c>
      <c r="B309" s="152" t="str">
        <f>IFERROR(__xludf.DUMMYFUNCTION("REGEXREPLACE(A309, ""&lt;loc&gt;"", """")"),"https://odysia-cruise-uk.client.prod.eu-west.dreamlake.io/cruise-lines/msc-cruises/msc-grandiosa/cruises&lt;/loc&gt;")</f>
        <v>https://odysia-cruise-uk.client.prod.eu-west.dreamlake.io/cruise-lines/msc-cruises/msc-grandiosa/cruises&lt;/loc&gt;</v>
      </c>
      <c r="C309" s="153" t="str">
        <f>IFERROR(__xludf.DUMMYFUNCTION("REGEXREPLACE(B309, ""&lt;/loc&gt;"", """")"),"https://odysia-cruise-uk.client.prod.eu-west.dreamlake.io/cruise-lines/msc-cruises/msc-grandiosa/cruises")</f>
        <v>https://odysia-cruise-uk.client.prod.eu-west.dreamlake.io/cruise-lines/msc-cruises/msc-grandiosa/cruises</v>
      </c>
      <c r="D309" s="152" t="s">
        <v>803</v>
      </c>
      <c r="E309" s="152" t="str">
        <f>IFERROR(__xludf.DUMMYFUNCTION("REGEXREPLACE(D309, ""https://odysia-cruise-uk.client.prod.eu-west.dreamlake.io"", """")"),"/cruise-lines/msc-cruises/msc-grandiosa/cruises")</f>
        <v>/cruise-lines/msc-cruises/msc-grandiosa/cruises</v>
      </c>
    </row>
    <row r="310">
      <c r="A310" s="154" t="s">
        <v>804</v>
      </c>
      <c r="B310" s="152" t="str">
        <f>IFERROR(__xludf.DUMMYFUNCTION("REGEXREPLACE(A310, ""&lt;loc&gt;"", """")"),"https://odysia-cruise-uk.client.prod.eu-west.dreamlake.io/cruise-lines/ambassador-cruise-line/ambience/cruises&lt;/loc&gt;")</f>
        <v>https://odysia-cruise-uk.client.prod.eu-west.dreamlake.io/cruise-lines/ambassador-cruise-line/ambience/cruises&lt;/loc&gt;</v>
      </c>
      <c r="C310" s="153" t="str">
        <f>IFERROR(__xludf.DUMMYFUNCTION("REGEXREPLACE(B310, ""&lt;/loc&gt;"", """")"),"https://odysia-cruise-uk.client.prod.eu-west.dreamlake.io/cruise-lines/ambassador-cruise-line/ambience/cruises")</f>
        <v>https://odysia-cruise-uk.client.prod.eu-west.dreamlake.io/cruise-lines/ambassador-cruise-line/ambience/cruises</v>
      </c>
      <c r="D310" s="152" t="s">
        <v>805</v>
      </c>
      <c r="E310" s="152" t="str">
        <f>IFERROR(__xludf.DUMMYFUNCTION("REGEXREPLACE(D310, ""https://odysia-cruise-uk.client.prod.eu-west.dreamlake.io"", """")"),"/cruise-lines/ambassador-cruise-line/ambience/cruises")</f>
        <v>/cruise-lines/ambassador-cruise-line/ambience/cruises</v>
      </c>
    </row>
    <row r="311">
      <c r="A311" s="154" t="s">
        <v>806</v>
      </c>
      <c r="B311" s="152" t="str">
        <f>IFERROR(__xludf.DUMMYFUNCTION("REGEXREPLACE(A311, ""&lt;loc&gt;"", """")"),"https://odysia-cruise-uk.client.prod.eu-west.dreamlake.io/cruise-deals/cruises-from-scotland&lt;/loc&gt;")</f>
        <v>https://odysia-cruise-uk.client.prod.eu-west.dreamlake.io/cruise-deals/cruises-from-scotland&lt;/loc&gt;</v>
      </c>
      <c r="C311" s="153" t="str">
        <f>IFERROR(__xludf.DUMMYFUNCTION("REGEXREPLACE(B311, ""&lt;/loc&gt;"", """")"),"https://odysia-cruise-uk.client.prod.eu-west.dreamlake.io/cruise-deals/cruises-from-scotland")</f>
        <v>https://odysia-cruise-uk.client.prod.eu-west.dreamlake.io/cruise-deals/cruises-from-scotland</v>
      </c>
      <c r="D311" s="152" t="s">
        <v>807</v>
      </c>
    </row>
    <row r="312">
      <c r="A312" s="154" t="s">
        <v>808</v>
      </c>
      <c r="B312" s="152" t="str">
        <f>IFERROR(__xludf.DUMMYFUNCTION("REGEXREPLACE(A312, ""&lt;loc&gt;"", """")"),"https://odysia-cruise-uk.client.prod.eu-west.dreamlake.io/cruise-lines/royal-caribbean/quantum-of-the-seas&lt;/loc&gt;")</f>
        <v>https://odysia-cruise-uk.client.prod.eu-west.dreamlake.io/cruise-lines/royal-caribbean/quantum-of-the-seas&lt;/loc&gt;</v>
      </c>
      <c r="C312" s="153" t="str">
        <f>IFERROR(__xludf.DUMMYFUNCTION("REGEXREPLACE(B312, ""&lt;/loc&gt;"", """")"),"https://odysia-cruise-uk.client.prod.eu-west.dreamlake.io/cruise-lines/royal-caribbean/quantum-of-the-seas")</f>
        <v>https://odysia-cruise-uk.client.prod.eu-west.dreamlake.io/cruise-lines/royal-caribbean/quantum-of-the-seas</v>
      </c>
      <c r="D312" s="152" t="s">
        <v>809</v>
      </c>
      <c r="E312" s="152" t="str">
        <f>IFERROR(__xludf.DUMMYFUNCTION("REGEXREPLACE(D312, ""https://odysia-cruise-uk.client.prod.eu-west.dreamlake.io"", """")"),"/cruise-lines/royal-caribbean/quantum-of-the-seas")</f>
        <v>/cruise-lines/royal-caribbean/quantum-of-the-seas</v>
      </c>
    </row>
    <row r="313">
      <c r="A313" s="154" t="s">
        <v>810</v>
      </c>
      <c r="B313" s="152" t="str">
        <f>IFERROR(__xludf.DUMMYFUNCTION("REGEXREPLACE(A313, ""&lt;loc&gt;"", """")"),"https://odysia-cruise-uk.client.prod.eu-west.dreamlake.io/cruise-lines/po-cruises/aurora/cruises&lt;/loc&gt;")</f>
        <v>https://odysia-cruise-uk.client.prod.eu-west.dreamlake.io/cruise-lines/po-cruises/aurora/cruises&lt;/loc&gt;</v>
      </c>
      <c r="C313" s="153" t="str">
        <f>IFERROR(__xludf.DUMMYFUNCTION("REGEXREPLACE(B313, ""&lt;/loc&gt;"", """")"),"https://odysia-cruise-uk.client.prod.eu-west.dreamlake.io/cruise-lines/po-cruises/aurora/cruises")</f>
        <v>https://odysia-cruise-uk.client.prod.eu-west.dreamlake.io/cruise-lines/po-cruises/aurora/cruises</v>
      </c>
      <c r="D313" s="152" t="s">
        <v>811</v>
      </c>
      <c r="E313" s="152" t="str">
        <f>IFERROR(__xludf.DUMMYFUNCTION("REGEXREPLACE(D313, ""https://odysia-cruise-uk.client.prod.eu-west.dreamlake.io"", """")"),"/cruise-lines/po-cruises/aurora/cruises")</f>
        <v>/cruise-lines/po-cruises/aurora/cruises</v>
      </c>
    </row>
    <row r="314">
      <c r="A314" s="154" t="s">
        <v>812</v>
      </c>
      <c r="B314" s="152" t="str">
        <f>IFERROR(__xludf.DUMMYFUNCTION("REGEXREPLACE(A314, ""&lt;loc&gt;"", """")"),"https://odysia-cruise-uk.client.prod.eu-west.dreamlake.io/cruise-lines/holland-america-line/noordam&lt;/loc&gt;")</f>
        <v>https://odysia-cruise-uk.client.prod.eu-west.dreamlake.io/cruise-lines/holland-america-line/noordam&lt;/loc&gt;</v>
      </c>
      <c r="C314" s="153" t="str">
        <f>IFERROR(__xludf.DUMMYFUNCTION("REGEXREPLACE(B314, ""&lt;/loc&gt;"", """")"),"https://odysia-cruise-uk.client.prod.eu-west.dreamlake.io/cruise-lines/holland-america-line/noordam")</f>
        <v>https://odysia-cruise-uk.client.prod.eu-west.dreamlake.io/cruise-lines/holland-america-line/noordam</v>
      </c>
      <c r="D314" s="152" t="s">
        <v>813</v>
      </c>
      <c r="E314" s="152" t="str">
        <f>IFERROR(__xludf.DUMMYFUNCTION("REGEXREPLACE(D314, ""https://odysia-cruise-uk.client.prod.eu-west.dreamlake.io"", """")"),"/cruise-lines/holland-america-line/noordam")</f>
        <v>/cruise-lines/holland-america-line/noordam</v>
      </c>
    </row>
    <row r="315">
      <c r="A315" s="154" t="s">
        <v>814</v>
      </c>
      <c r="B315" s="152" t="str">
        <f>IFERROR(__xludf.DUMMYFUNCTION("REGEXREPLACE(A315, ""&lt;loc&gt;"", """")"),"https://odysia-cruise-uk.client.prod.eu-west.dreamlake.io/cruise-lines/po-cruises/britannia/cruises&lt;/loc&gt;")</f>
        <v>https://odysia-cruise-uk.client.prod.eu-west.dreamlake.io/cruise-lines/po-cruises/britannia/cruises&lt;/loc&gt;</v>
      </c>
      <c r="C315" s="153" t="str">
        <f>IFERROR(__xludf.DUMMYFUNCTION("REGEXREPLACE(B315, ""&lt;/loc&gt;"", """")"),"https://odysia-cruise-uk.client.prod.eu-west.dreamlake.io/cruise-lines/po-cruises/britannia/cruises")</f>
        <v>https://odysia-cruise-uk.client.prod.eu-west.dreamlake.io/cruise-lines/po-cruises/britannia/cruises</v>
      </c>
      <c r="D315" s="152" t="s">
        <v>815</v>
      </c>
      <c r="E315" s="152" t="str">
        <f>IFERROR(__xludf.DUMMYFUNCTION("REGEXREPLACE(D315, ""https://odysia-cruise-uk.client.prod.eu-west.dreamlake.io"", """")"),"/cruise-lines/po-cruises/britannia/cruises")</f>
        <v>/cruise-lines/po-cruises/britannia/cruises</v>
      </c>
    </row>
    <row r="316">
      <c r="A316" s="154" t="s">
        <v>816</v>
      </c>
      <c r="B316" s="152" t="str">
        <f>IFERROR(__xludf.DUMMYFUNCTION("REGEXREPLACE(A316, ""&lt;loc&gt;"", """")"),"https://odysia-cruise-uk.client.prod.eu-west.dreamlake.io/cruise-lines/royal-caribbean/grandeur-of-the-seas/cruises&lt;/loc&gt;")</f>
        <v>https://odysia-cruise-uk.client.prod.eu-west.dreamlake.io/cruise-lines/royal-caribbean/grandeur-of-the-seas/cruises&lt;/loc&gt;</v>
      </c>
      <c r="C316" s="153" t="str">
        <f>IFERROR(__xludf.DUMMYFUNCTION("REGEXREPLACE(B316, ""&lt;/loc&gt;"", """")"),"https://odysia-cruise-uk.client.prod.eu-west.dreamlake.io/cruise-lines/royal-caribbean/grandeur-of-the-seas/cruises")</f>
        <v>https://odysia-cruise-uk.client.prod.eu-west.dreamlake.io/cruise-lines/royal-caribbean/grandeur-of-the-seas/cruises</v>
      </c>
      <c r="D316" s="152" t="s">
        <v>817</v>
      </c>
      <c r="E316" s="152" t="str">
        <f>IFERROR(__xludf.DUMMYFUNCTION("REGEXREPLACE(D316, ""https://odysia-cruise-uk.client.prod.eu-west.dreamlake.io"", """")"),"/cruise-lines/royal-caribbean/grandeur-of-the-seas/cruises")</f>
        <v>/cruise-lines/royal-caribbean/grandeur-of-the-seas/cruises</v>
      </c>
    </row>
    <row r="317">
      <c r="A317" s="154" t="s">
        <v>818</v>
      </c>
      <c r="B317" s="152" t="str">
        <f>IFERROR(__xludf.DUMMYFUNCTION("REGEXREPLACE(A317, ""&lt;loc&gt;"", """")"),"https://odysia-cruise-uk.client.prod.eu-west.dreamlake.io/cruise-lines/costa-cruises/costa-favolosa&lt;/loc&gt;")</f>
        <v>https://odysia-cruise-uk.client.prod.eu-west.dreamlake.io/cruise-lines/costa-cruises/costa-favolosa&lt;/loc&gt;</v>
      </c>
      <c r="C317" s="153" t="str">
        <f>IFERROR(__xludf.DUMMYFUNCTION("REGEXREPLACE(B317, ""&lt;/loc&gt;"", """")"),"https://odysia-cruise-uk.client.prod.eu-west.dreamlake.io/cruise-lines/costa-cruises/costa-favolosa")</f>
        <v>https://odysia-cruise-uk.client.prod.eu-west.dreamlake.io/cruise-lines/costa-cruises/costa-favolosa</v>
      </c>
      <c r="D317" s="152" t="s">
        <v>819</v>
      </c>
      <c r="E317" s="152" t="str">
        <f>IFERROR(__xludf.DUMMYFUNCTION("REGEXREPLACE(D317, ""https://odysia-cruise-uk.client.prod.eu-west.dreamlake.io"", """")"),"/cruise-lines/costa-cruises/costa-favolosa")</f>
        <v>/cruise-lines/costa-cruises/costa-favolosa</v>
      </c>
    </row>
    <row r="318">
      <c r="A318" s="154" t="s">
        <v>820</v>
      </c>
      <c r="B318" s="152" t="str">
        <f>IFERROR(__xludf.DUMMYFUNCTION("REGEXREPLACE(A318, ""&lt;loc&gt;"", """")"),"https://odysia-cruise-uk.client.prod.eu-west.dreamlake.io/cruise-lines/azamara/azamara-onward&lt;/loc&gt;")</f>
        <v>https://odysia-cruise-uk.client.prod.eu-west.dreamlake.io/cruise-lines/azamara/azamara-onward&lt;/loc&gt;</v>
      </c>
      <c r="C318" s="153" t="str">
        <f>IFERROR(__xludf.DUMMYFUNCTION("REGEXREPLACE(B318, ""&lt;/loc&gt;"", """")"),"https://odysia-cruise-uk.client.prod.eu-west.dreamlake.io/cruise-lines/azamara/azamara-onward")</f>
        <v>https://odysia-cruise-uk.client.prod.eu-west.dreamlake.io/cruise-lines/azamara/azamara-onward</v>
      </c>
    </row>
    <row r="319">
      <c r="A319" s="154" t="s">
        <v>821</v>
      </c>
      <c r="B319" s="152" t="str">
        <f>IFERROR(__xludf.DUMMYFUNCTION("REGEXREPLACE(A319, ""&lt;loc&gt;"", """")"),"https://odysia-cruise-uk.client.prod.eu-west.dreamlake.io/cruise-lines/celebrity-cruises/celebrity-reflection/cruises&lt;/loc&gt;")</f>
        <v>https://odysia-cruise-uk.client.prod.eu-west.dreamlake.io/cruise-lines/celebrity-cruises/celebrity-reflection/cruises&lt;/loc&gt;</v>
      </c>
      <c r="C319" s="153" t="str">
        <f>IFERROR(__xludf.DUMMYFUNCTION("REGEXREPLACE(B319, ""&lt;/loc&gt;"", """")"),"https://odysia-cruise-uk.client.prod.eu-west.dreamlake.io/cruise-lines/celebrity-cruises/celebrity-reflection/cruises")</f>
        <v>https://odysia-cruise-uk.client.prod.eu-west.dreamlake.io/cruise-lines/celebrity-cruises/celebrity-reflection/cruises</v>
      </c>
      <c r="D319" s="152" t="s">
        <v>822</v>
      </c>
      <c r="E319" s="152" t="str">
        <f>IFERROR(__xludf.DUMMYFUNCTION("REGEXREPLACE(D319, ""https://odysia-cruise-uk.client.prod.eu-west.dreamlake.io"", """")"),"/cruise-lines/celebrity-cruises/celebrity-reflection/cruises")</f>
        <v>/cruise-lines/celebrity-cruises/celebrity-reflection/cruises</v>
      </c>
    </row>
    <row r="320">
      <c r="A320" s="154" t="s">
        <v>823</v>
      </c>
      <c r="B320" s="152" t="str">
        <f>IFERROR(__xludf.DUMMYFUNCTION("REGEXREPLACE(A320, ""&lt;loc&gt;"", """")"),"https://odysia-cruise-uk.client.prod.eu-west.dreamlake.io/cruise-lines/norwegian-cruise-line/norwegian-encore/cruises&lt;/loc&gt;")</f>
        <v>https://odysia-cruise-uk.client.prod.eu-west.dreamlake.io/cruise-lines/norwegian-cruise-line/norwegian-encore/cruises&lt;/loc&gt;</v>
      </c>
      <c r="C320" s="153" t="str">
        <f>IFERROR(__xludf.DUMMYFUNCTION("REGEXREPLACE(B320, ""&lt;/loc&gt;"", """")"),"https://odysia-cruise-uk.client.prod.eu-west.dreamlake.io/cruise-lines/norwegian-cruise-line/norwegian-encore/cruises")</f>
        <v>https://odysia-cruise-uk.client.prod.eu-west.dreamlake.io/cruise-lines/norwegian-cruise-line/norwegian-encore/cruises</v>
      </c>
      <c r="D320" s="152" t="s">
        <v>824</v>
      </c>
      <c r="E320" s="152" t="str">
        <f>IFERROR(__xludf.DUMMYFUNCTION("REGEXREPLACE(D320, ""https://odysia-cruise-uk.client.prod.eu-west.dreamlake.io"", """")"),"/cruise-lines/norwegian-cruise-line/norwegian-encore/cruises")</f>
        <v>/cruise-lines/norwegian-cruise-line/norwegian-encore/cruises</v>
      </c>
    </row>
    <row r="321">
      <c r="A321" s="154" t="s">
        <v>825</v>
      </c>
      <c r="B321" s="152" t="str">
        <f>IFERROR(__xludf.DUMMYFUNCTION("REGEXREPLACE(A321, ""&lt;loc&gt;"", """")"),"https://odysia-cruise-uk.client.prod.eu-west.dreamlake.io/cruise-lines/royal-caribbean/utopia-of-the-seas&lt;/loc&gt;")</f>
        <v>https://odysia-cruise-uk.client.prod.eu-west.dreamlake.io/cruise-lines/royal-caribbean/utopia-of-the-seas&lt;/loc&gt;</v>
      </c>
      <c r="C321" s="153" t="str">
        <f>IFERROR(__xludf.DUMMYFUNCTION("REGEXREPLACE(B321, ""&lt;/loc&gt;"", """")"),"https://odysia-cruise-uk.client.prod.eu-west.dreamlake.io/cruise-lines/royal-caribbean/utopia-of-the-seas")</f>
        <v>https://odysia-cruise-uk.client.prod.eu-west.dreamlake.io/cruise-lines/royal-caribbean/utopia-of-the-seas</v>
      </c>
      <c r="D321" s="152" t="s">
        <v>826</v>
      </c>
      <c r="E321" s="152" t="str">
        <f>IFERROR(__xludf.DUMMYFUNCTION("REGEXREPLACE(D321, ""https://odysia-cruise-uk.client.prod.eu-west.dreamlake.io"", """")"),"/cruise-lines/royal-caribbean/utopia-of-the-seas")</f>
        <v>/cruise-lines/royal-caribbean/utopia-of-the-seas</v>
      </c>
    </row>
    <row r="322">
      <c r="A322" s="154" t="s">
        <v>827</v>
      </c>
      <c r="B322" s="152" t="str">
        <f>IFERROR(__xludf.DUMMYFUNCTION("REGEXREPLACE(A322, ""&lt;loc&gt;"", """")"),"https://odysia-cruise-uk.client.prod.eu-west.dreamlake.io/cruise-lines/holland-america-line/volendam&lt;/loc&gt;")</f>
        <v>https://odysia-cruise-uk.client.prod.eu-west.dreamlake.io/cruise-lines/holland-america-line/volendam&lt;/loc&gt;</v>
      </c>
      <c r="C322" s="153" t="str">
        <f>IFERROR(__xludf.DUMMYFUNCTION("REGEXREPLACE(B322, ""&lt;/loc&gt;"", """")"),"https://odysia-cruise-uk.client.prod.eu-west.dreamlake.io/cruise-lines/holland-america-line/volendam")</f>
        <v>https://odysia-cruise-uk.client.prod.eu-west.dreamlake.io/cruise-lines/holland-america-line/volendam</v>
      </c>
      <c r="D322" s="152" t="s">
        <v>828</v>
      </c>
      <c r="E322" s="152" t="str">
        <f>IFERROR(__xludf.DUMMYFUNCTION("REGEXREPLACE(D322, ""https://odysia-cruise-uk.client.prod.eu-west.dreamlake.io"", """")"),"/cruise-lines/holland-america-line/volendam")</f>
        <v>/cruise-lines/holland-america-line/volendam</v>
      </c>
    </row>
    <row r="323">
      <c r="A323" s="154" t="s">
        <v>829</v>
      </c>
      <c r="B323" s="152" t="str">
        <f>IFERROR(__xludf.DUMMYFUNCTION("REGEXREPLACE(A323, ""&lt;loc&gt;"", """")"),"https://odysia-cruise-uk.client.prod.eu-west.dreamlake.io/cruise-deals/cruises-from-liverpool&lt;/loc&gt;")</f>
        <v>https://odysia-cruise-uk.client.prod.eu-west.dreamlake.io/cruise-deals/cruises-from-liverpool&lt;/loc&gt;</v>
      </c>
      <c r="C323" s="153" t="str">
        <f>IFERROR(__xludf.DUMMYFUNCTION("REGEXREPLACE(B323, ""&lt;/loc&gt;"", """")"),"https://odysia-cruise-uk.client.prod.eu-west.dreamlake.io/cruise-deals/cruises-from-liverpool")</f>
        <v>https://odysia-cruise-uk.client.prod.eu-west.dreamlake.io/cruise-deals/cruises-from-liverpool</v>
      </c>
      <c r="D323" s="152" t="s">
        <v>830</v>
      </c>
    </row>
    <row r="324">
      <c r="A324" s="154" t="s">
        <v>831</v>
      </c>
      <c r="B324" s="152" t="str">
        <f>IFERROR(__xludf.DUMMYFUNCTION("REGEXREPLACE(A324, ""&lt;loc&gt;"", """")"),"https://odysia-cruise-uk.client.prod.eu-west.dreamlake.io/cruise-lines/royal-caribbean/rhapsody-of-the-seas&lt;/loc&gt;")</f>
        <v>https://odysia-cruise-uk.client.prod.eu-west.dreamlake.io/cruise-lines/royal-caribbean/rhapsody-of-the-seas&lt;/loc&gt;</v>
      </c>
      <c r="C324" s="153" t="str">
        <f>IFERROR(__xludf.DUMMYFUNCTION("REGEXREPLACE(B324, ""&lt;/loc&gt;"", """")"),"https://odysia-cruise-uk.client.prod.eu-west.dreamlake.io/cruise-lines/royal-caribbean/rhapsody-of-the-seas")</f>
        <v>https://odysia-cruise-uk.client.prod.eu-west.dreamlake.io/cruise-lines/royal-caribbean/rhapsody-of-the-seas</v>
      </c>
      <c r="D324" s="152" t="s">
        <v>832</v>
      </c>
      <c r="E324" s="152" t="str">
        <f>IFERROR(__xludf.DUMMYFUNCTION("REGEXREPLACE(D324, ""https://odysia-cruise-uk.client.prod.eu-west.dreamlake.io"", """")"),"/cruise-lines/royal-caribbean/rhapsody-of-the-seas")</f>
        <v>/cruise-lines/royal-caribbean/rhapsody-of-the-seas</v>
      </c>
    </row>
    <row r="325">
      <c r="A325" s="154" t="s">
        <v>833</v>
      </c>
      <c r="B325" s="152" t="str">
        <f>IFERROR(__xludf.DUMMYFUNCTION("REGEXREPLACE(A325, ""&lt;loc&gt;"", """")"),"https://odysia-cruise-uk.client.prod.eu-west.dreamlake.io/cruise-lines/po-cruises/arcadia/cruises&lt;/loc&gt;")</f>
        <v>https://odysia-cruise-uk.client.prod.eu-west.dreamlake.io/cruise-lines/po-cruises/arcadia/cruises&lt;/loc&gt;</v>
      </c>
      <c r="C325" s="153" t="str">
        <f>IFERROR(__xludf.DUMMYFUNCTION("REGEXREPLACE(B325, ""&lt;/loc&gt;"", """")"),"https://odysia-cruise-uk.client.prod.eu-west.dreamlake.io/cruise-lines/po-cruises/arcadia/cruises")</f>
        <v>https://odysia-cruise-uk.client.prod.eu-west.dreamlake.io/cruise-lines/po-cruises/arcadia/cruises</v>
      </c>
      <c r="D325" s="152" t="s">
        <v>834</v>
      </c>
      <c r="E325" s="152" t="str">
        <f>IFERROR(__xludf.DUMMYFUNCTION("REGEXREPLACE(D325, ""https://odysia-cruise-uk.client.prod.eu-west.dreamlake.io"", """")"),"/cruise-lines/po-cruises/arcadia/cruises")</f>
        <v>/cruise-lines/po-cruises/arcadia/cruises</v>
      </c>
    </row>
    <row r="326">
      <c r="A326" s="154" t="s">
        <v>835</v>
      </c>
      <c r="B326" s="152" t="str">
        <f>IFERROR(__xludf.DUMMYFUNCTION("REGEXREPLACE(A326, ""&lt;loc&gt;"", """")"),"https://odysia-cruise-uk.client.prod.eu-west.dreamlake.io/cruise-lines/oceania-cruises/oceania-vista/cruises&lt;/loc&gt;")</f>
        <v>https://odysia-cruise-uk.client.prod.eu-west.dreamlake.io/cruise-lines/oceania-cruises/oceania-vista/cruises&lt;/loc&gt;</v>
      </c>
      <c r="C326" s="153" t="str">
        <f>IFERROR(__xludf.DUMMYFUNCTION("REGEXREPLACE(B326, ""&lt;/loc&gt;"", """")"),"https://odysia-cruise-uk.client.prod.eu-west.dreamlake.io/cruise-lines/oceania-cruises/oceania-vista/cruises")</f>
        <v>https://odysia-cruise-uk.client.prod.eu-west.dreamlake.io/cruise-lines/oceania-cruises/oceania-vista/cruises</v>
      </c>
      <c r="D326" s="152" t="s">
        <v>836</v>
      </c>
      <c r="E326" s="152" t="str">
        <f>IFERROR(__xludf.DUMMYFUNCTION("REGEXREPLACE(D326, ""https://odysia-cruise-uk.client.prod.eu-west.dreamlake.io"", """")"),"/cruise-lines/oceania-cruises/oceania-vista/cruises")</f>
        <v>/cruise-lines/oceania-cruises/oceania-vista/cruises</v>
      </c>
    </row>
    <row r="327">
      <c r="A327" s="154" t="s">
        <v>837</v>
      </c>
      <c r="B327" s="152" t="str">
        <f>IFERROR(__xludf.DUMMYFUNCTION("REGEXREPLACE(A327, ""&lt;loc&gt;"", """")"),"https://odysia-cruise-uk.client.prod.eu-west.dreamlake.io/cruise-lines/seabourn/seabourn-quest/cruises&lt;/loc&gt;")</f>
        <v>https://odysia-cruise-uk.client.prod.eu-west.dreamlake.io/cruise-lines/seabourn/seabourn-quest/cruises&lt;/loc&gt;</v>
      </c>
      <c r="C327" s="153" t="str">
        <f>IFERROR(__xludf.DUMMYFUNCTION("REGEXREPLACE(B327, ""&lt;/loc&gt;"", """")"),"https://odysia-cruise-uk.client.prod.eu-west.dreamlake.io/cruise-lines/seabourn/seabourn-quest/cruises")</f>
        <v>https://odysia-cruise-uk.client.prod.eu-west.dreamlake.io/cruise-lines/seabourn/seabourn-quest/cruises</v>
      </c>
      <c r="D327" s="152" t="s">
        <v>838</v>
      </c>
      <c r="E327" s="152" t="str">
        <f>IFERROR(__xludf.DUMMYFUNCTION("REGEXREPLACE(D327, ""https://odysia-cruise-uk.client.prod.eu-west.dreamlake.io"", """")"),"/cruise-lines/seabourn/seabourn-quest/cruises")</f>
        <v>/cruise-lines/seabourn/seabourn-quest/cruises</v>
      </c>
    </row>
    <row r="328">
      <c r="A328" s="154" t="s">
        <v>839</v>
      </c>
      <c r="B328" s="152" t="str">
        <f>IFERROR(__xludf.DUMMYFUNCTION("REGEXREPLACE(A328, ""&lt;loc&gt;"", """")"),"https://odysia-cruise-uk.client.prod.eu-west.dreamlake.io/cruise-calendar/caribbean-cruise-dates&lt;/loc&gt;")</f>
        <v>https://odysia-cruise-uk.client.prod.eu-west.dreamlake.io/cruise-calendar/caribbean-cruise-dates&lt;/loc&gt;</v>
      </c>
      <c r="C328" s="153" t="str">
        <f>IFERROR(__xludf.DUMMYFUNCTION("REGEXREPLACE(B328, ""&lt;/loc&gt;"", """")"),"https://odysia-cruise-uk.client.prod.eu-west.dreamlake.io/cruise-calendar/caribbean-cruise-dates")</f>
        <v>https://odysia-cruise-uk.client.prod.eu-west.dreamlake.io/cruise-calendar/caribbean-cruise-dates</v>
      </c>
    </row>
    <row r="329">
      <c r="A329" s="154" t="s">
        <v>840</v>
      </c>
      <c r="B329" s="152" t="str">
        <f>IFERROR(__xludf.DUMMYFUNCTION("REGEXREPLACE(A329, ""&lt;loc&gt;"", """")"),"https://odysia-cruise-uk.client.prod.eu-west.dreamlake.io/cruise-lines/msc-cruises/msc-sinfonia&lt;/loc&gt;")</f>
        <v>https://odysia-cruise-uk.client.prod.eu-west.dreamlake.io/cruise-lines/msc-cruises/msc-sinfonia&lt;/loc&gt;</v>
      </c>
      <c r="C329" s="153" t="str">
        <f>IFERROR(__xludf.DUMMYFUNCTION("REGEXREPLACE(B329, ""&lt;/loc&gt;"", """")"),"https://odysia-cruise-uk.client.prod.eu-west.dreamlake.io/cruise-lines/msc-cruises/msc-sinfonia")</f>
        <v>https://odysia-cruise-uk.client.prod.eu-west.dreamlake.io/cruise-lines/msc-cruises/msc-sinfonia</v>
      </c>
      <c r="D329" s="152" t="s">
        <v>841</v>
      </c>
      <c r="E329" s="152" t="str">
        <f>IFERROR(__xludf.DUMMYFUNCTION("REGEXREPLACE(D329, ""https://odysia-cruise-uk.client.prod.eu-west.dreamlake.io"", """")"),"/cruise-lines/msc-cruises/msc-sinfonia")</f>
        <v>/cruise-lines/msc-cruises/msc-sinfonia</v>
      </c>
    </row>
    <row r="330">
      <c r="A330" s="154" t="s">
        <v>842</v>
      </c>
      <c r="B330" s="152" t="str">
        <f>IFERROR(__xludf.DUMMYFUNCTION("REGEXREPLACE(A330, ""&lt;loc&gt;"", """")"),"https://odysia-cruise-uk.client.prod.eu-west.dreamlake.io/cruise-lines/seabourn/seabourn-sojourn/cruises&lt;/loc&gt;")</f>
        <v>https://odysia-cruise-uk.client.prod.eu-west.dreamlake.io/cruise-lines/seabourn/seabourn-sojourn/cruises&lt;/loc&gt;</v>
      </c>
      <c r="C330" s="153" t="str">
        <f>IFERROR(__xludf.DUMMYFUNCTION("REGEXREPLACE(B330, ""&lt;/loc&gt;"", """")"),"https://odysia-cruise-uk.client.prod.eu-west.dreamlake.io/cruise-lines/seabourn/seabourn-sojourn/cruises")</f>
        <v>https://odysia-cruise-uk.client.prod.eu-west.dreamlake.io/cruise-lines/seabourn/seabourn-sojourn/cruises</v>
      </c>
      <c r="D330" s="152" t="s">
        <v>843</v>
      </c>
      <c r="E330" s="152" t="str">
        <f>IFERROR(__xludf.DUMMYFUNCTION("REGEXREPLACE(D330, ""https://odysia-cruise-uk.client.prod.eu-west.dreamlake.io"", """")"),"/cruise-lines/seabourn/seabourn-sojourn/cruises")</f>
        <v>/cruise-lines/seabourn/seabourn-sojourn/cruises</v>
      </c>
    </row>
    <row r="331">
      <c r="A331" s="154" t="s">
        <v>844</v>
      </c>
      <c r="B331" s="152" t="str">
        <f>IFERROR(__xludf.DUMMYFUNCTION("REGEXREPLACE(A331, ""&lt;loc&gt;"", """")"),"https://odysia-cruise-uk.client.prod.eu-west.dreamlake.io/cruise-lines/norwegian-cruise-line/norwegian-star&lt;/loc&gt;")</f>
        <v>https://odysia-cruise-uk.client.prod.eu-west.dreamlake.io/cruise-lines/norwegian-cruise-line/norwegian-star&lt;/loc&gt;</v>
      </c>
      <c r="C331" s="153" t="str">
        <f>IFERROR(__xludf.DUMMYFUNCTION("REGEXREPLACE(B331, ""&lt;/loc&gt;"", """")"),"https://odysia-cruise-uk.client.prod.eu-west.dreamlake.io/cruise-lines/norwegian-cruise-line/norwegian-star")</f>
        <v>https://odysia-cruise-uk.client.prod.eu-west.dreamlake.io/cruise-lines/norwegian-cruise-line/norwegian-star</v>
      </c>
      <c r="D331" s="152" t="s">
        <v>845</v>
      </c>
      <c r="E331" s="152" t="str">
        <f>IFERROR(__xludf.DUMMYFUNCTION("REGEXREPLACE(D331, ""https://odysia-cruise-uk.client.prod.eu-west.dreamlake.io"", """")"),"/cruise-lines/norwegian-cruise-line/norwegian-star")</f>
        <v>/cruise-lines/norwegian-cruise-line/norwegian-star</v>
      </c>
    </row>
    <row r="332">
      <c r="A332" s="154" t="s">
        <v>846</v>
      </c>
      <c r="B332" s="152" t="str">
        <f>IFERROR(__xludf.DUMMYFUNCTION("REGEXREPLACE(A332, ""&lt;loc&gt;"", """")"),"https://odysia-cruise-uk.client.prod.eu-west.dreamlake.io/cruise-lines/royal-caribbean/legend-of-the-seas&lt;/loc&gt;")</f>
        <v>https://odysia-cruise-uk.client.prod.eu-west.dreamlake.io/cruise-lines/royal-caribbean/legend-of-the-seas&lt;/loc&gt;</v>
      </c>
      <c r="C332" s="153" t="str">
        <f>IFERROR(__xludf.DUMMYFUNCTION("REGEXREPLACE(B332, ""&lt;/loc&gt;"", """")"),"https://odysia-cruise-uk.client.prod.eu-west.dreamlake.io/cruise-lines/royal-caribbean/legend-of-the-seas")</f>
        <v>https://odysia-cruise-uk.client.prod.eu-west.dreamlake.io/cruise-lines/royal-caribbean/legend-of-the-seas</v>
      </c>
      <c r="D332" s="152" t="s">
        <v>847</v>
      </c>
      <c r="E332" s="152" t="str">
        <f>IFERROR(__xludf.DUMMYFUNCTION("REGEXREPLACE(D332, ""https://odysia-cruise-uk.client.prod.eu-west.dreamlake.io"", """")"),"/cruise-lines/royal-caribbean/legend-of-the-seas")</f>
        <v>/cruise-lines/royal-caribbean/legend-of-the-seas</v>
      </c>
    </row>
    <row r="333">
      <c r="A333" s="154" t="s">
        <v>848</v>
      </c>
      <c r="B333" s="152" t="str">
        <f>IFERROR(__xludf.DUMMYFUNCTION("REGEXREPLACE(A333, ""&lt;loc&gt;"", """")"),"https://odysia-cruise-uk.client.prod.eu-west.dreamlake.io/cruise-lines/msc-cruises/msc-opera&lt;/loc&gt;")</f>
        <v>https://odysia-cruise-uk.client.prod.eu-west.dreamlake.io/cruise-lines/msc-cruises/msc-opera&lt;/loc&gt;</v>
      </c>
      <c r="C333" s="153" t="str">
        <f>IFERROR(__xludf.DUMMYFUNCTION("REGEXREPLACE(B333, ""&lt;/loc&gt;"", """")"),"https://odysia-cruise-uk.client.prod.eu-west.dreamlake.io/cruise-lines/msc-cruises/msc-opera")</f>
        <v>https://odysia-cruise-uk.client.prod.eu-west.dreamlake.io/cruise-lines/msc-cruises/msc-opera</v>
      </c>
      <c r="D333" s="152" t="s">
        <v>849</v>
      </c>
      <c r="E333" s="152" t="str">
        <f>IFERROR(__xludf.DUMMYFUNCTION("REGEXREPLACE(D333, ""https://odysia-cruise-uk.client.prod.eu-west.dreamlake.io"", """")"),"/cruise-lines/msc-cruises/msc-opera")</f>
        <v>/cruise-lines/msc-cruises/msc-opera</v>
      </c>
    </row>
    <row r="334">
      <c r="A334" s="154" t="s">
        <v>850</v>
      </c>
      <c r="B334" s="152" t="str">
        <f>IFERROR(__xludf.DUMMYFUNCTION("REGEXREPLACE(A334, ""&lt;loc&gt;"", """")"),"https://odysia-cruise-uk.client.prod.eu-west.dreamlake.io/cruise-lines/ambassador-cruise-line/ambition/cruises&lt;/loc&gt;")</f>
        <v>https://odysia-cruise-uk.client.prod.eu-west.dreamlake.io/cruise-lines/ambassador-cruise-line/ambition/cruises&lt;/loc&gt;</v>
      </c>
      <c r="C334" s="153" t="str">
        <f>IFERROR(__xludf.DUMMYFUNCTION("REGEXREPLACE(B334, ""&lt;/loc&gt;"", """")"),"https://odysia-cruise-uk.client.prod.eu-west.dreamlake.io/cruise-lines/ambassador-cruise-line/ambition/cruises")</f>
        <v>https://odysia-cruise-uk.client.prod.eu-west.dreamlake.io/cruise-lines/ambassador-cruise-line/ambition/cruises</v>
      </c>
      <c r="D334" s="152" t="s">
        <v>851</v>
      </c>
      <c r="E334" s="152" t="str">
        <f>IFERROR(__xludf.DUMMYFUNCTION("REGEXREPLACE(D334, ""https://odysia-cruise-uk.client.prod.eu-west.dreamlake.io"", """")"),"/cruise-lines/ambassador-cruise-line/ambition/cruises")</f>
        <v>/cruise-lines/ambassador-cruise-line/ambition/cruises</v>
      </c>
    </row>
    <row r="335">
      <c r="A335" s="154" t="s">
        <v>852</v>
      </c>
      <c r="B335" s="152" t="str">
        <f>IFERROR(__xludf.DUMMYFUNCTION("REGEXREPLACE(A335, ""&lt;loc&gt;"", """")"),"https://odysia-cruise-uk.client.prod.eu-west.dreamlake.io/cruise-lines/princess-cruises/ruby-princess/cruises&lt;/loc&gt;")</f>
        <v>https://odysia-cruise-uk.client.prod.eu-west.dreamlake.io/cruise-lines/princess-cruises/ruby-princess/cruises&lt;/loc&gt;</v>
      </c>
      <c r="C335" s="153" t="str">
        <f>IFERROR(__xludf.DUMMYFUNCTION("REGEXREPLACE(B335, ""&lt;/loc&gt;"", """")"),"https://odysia-cruise-uk.client.prod.eu-west.dreamlake.io/cruise-lines/princess-cruises/ruby-princess/cruises")</f>
        <v>https://odysia-cruise-uk.client.prod.eu-west.dreamlake.io/cruise-lines/princess-cruises/ruby-princess/cruises</v>
      </c>
      <c r="D335" s="152" t="s">
        <v>853</v>
      </c>
      <c r="E335" s="152" t="str">
        <f>IFERROR(__xludf.DUMMYFUNCTION("REGEXREPLACE(D335, ""https://odysia-cruise-uk.client.prod.eu-west.dreamlake.io"", """")"),"/cruise-lines/princess-cruises/ruby-princess/cruises")</f>
        <v>/cruise-lines/princess-cruises/ruby-princess/cruises</v>
      </c>
    </row>
    <row r="336">
      <c r="A336" s="154" t="s">
        <v>854</v>
      </c>
      <c r="B336" s="152" t="str">
        <f>IFERROR(__xludf.DUMMYFUNCTION("REGEXREPLACE(A336, ""&lt;loc&gt;"", """")"),"https://odysia-cruise-uk.client.prod.eu-west.dreamlake.io/cruises&lt;/loc&gt;")</f>
        <v>https://odysia-cruise-uk.client.prod.eu-west.dreamlake.io/cruises&lt;/loc&gt;</v>
      </c>
      <c r="C336" s="153" t="str">
        <f>IFERROR(__xludf.DUMMYFUNCTION("REGEXREPLACE(B336, ""&lt;/loc&gt;"", """")"),"https://odysia-cruise-uk.client.prod.eu-west.dreamlake.io/cruises")</f>
        <v>https://odysia-cruise-uk.client.prod.eu-west.dreamlake.io/cruises</v>
      </c>
    </row>
    <row r="337">
      <c r="A337" s="154" t="s">
        <v>855</v>
      </c>
      <c r="B337" s="152" t="str">
        <f>IFERROR(__xludf.DUMMYFUNCTION("REGEXREPLACE(A337, ""&lt;loc&gt;"", """")"),"https://odysia-cruise-uk.client.prod.eu-west.dreamlake.io/cruise-lines/cunard/queen-mary-2&lt;/loc&gt;")</f>
        <v>https://odysia-cruise-uk.client.prod.eu-west.dreamlake.io/cruise-lines/cunard/queen-mary-2&lt;/loc&gt;</v>
      </c>
      <c r="C337" s="153" t="str">
        <f>IFERROR(__xludf.DUMMYFUNCTION("REGEXREPLACE(B337, ""&lt;/loc&gt;"", """")"),"https://odysia-cruise-uk.client.prod.eu-west.dreamlake.io/cruise-lines/cunard/queen-mary-2")</f>
        <v>https://odysia-cruise-uk.client.prod.eu-west.dreamlake.io/cruise-lines/cunard/queen-mary-2</v>
      </c>
      <c r="D337" s="152" t="s">
        <v>856</v>
      </c>
      <c r="E337" s="152" t="str">
        <f>IFERROR(__xludf.DUMMYFUNCTION("REGEXREPLACE(D337, ""https://odysia-cruise-uk.client.prod.eu-west.dreamlake.io"", """")"),"/cruise-lines/cunard/queen-mary-2")</f>
        <v>/cruise-lines/cunard/queen-mary-2</v>
      </c>
    </row>
    <row r="338">
      <c r="A338" s="154" t="s">
        <v>857</v>
      </c>
      <c r="B338" s="152" t="str">
        <f>IFERROR(__xludf.DUMMYFUNCTION("REGEXREPLACE(A338, ""&lt;loc&gt;"", """")"),"https://odysia-cruise-uk.client.prod.eu-west.dreamlake.io/cruise-lines/fred-olsen-cruises/bolette&lt;/loc&gt;")</f>
        <v>https://odysia-cruise-uk.client.prod.eu-west.dreamlake.io/cruise-lines/fred-olsen-cruises/bolette&lt;/loc&gt;</v>
      </c>
      <c r="C338" s="153" t="str">
        <f>IFERROR(__xludf.DUMMYFUNCTION("REGEXREPLACE(B338, ""&lt;/loc&gt;"", """")"),"https://odysia-cruise-uk.client.prod.eu-west.dreamlake.io/cruise-lines/fred-olsen-cruises/bolette")</f>
        <v>https://odysia-cruise-uk.client.prod.eu-west.dreamlake.io/cruise-lines/fred-olsen-cruises/bolette</v>
      </c>
      <c r="D338" s="152" t="s">
        <v>858</v>
      </c>
      <c r="E338" s="152" t="str">
        <f>IFERROR(__xludf.DUMMYFUNCTION("REGEXREPLACE(D338, ""https://odysia-cruise-uk.client.prod.eu-west.dreamlake.io"", """")"),"/cruise-lines/fred-olsen-cruises/bolette")</f>
        <v>/cruise-lines/fred-olsen-cruises/bolette</v>
      </c>
    </row>
    <row r="339">
      <c r="A339" s="154" t="s">
        <v>859</v>
      </c>
      <c r="B339" s="152" t="str">
        <f>IFERROR(__xludf.DUMMYFUNCTION("REGEXREPLACE(A339, ""&lt;loc&gt;"", """")"),"https://odysia-cruise-uk.client.prod.eu-west.dreamlake.io/cruise-lines/norwegian-cruise-line/norwegian-spirit/cruises&lt;/loc&gt;")</f>
        <v>https://odysia-cruise-uk.client.prod.eu-west.dreamlake.io/cruise-lines/norwegian-cruise-line/norwegian-spirit/cruises&lt;/loc&gt;</v>
      </c>
      <c r="C339" s="153" t="str">
        <f>IFERROR(__xludf.DUMMYFUNCTION("REGEXREPLACE(B339, ""&lt;/loc&gt;"", """")"),"https://odysia-cruise-uk.client.prod.eu-west.dreamlake.io/cruise-lines/norwegian-cruise-line/norwegian-spirit/cruises")</f>
        <v>https://odysia-cruise-uk.client.prod.eu-west.dreamlake.io/cruise-lines/norwegian-cruise-line/norwegian-spirit/cruises</v>
      </c>
      <c r="D339" s="152" t="s">
        <v>860</v>
      </c>
      <c r="E339" s="152" t="str">
        <f>IFERROR(__xludf.DUMMYFUNCTION("REGEXREPLACE(D339, ""https://odysia-cruise-uk.client.prod.eu-west.dreamlake.io"", """")"),"/cruise-lines/norwegian-cruise-line/norwegian-spirit/cruises")</f>
        <v>/cruise-lines/norwegian-cruise-line/norwegian-spirit/cruises</v>
      </c>
    </row>
    <row r="340">
      <c r="A340" s="154" t="s">
        <v>861</v>
      </c>
      <c r="B340" s="152" t="str">
        <f>IFERROR(__xludf.DUMMYFUNCTION("REGEXREPLACE(A340, ""&lt;loc&gt;"", """")"),"https://odysia-cruise-uk.client.prod.eu-west.dreamlake.io/cruise-lines/royal-caribbean/grandeur-of-the-seas&lt;/loc&gt;")</f>
        <v>https://odysia-cruise-uk.client.prod.eu-west.dreamlake.io/cruise-lines/royal-caribbean/grandeur-of-the-seas&lt;/loc&gt;</v>
      </c>
      <c r="C340" s="153" t="str">
        <f>IFERROR(__xludf.DUMMYFUNCTION("REGEXREPLACE(B340, ""&lt;/loc&gt;"", """")"),"https://odysia-cruise-uk.client.prod.eu-west.dreamlake.io/cruise-lines/royal-caribbean/grandeur-of-the-seas")</f>
        <v>https://odysia-cruise-uk.client.prod.eu-west.dreamlake.io/cruise-lines/royal-caribbean/grandeur-of-the-seas</v>
      </c>
      <c r="D340" s="152" t="s">
        <v>862</v>
      </c>
      <c r="E340" s="152" t="str">
        <f>IFERROR(__xludf.DUMMYFUNCTION("REGEXREPLACE(D340, ""https://odysia-cruise-uk.client.prod.eu-west.dreamlake.io"", """")"),"/cruise-lines/royal-caribbean/grandeur-of-the-seas")</f>
        <v>/cruise-lines/royal-caribbean/grandeur-of-the-seas</v>
      </c>
    </row>
    <row r="341">
      <c r="A341" s="154" t="s">
        <v>863</v>
      </c>
      <c r="B341" s="152" t="str">
        <f>IFERROR(__xludf.DUMMYFUNCTION("REGEXREPLACE(A341, ""&lt;loc&gt;"", """")"),"https://odysia-cruise-uk.client.prod.eu-west.dreamlake.io/destinations/central-south-america-cruises&lt;/loc&gt;")</f>
        <v>https://odysia-cruise-uk.client.prod.eu-west.dreamlake.io/destinations/central-south-america-cruises&lt;/loc&gt;</v>
      </c>
      <c r="C341" s="153" t="str">
        <f>IFERROR(__xludf.DUMMYFUNCTION("REGEXREPLACE(B341, ""&lt;/loc&gt;"", """")"),"https://odysia-cruise-uk.client.prod.eu-west.dreamlake.io/destinations/central-south-america-cruises")</f>
        <v>https://odysia-cruise-uk.client.prod.eu-west.dreamlake.io/destinations/central-south-america-cruises</v>
      </c>
    </row>
    <row r="342">
      <c r="A342" s="154" t="s">
        <v>864</v>
      </c>
      <c r="B342" s="152" t="str">
        <f>IFERROR(__xludf.DUMMYFUNCTION("REGEXREPLACE(A342, ""&lt;loc&gt;"", """")"),"https://odysia-cruise-uk.client.prod.eu-west.dreamlake.io/cruise-lines/norwegian-cruise-line/norwegian-jewel/cruises&lt;/loc&gt;")</f>
        <v>https://odysia-cruise-uk.client.prod.eu-west.dreamlake.io/cruise-lines/norwegian-cruise-line/norwegian-jewel/cruises&lt;/loc&gt;</v>
      </c>
      <c r="C342" s="153" t="str">
        <f>IFERROR(__xludf.DUMMYFUNCTION("REGEXREPLACE(B342, ""&lt;/loc&gt;"", """")"),"https://odysia-cruise-uk.client.prod.eu-west.dreamlake.io/cruise-lines/norwegian-cruise-line/norwegian-jewel/cruises")</f>
        <v>https://odysia-cruise-uk.client.prod.eu-west.dreamlake.io/cruise-lines/norwegian-cruise-line/norwegian-jewel/cruises</v>
      </c>
      <c r="D342" s="152" t="s">
        <v>865</v>
      </c>
      <c r="E342" s="152" t="str">
        <f>IFERROR(__xludf.DUMMYFUNCTION("REGEXREPLACE(D342, ""https://odysia-cruise-uk.client.prod.eu-west.dreamlake.io"", """")"),"/cruise-lines/norwegian-cruise-line/norwegian-jewel/cruises")</f>
        <v>/cruise-lines/norwegian-cruise-line/norwegian-jewel/cruises</v>
      </c>
    </row>
    <row r="343">
      <c r="A343" s="154" t="s">
        <v>866</v>
      </c>
      <c r="B343" s="152" t="str">
        <f>IFERROR(__xludf.DUMMYFUNCTION("REGEXREPLACE(A343, ""&lt;loc&gt;"", """")"),"https://odysia-cruise-uk.client.prod.eu-west.dreamlake.io/cruise-lines/regent-seven-seas-cruises/seven-seas-voyager&lt;/loc&gt;")</f>
        <v>https://odysia-cruise-uk.client.prod.eu-west.dreamlake.io/cruise-lines/regent-seven-seas-cruises/seven-seas-voyager&lt;/loc&gt;</v>
      </c>
      <c r="C343" s="153" t="str">
        <f>IFERROR(__xludf.DUMMYFUNCTION("REGEXREPLACE(B343, ""&lt;/loc&gt;"", """")"),"https://odysia-cruise-uk.client.prod.eu-west.dreamlake.io/cruise-lines/regent-seven-seas-cruises/seven-seas-voyager")</f>
        <v>https://odysia-cruise-uk.client.prod.eu-west.dreamlake.io/cruise-lines/regent-seven-seas-cruises/seven-seas-voyager</v>
      </c>
      <c r="D343" s="152" t="s">
        <v>867</v>
      </c>
      <c r="E343" s="152" t="str">
        <f>IFERROR(__xludf.DUMMYFUNCTION("REGEXREPLACE(D343, ""https://odysia-cruise-uk.client.prod.eu-west.dreamlake.io"", """")"),"/cruise-lines/regent-seven-seas-cruises/seven-seas-voyager")</f>
        <v>/cruise-lines/regent-seven-seas-cruises/seven-seas-voyager</v>
      </c>
    </row>
    <row r="344">
      <c r="A344" s="154" t="s">
        <v>868</v>
      </c>
      <c r="B344" s="152" t="str">
        <f>IFERROR(__xludf.DUMMYFUNCTION("REGEXREPLACE(A344, ""&lt;loc&gt;"", """")"),"https://odysia-cruise-uk.client.prod.eu-west.dreamlake.io/cruise-lines/msc-cruises/msc-meraviglia&lt;/loc&gt;")</f>
        <v>https://odysia-cruise-uk.client.prod.eu-west.dreamlake.io/cruise-lines/msc-cruises/msc-meraviglia&lt;/loc&gt;</v>
      </c>
      <c r="C344" s="153" t="str">
        <f>IFERROR(__xludf.DUMMYFUNCTION("REGEXREPLACE(B344, ""&lt;/loc&gt;"", """")"),"https://odysia-cruise-uk.client.prod.eu-west.dreamlake.io/cruise-lines/msc-cruises/msc-meraviglia")</f>
        <v>https://odysia-cruise-uk.client.prod.eu-west.dreamlake.io/cruise-lines/msc-cruises/msc-meraviglia</v>
      </c>
      <c r="D344" s="152" t="s">
        <v>869</v>
      </c>
      <c r="E344" s="152" t="str">
        <f>IFERROR(__xludf.DUMMYFUNCTION("REGEXREPLACE(D344, ""https://odysia-cruise-uk.client.prod.eu-west.dreamlake.io"", """")"),"/cruise-lines/msc-cruises/msc-meraviglia")</f>
        <v>/cruise-lines/msc-cruises/msc-meraviglia</v>
      </c>
    </row>
    <row r="345">
      <c r="A345" s="154" t="s">
        <v>870</v>
      </c>
      <c r="B345" s="152" t="str">
        <f>IFERROR(__xludf.DUMMYFUNCTION("REGEXREPLACE(A345, ""&lt;loc&gt;"", """")"),"https://odysia-cruise-uk.client.prod.eu-west.dreamlake.io/destinations/middle-east-cruises&lt;/loc&gt;")</f>
        <v>https://odysia-cruise-uk.client.prod.eu-west.dreamlake.io/destinations/middle-east-cruises&lt;/loc&gt;</v>
      </c>
      <c r="C345" s="153" t="str">
        <f>IFERROR(__xludf.DUMMYFUNCTION("REGEXREPLACE(B345, ""&lt;/loc&gt;"", """")"),"https://odysia-cruise-uk.client.prod.eu-west.dreamlake.io/destinations/middle-east-cruises")</f>
        <v>https://odysia-cruise-uk.client.prod.eu-west.dreamlake.io/destinations/middle-east-cruises</v>
      </c>
    </row>
    <row r="346">
      <c r="A346" s="154" t="s">
        <v>871</v>
      </c>
      <c r="B346" s="152" t="str">
        <f>IFERROR(__xludf.DUMMYFUNCTION("REGEXREPLACE(A346, ""&lt;loc&gt;"", """")"),"https://odysia-cruise-uk.client.prod.eu-west.dreamlake.io/cruise-lines/norwegian-cruise-line/norwegian-sky&lt;/loc&gt;")</f>
        <v>https://odysia-cruise-uk.client.prod.eu-west.dreamlake.io/cruise-lines/norwegian-cruise-line/norwegian-sky&lt;/loc&gt;</v>
      </c>
      <c r="C346" s="153" t="str">
        <f>IFERROR(__xludf.DUMMYFUNCTION("REGEXREPLACE(B346, ""&lt;/loc&gt;"", """")"),"https://odysia-cruise-uk.client.prod.eu-west.dreamlake.io/cruise-lines/norwegian-cruise-line/norwegian-sky")</f>
        <v>https://odysia-cruise-uk.client.prod.eu-west.dreamlake.io/cruise-lines/norwegian-cruise-line/norwegian-sky</v>
      </c>
      <c r="D346" s="152" t="s">
        <v>872</v>
      </c>
      <c r="E346" s="152" t="str">
        <f>IFERROR(__xludf.DUMMYFUNCTION("REGEXREPLACE(D346, ""https://odysia-cruise-uk.client.prod.eu-west.dreamlake.io"", """")"),"/cruise-lines/norwegian-cruise-line/norwegian-sky")</f>
        <v>/cruise-lines/norwegian-cruise-line/norwegian-sky</v>
      </c>
    </row>
    <row r="347">
      <c r="A347" s="154" t="s">
        <v>873</v>
      </c>
      <c r="B347" s="152" t="str">
        <f>IFERROR(__xludf.DUMMYFUNCTION("REGEXREPLACE(A347, ""&lt;loc&gt;"", """")"),"https://odysia-cruise-uk.client.prod.eu-west.dreamlake.io/cruise-lines/msc-cruises/msc-orchestra/cruises&lt;/loc&gt;")</f>
        <v>https://odysia-cruise-uk.client.prod.eu-west.dreamlake.io/cruise-lines/msc-cruises/msc-orchestra/cruises&lt;/loc&gt;</v>
      </c>
      <c r="C347" s="153" t="str">
        <f>IFERROR(__xludf.DUMMYFUNCTION("REGEXREPLACE(B347, ""&lt;/loc&gt;"", """")"),"https://odysia-cruise-uk.client.prod.eu-west.dreamlake.io/cruise-lines/msc-cruises/msc-orchestra/cruises")</f>
        <v>https://odysia-cruise-uk.client.prod.eu-west.dreamlake.io/cruise-lines/msc-cruises/msc-orchestra/cruises</v>
      </c>
      <c r="D347" s="152" t="s">
        <v>874</v>
      </c>
      <c r="E347" s="152" t="str">
        <f>IFERROR(__xludf.DUMMYFUNCTION("REGEXREPLACE(D347, ""https://odysia-cruise-uk.client.prod.eu-west.dreamlake.io"", """")"),"/cruise-lines/msc-cruises/msc-orchestra/cruises")</f>
        <v>/cruise-lines/msc-cruises/msc-orchestra/cruises</v>
      </c>
    </row>
    <row r="348">
      <c r="A348" s="154" t="s">
        <v>875</v>
      </c>
      <c r="B348" s="152" t="str">
        <f>IFERROR(__xludf.DUMMYFUNCTION("REGEXREPLACE(A348, ""&lt;loc&gt;"", """")"),"https://odysia-cruise-uk.client.prod.eu-west.dreamlake.io/calendar/northern-europe-cruises&lt;/loc&gt;")</f>
        <v>https://odysia-cruise-uk.client.prod.eu-west.dreamlake.io/calendar/northern-europe-cruises&lt;/loc&gt;</v>
      </c>
      <c r="C348" s="153" t="str">
        <f>IFERROR(__xludf.DUMMYFUNCTION("REGEXREPLACE(B348, ""&lt;/loc&gt;"", """")"),"https://odysia-cruise-uk.client.prod.eu-west.dreamlake.io/calendar/northern-europe-cruises")</f>
        <v>https://odysia-cruise-uk.client.prod.eu-west.dreamlake.io/calendar/northern-europe-cruises</v>
      </c>
    </row>
    <row r="349">
      <c r="A349" s="154" t="s">
        <v>876</v>
      </c>
      <c r="B349" s="152" t="str">
        <f>IFERROR(__xludf.DUMMYFUNCTION("REGEXREPLACE(A349, ""&lt;loc&gt;"", """")"),"https://odysia-cruise-uk.client.prod.eu-west.dreamlake.io/destinations/caribbean-cruises&lt;/loc&gt;")</f>
        <v>https://odysia-cruise-uk.client.prod.eu-west.dreamlake.io/destinations/caribbean-cruises&lt;/loc&gt;</v>
      </c>
      <c r="C349" s="153" t="str">
        <f>IFERROR(__xludf.DUMMYFUNCTION("REGEXREPLACE(B349, ""&lt;/loc&gt;"", """")"),"https://odysia-cruise-uk.client.prod.eu-west.dreamlake.io/destinations/caribbean-cruises")</f>
        <v>https://odysia-cruise-uk.client.prod.eu-west.dreamlake.io/destinations/caribbean-cruises</v>
      </c>
    </row>
    <row r="350">
      <c r="A350" s="154" t="s">
        <v>877</v>
      </c>
      <c r="B350" s="152" t="str">
        <f>IFERROR(__xludf.DUMMYFUNCTION("REGEXREPLACE(A350, ""&lt;loc&gt;"", """")"),"https://odysia-cruise-uk.client.prod.eu-west.dreamlake.io/cruise-deals/last-minute-cruises&lt;/loc&gt;")</f>
        <v>https://odysia-cruise-uk.client.prod.eu-west.dreamlake.io/cruise-deals/last-minute-cruises&lt;/loc&gt;</v>
      </c>
      <c r="C350" s="153" t="str">
        <f>IFERROR(__xludf.DUMMYFUNCTION("REGEXREPLACE(B350, ""&lt;/loc&gt;"", """")"),"https://odysia-cruise-uk.client.prod.eu-west.dreamlake.io/cruise-deals/last-minute-cruises")</f>
        <v>https://odysia-cruise-uk.client.prod.eu-west.dreamlake.io/cruise-deals/last-minute-cruises</v>
      </c>
      <c r="D350" s="152" t="s">
        <v>878</v>
      </c>
    </row>
    <row r="351">
      <c r="A351" s="154" t="s">
        <v>879</v>
      </c>
      <c r="B351" s="152" t="str">
        <f>IFERROR(__xludf.DUMMYFUNCTION("REGEXREPLACE(A351, ""&lt;loc&gt;"", """")"),"https://odysia-cruise-uk.client.prod.eu-west.dreamlake.io/cruise-lines/po-cruises/ventura/cruises&lt;/loc&gt;")</f>
        <v>https://odysia-cruise-uk.client.prod.eu-west.dreamlake.io/cruise-lines/po-cruises/ventura/cruises&lt;/loc&gt;</v>
      </c>
      <c r="C351" s="153" t="str">
        <f>IFERROR(__xludf.DUMMYFUNCTION("REGEXREPLACE(B351, ""&lt;/loc&gt;"", """")"),"https://odysia-cruise-uk.client.prod.eu-west.dreamlake.io/cruise-lines/po-cruises/ventura/cruises")</f>
        <v>https://odysia-cruise-uk.client.prod.eu-west.dreamlake.io/cruise-lines/po-cruises/ventura/cruises</v>
      </c>
      <c r="D351" s="152" t="s">
        <v>880</v>
      </c>
      <c r="E351" s="152" t="str">
        <f>IFERROR(__xludf.DUMMYFUNCTION("REGEXREPLACE(D351, ""https://odysia-cruise-uk.client.prod.eu-west.dreamlake.io"", """")"),"/cruise-lines/po-cruises/ventura/cruises")</f>
        <v>/cruise-lines/po-cruises/ventura/cruises</v>
      </c>
    </row>
    <row r="352">
      <c r="A352" s="154" t="s">
        <v>881</v>
      </c>
      <c r="B352" s="152" t="str">
        <f>IFERROR(__xludf.DUMMYFUNCTION("REGEXREPLACE(A352, ""&lt;loc&gt;"", """")"),"https://odysia-cruise-uk.client.prod.eu-west.dreamlake.io/cruise-lines/norwegian-cruise-line/pride-of-america/cruises&lt;/loc&gt;")</f>
        <v>https://odysia-cruise-uk.client.prod.eu-west.dreamlake.io/cruise-lines/norwegian-cruise-line/pride-of-america/cruises&lt;/loc&gt;</v>
      </c>
      <c r="C352" s="153" t="str">
        <f>IFERROR(__xludf.DUMMYFUNCTION("REGEXREPLACE(B352, ""&lt;/loc&gt;"", """")"),"https://odysia-cruise-uk.client.prod.eu-west.dreamlake.io/cruise-lines/norwegian-cruise-line/pride-of-america/cruises")</f>
        <v>https://odysia-cruise-uk.client.prod.eu-west.dreamlake.io/cruise-lines/norwegian-cruise-line/pride-of-america/cruises</v>
      </c>
      <c r="D352" s="152" t="s">
        <v>882</v>
      </c>
      <c r="E352" s="152" t="str">
        <f>IFERROR(__xludf.DUMMYFUNCTION("REGEXREPLACE(D352, ""https://odysia-cruise-uk.client.prod.eu-west.dreamlake.io"", """")"),"/cruise-lines/norwegian-cruise-line/pride-of-america/cruises")</f>
        <v>/cruise-lines/norwegian-cruise-line/pride-of-america/cruises</v>
      </c>
    </row>
    <row r="353">
      <c r="A353" s="154" t="s">
        <v>883</v>
      </c>
      <c r="B353" s="152" t="str">
        <f>IFERROR(__xludf.DUMMYFUNCTION("REGEXREPLACE(A353, ""&lt;loc&gt;"", """")"),"https://odysia-cruise-uk.client.prod.eu-west.dreamlake.io/cruise-lines/royal-caribbean/serenade-of-the-seas/cruises&lt;/loc&gt;")</f>
        <v>https://odysia-cruise-uk.client.prod.eu-west.dreamlake.io/cruise-lines/royal-caribbean/serenade-of-the-seas/cruises&lt;/loc&gt;</v>
      </c>
      <c r="C353" s="153" t="str">
        <f>IFERROR(__xludf.DUMMYFUNCTION("REGEXREPLACE(B353, ""&lt;/loc&gt;"", """")"),"https://odysia-cruise-uk.client.prod.eu-west.dreamlake.io/cruise-lines/royal-caribbean/serenade-of-the-seas/cruises")</f>
        <v>https://odysia-cruise-uk.client.prod.eu-west.dreamlake.io/cruise-lines/royal-caribbean/serenade-of-the-seas/cruises</v>
      </c>
      <c r="D353" s="152" t="s">
        <v>884</v>
      </c>
      <c r="E353" s="152" t="str">
        <f>IFERROR(__xludf.DUMMYFUNCTION("REGEXREPLACE(D353, ""https://odysia-cruise-uk.client.prod.eu-west.dreamlake.io"", """")"),"/cruise-lines/royal-caribbean/serenade-of-the-seas/cruises")</f>
        <v>/cruise-lines/royal-caribbean/serenade-of-the-seas/cruises</v>
      </c>
    </row>
    <row r="354">
      <c r="A354" s="154" t="s">
        <v>885</v>
      </c>
      <c r="B354" s="152" t="str">
        <f>IFERROR(__xludf.DUMMYFUNCTION("REGEXREPLACE(A354, ""&lt;loc&gt;"", """")"),"https://odysia-cruise-uk.client.prod.eu-west.dreamlake.io/cruise-lines/holland-america-line/nieuw-amsterdam&lt;/loc&gt;")</f>
        <v>https://odysia-cruise-uk.client.prod.eu-west.dreamlake.io/cruise-lines/holland-america-line/nieuw-amsterdam&lt;/loc&gt;</v>
      </c>
      <c r="C354" s="153" t="str">
        <f>IFERROR(__xludf.DUMMYFUNCTION("REGEXREPLACE(B354, ""&lt;/loc&gt;"", """")"),"https://odysia-cruise-uk.client.prod.eu-west.dreamlake.io/cruise-lines/holland-america-line/nieuw-amsterdam")</f>
        <v>https://odysia-cruise-uk.client.prod.eu-west.dreamlake.io/cruise-lines/holland-america-line/nieuw-amsterdam</v>
      </c>
      <c r="D354" s="152" t="s">
        <v>886</v>
      </c>
      <c r="E354" s="152" t="str">
        <f>IFERROR(__xludf.DUMMYFUNCTION("REGEXREPLACE(D354, ""https://odysia-cruise-uk.client.prod.eu-west.dreamlake.io"", """")"),"/cruise-lines/holland-america-line/nieuw-amsterdam")</f>
        <v>/cruise-lines/holland-america-line/nieuw-amsterdam</v>
      </c>
    </row>
    <row r="355">
      <c r="A355" s="154" t="s">
        <v>887</v>
      </c>
      <c r="B355" s="152" t="str">
        <f>IFERROR(__xludf.DUMMYFUNCTION("REGEXREPLACE(A355, ""&lt;loc&gt;"", """")"),"https://odysia-cruise-uk.client.prod.eu-west.dreamlake.io/cruise-lines/norwegian-cruise-line/norwegian-luna&lt;/loc&gt;")</f>
        <v>https://odysia-cruise-uk.client.prod.eu-west.dreamlake.io/cruise-lines/norwegian-cruise-line/norwegian-luna&lt;/loc&gt;</v>
      </c>
      <c r="C355" s="153" t="str">
        <f>IFERROR(__xludf.DUMMYFUNCTION("REGEXREPLACE(B355, ""&lt;/loc&gt;"", """")"),"https://odysia-cruise-uk.client.prod.eu-west.dreamlake.io/cruise-lines/norwegian-cruise-line/norwegian-luna")</f>
        <v>https://odysia-cruise-uk.client.prod.eu-west.dreamlake.io/cruise-lines/norwegian-cruise-line/norwegian-luna</v>
      </c>
      <c r="D355" s="152" t="s">
        <v>888</v>
      </c>
      <c r="E355" s="152" t="str">
        <f>IFERROR(__xludf.DUMMYFUNCTION("REGEXREPLACE(D355, ""https://odysia-cruise-uk.client.prod.eu-west.dreamlake.io"", """")"),"/cruise-lines/norwegian-cruise-line/norwegian-luna")</f>
        <v>/cruise-lines/norwegian-cruise-line/norwegian-luna</v>
      </c>
    </row>
    <row r="356">
      <c r="A356" s="154" t="s">
        <v>889</v>
      </c>
      <c r="B356" s="152" t="str">
        <f>IFERROR(__xludf.DUMMYFUNCTION("REGEXREPLACE(A356, ""&lt;loc&gt;"", """")"),"https://odysia-cruise-uk.client.prod.eu-west.dreamlake.io/cruise-lines/holland-america-line/zaandam/cruises&lt;/loc&gt;")</f>
        <v>https://odysia-cruise-uk.client.prod.eu-west.dreamlake.io/cruise-lines/holland-america-line/zaandam/cruises&lt;/loc&gt;</v>
      </c>
      <c r="C356" s="153" t="str">
        <f>IFERROR(__xludf.DUMMYFUNCTION("REGEXREPLACE(B356, ""&lt;/loc&gt;"", """")"),"https://odysia-cruise-uk.client.prod.eu-west.dreamlake.io/cruise-lines/holland-america-line/zaandam/cruises")</f>
        <v>https://odysia-cruise-uk.client.prod.eu-west.dreamlake.io/cruise-lines/holland-america-line/zaandam/cruises</v>
      </c>
      <c r="D356" s="152" t="s">
        <v>890</v>
      </c>
      <c r="E356" s="152" t="str">
        <f>IFERROR(__xludf.DUMMYFUNCTION("REGEXREPLACE(D356, ""https://odysia-cruise-uk.client.prod.eu-west.dreamlake.io"", """")"),"/cruise-lines/holland-america-line/zaandam/cruises")</f>
        <v>/cruise-lines/holland-america-line/zaandam/cruises</v>
      </c>
    </row>
    <row r="357">
      <c r="A357" s="154" t="s">
        <v>891</v>
      </c>
      <c r="B357" s="152" t="str">
        <f>IFERROR(__xludf.DUMMYFUNCTION("REGEXREPLACE(A357, ""&lt;loc&gt;"", """")"),"https://odysia-cruise-uk.client.prod.eu-west.dreamlake.io/cruise-lines/fred-olsen-cruises/cruises&lt;/loc&gt;")</f>
        <v>https://odysia-cruise-uk.client.prod.eu-west.dreamlake.io/cruise-lines/fred-olsen-cruises/cruises&lt;/loc&gt;</v>
      </c>
      <c r="C357" s="153" t="str">
        <f>IFERROR(__xludf.DUMMYFUNCTION("REGEXREPLACE(B357, ""&lt;/loc&gt;"", """")"),"https://odysia-cruise-uk.client.prod.eu-west.dreamlake.io/cruise-lines/fred-olsen-cruises/cruises")</f>
        <v>https://odysia-cruise-uk.client.prod.eu-west.dreamlake.io/cruise-lines/fred-olsen-cruises/cruises</v>
      </c>
      <c r="D357" s="152" t="s">
        <v>892</v>
      </c>
      <c r="E357" s="152" t="str">
        <f>IFERROR(__xludf.DUMMYFUNCTION("REGEXREPLACE(D357, ""https://odysia-cruise-uk.client.prod.eu-west.dreamlake.io"", """")"),"/cruise-lines/fred-olsen-cruises/cruises")</f>
        <v>/cruise-lines/fred-olsen-cruises/cruises</v>
      </c>
    </row>
    <row r="358">
      <c r="A358" s="154" t="s">
        <v>893</v>
      </c>
      <c r="B358" s="152" t="str">
        <f>IFERROR(__xludf.DUMMYFUNCTION("REGEXREPLACE(A358, ""&lt;loc&gt;"", """")"),"https://odysia-cruise-uk.client.prod.eu-west.dreamlake.io/cruise-lines/msc-cruises/msc-orchestra&lt;/loc&gt;")</f>
        <v>https://odysia-cruise-uk.client.prod.eu-west.dreamlake.io/cruise-lines/msc-cruises/msc-orchestra&lt;/loc&gt;</v>
      </c>
      <c r="C358" s="153" t="str">
        <f>IFERROR(__xludf.DUMMYFUNCTION("REGEXREPLACE(B358, ""&lt;/loc&gt;"", """")"),"https://odysia-cruise-uk.client.prod.eu-west.dreamlake.io/cruise-lines/msc-cruises/msc-orchestra")</f>
        <v>https://odysia-cruise-uk.client.prod.eu-west.dreamlake.io/cruise-lines/msc-cruises/msc-orchestra</v>
      </c>
      <c r="D358" s="152" t="s">
        <v>894</v>
      </c>
      <c r="E358" s="152" t="str">
        <f>IFERROR(__xludf.DUMMYFUNCTION("REGEXREPLACE(D358, ""https://odysia-cruise-uk.client.prod.eu-west.dreamlake.io"", """")"),"/cruise-lines/msc-cruises/msc-orchestra")</f>
        <v>/cruise-lines/msc-cruises/msc-orchestra</v>
      </c>
    </row>
    <row r="359">
      <c r="A359" s="154" t="s">
        <v>895</v>
      </c>
      <c r="B359" s="152" t="str">
        <f>IFERROR(__xludf.DUMMYFUNCTION("REGEXREPLACE(A359, ""&lt;loc&gt;"", """")"),"https://odysia-cruise-uk.client.prod.eu-west.dreamlake.io/cruise-lines/costa-cruises/costa-toscana/cruises&lt;/loc&gt;")</f>
        <v>https://odysia-cruise-uk.client.prod.eu-west.dreamlake.io/cruise-lines/costa-cruises/costa-toscana/cruises&lt;/loc&gt;</v>
      </c>
      <c r="C359" s="153" t="str">
        <f>IFERROR(__xludf.DUMMYFUNCTION("REGEXREPLACE(B359, ""&lt;/loc&gt;"", """")"),"https://odysia-cruise-uk.client.prod.eu-west.dreamlake.io/cruise-lines/costa-cruises/costa-toscana/cruises")</f>
        <v>https://odysia-cruise-uk.client.prod.eu-west.dreamlake.io/cruise-lines/costa-cruises/costa-toscana/cruises</v>
      </c>
      <c r="D359" s="152" t="s">
        <v>896</v>
      </c>
      <c r="E359" s="152" t="str">
        <f>IFERROR(__xludf.DUMMYFUNCTION("REGEXREPLACE(D359, ""https://odysia-cruise-uk.client.prod.eu-west.dreamlake.io"", """")"),"/cruise-lines/costa-cruises/costa-toscana/cruises")</f>
        <v>/cruise-lines/costa-cruises/costa-toscana/cruises</v>
      </c>
    </row>
    <row r="360">
      <c r="A360" s="154" t="s">
        <v>897</v>
      </c>
      <c r="B360" s="152" t="str">
        <f>IFERROR(__xludf.DUMMYFUNCTION("REGEXREPLACE(A360, ""&lt;loc&gt;"", """")"),"https://odysia-cruise-uk.client.prod.eu-west.dreamlake.io/cruise-lines/royal-caribbean/liberty-of-the-seas&lt;/loc&gt;")</f>
        <v>https://odysia-cruise-uk.client.prod.eu-west.dreamlake.io/cruise-lines/royal-caribbean/liberty-of-the-seas&lt;/loc&gt;</v>
      </c>
      <c r="C360" s="153" t="str">
        <f>IFERROR(__xludf.DUMMYFUNCTION("REGEXREPLACE(B360, ""&lt;/loc&gt;"", """")"),"https://odysia-cruise-uk.client.prod.eu-west.dreamlake.io/cruise-lines/royal-caribbean/liberty-of-the-seas")</f>
        <v>https://odysia-cruise-uk.client.prod.eu-west.dreamlake.io/cruise-lines/royal-caribbean/liberty-of-the-seas</v>
      </c>
      <c r="D360" s="152" t="s">
        <v>898</v>
      </c>
      <c r="E360" s="152" t="str">
        <f>IFERROR(__xludf.DUMMYFUNCTION("REGEXREPLACE(D360, ""https://odysia-cruise-uk.client.prod.eu-west.dreamlake.io"", """")"),"/cruise-lines/royal-caribbean/liberty-of-the-seas")</f>
        <v>/cruise-lines/royal-caribbean/liberty-of-the-seas</v>
      </c>
    </row>
    <row r="361">
      <c r="A361" s="154" t="s">
        <v>899</v>
      </c>
      <c r="B361" s="152" t="str">
        <f>IFERROR(__xludf.DUMMYFUNCTION("REGEXREPLACE(A361, ""&lt;loc&gt;"", """")"),"https://odysia-cruise-uk.client.prod.eu-west.dreamlake.io/cruise-lines/norwegian-cruise-line/norwegian-viva&lt;/loc&gt;")</f>
        <v>https://odysia-cruise-uk.client.prod.eu-west.dreamlake.io/cruise-lines/norwegian-cruise-line/norwegian-viva&lt;/loc&gt;</v>
      </c>
      <c r="C361" s="153" t="str">
        <f>IFERROR(__xludf.DUMMYFUNCTION("REGEXREPLACE(B361, ""&lt;/loc&gt;"", """")"),"https://odysia-cruise-uk.client.prod.eu-west.dreamlake.io/cruise-lines/norwegian-cruise-line/norwegian-viva")</f>
        <v>https://odysia-cruise-uk.client.prod.eu-west.dreamlake.io/cruise-lines/norwegian-cruise-line/norwegian-viva</v>
      </c>
      <c r="D361" s="152" t="s">
        <v>900</v>
      </c>
      <c r="E361" s="152" t="str">
        <f>IFERROR(__xludf.DUMMYFUNCTION("REGEXREPLACE(D361, ""https://odysia-cruise-uk.client.prod.eu-west.dreamlake.io"", """")"),"/cruise-lines/norwegian-cruise-line/norwegian-viva")</f>
        <v>/cruise-lines/norwegian-cruise-line/norwegian-viva</v>
      </c>
    </row>
    <row r="362">
      <c r="A362" s="154" t="s">
        <v>901</v>
      </c>
      <c r="B362" s="152" t="str">
        <f>IFERROR(__xludf.DUMMYFUNCTION("REGEXREPLACE(A362, ""&lt;loc&gt;"", """")"),"https://odysia-cruise-uk.client.prod.eu-west.dreamlake.io/cruise-lines/norwegian-cruise-line/cruises&lt;/loc&gt;")</f>
        <v>https://odysia-cruise-uk.client.prod.eu-west.dreamlake.io/cruise-lines/norwegian-cruise-line/cruises&lt;/loc&gt;</v>
      </c>
      <c r="C362" s="153" t="str">
        <f>IFERROR(__xludf.DUMMYFUNCTION("REGEXREPLACE(B362, ""&lt;/loc&gt;"", """")"),"https://odysia-cruise-uk.client.prod.eu-west.dreamlake.io/cruise-lines/norwegian-cruise-line/cruises")</f>
        <v>https://odysia-cruise-uk.client.prod.eu-west.dreamlake.io/cruise-lines/norwegian-cruise-line/cruises</v>
      </c>
      <c r="D362" s="152" t="s">
        <v>902</v>
      </c>
      <c r="E362" s="152" t="str">
        <f>IFERROR(__xludf.DUMMYFUNCTION("REGEXREPLACE(D362, ""https://odysia-cruise-uk.client.prod.eu-west.dreamlake.io"", """")"),"/cruise-lines/norwegian-cruise-line/cruises")</f>
        <v>/cruise-lines/norwegian-cruise-line/cruises</v>
      </c>
    </row>
    <row r="363">
      <c r="A363" s="154" t="s">
        <v>903</v>
      </c>
      <c r="B363" s="152" t="str">
        <f>IFERROR(__xludf.DUMMYFUNCTION("REGEXREPLACE(A363, ""&lt;loc&gt;"", """")"),"https://odysia-cruise-uk.client.prod.eu-west.dreamlake.io/cruise-lines/msc-cruises/msc-seaside&lt;/loc&gt;")</f>
        <v>https://odysia-cruise-uk.client.prod.eu-west.dreamlake.io/cruise-lines/msc-cruises/msc-seaside&lt;/loc&gt;</v>
      </c>
      <c r="C363" s="153" t="str">
        <f>IFERROR(__xludf.DUMMYFUNCTION("REGEXREPLACE(B363, ""&lt;/loc&gt;"", """")"),"https://odysia-cruise-uk.client.prod.eu-west.dreamlake.io/cruise-lines/msc-cruises/msc-seaside")</f>
        <v>https://odysia-cruise-uk.client.prod.eu-west.dreamlake.io/cruise-lines/msc-cruises/msc-seaside</v>
      </c>
      <c r="D363" s="152" t="s">
        <v>904</v>
      </c>
      <c r="E363" s="152" t="str">
        <f>IFERROR(__xludf.DUMMYFUNCTION("REGEXREPLACE(D363, ""https://odysia-cruise-uk.client.prod.eu-west.dreamlake.io"", """")"),"/cruise-lines/msc-cruises/msc-seaside")</f>
        <v>/cruise-lines/msc-cruises/msc-seaside</v>
      </c>
    </row>
    <row r="364">
      <c r="A364" s="154" t="s">
        <v>905</v>
      </c>
      <c r="B364" s="152" t="str">
        <f>IFERROR(__xludf.DUMMYFUNCTION("REGEXREPLACE(A364, ""&lt;loc&gt;"", """")"),"https://odysia-cruise-uk.client.prod.eu-west.dreamlake.io/cruise-lines/seabourn/cruises&lt;/loc&gt;")</f>
        <v>https://odysia-cruise-uk.client.prod.eu-west.dreamlake.io/cruise-lines/seabourn/cruises&lt;/loc&gt;</v>
      </c>
      <c r="C364" s="153" t="str">
        <f>IFERROR(__xludf.DUMMYFUNCTION("REGEXREPLACE(B364, ""&lt;/loc&gt;"", """")"),"https://odysia-cruise-uk.client.prod.eu-west.dreamlake.io/cruise-lines/seabourn/cruises")</f>
        <v>https://odysia-cruise-uk.client.prod.eu-west.dreamlake.io/cruise-lines/seabourn/cruises</v>
      </c>
      <c r="D364" s="152" t="s">
        <v>906</v>
      </c>
      <c r="E364" s="152" t="str">
        <f>IFERROR(__xludf.DUMMYFUNCTION("REGEXREPLACE(D364, ""https://odysia-cruise-uk.client.prod.eu-west.dreamlake.io"", """")"),"/cruise-lines/seabourn/cruises")</f>
        <v>/cruise-lines/seabourn/cruises</v>
      </c>
    </row>
    <row r="365">
      <c r="A365" s="154" t="s">
        <v>907</v>
      </c>
      <c r="B365" s="152" t="str">
        <f>IFERROR(__xludf.DUMMYFUNCTION("REGEXREPLACE(A365, ""&lt;loc&gt;"", """")"),"https://odysia-cruise-uk.client.prod.eu-west.dreamlake.io/cruise-lines/celebrity-cruises/celebrity-summit&lt;/loc&gt;")</f>
        <v>https://odysia-cruise-uk.client.prod.eu-west.dreamlake.io/cruise-lines/celebrity-cruises/celebrity-summit&lt;/loc&gt;</v>
      </c>
      <c r="C365" s="153" t="str">
        <f>IFERROR(__xludf.DUMMYFUNCTION("REGEXREPLACE(B365, ""&lt;/loc&gt;"", """")"),"https://odysia-cruise-uk.client.prod.eu-west.dreamlake.io/cruise-lines/celebrity-cruises/celebrity-summit")</f>
        <v>https://odysia-cruise-uk.client.prod.eu-west.dreamlake.io/cruise-lines/celebrity-cruises/celebrity-summit</v>
      </c>
      <c r="D365" s="152" t="s">
        <v>908</v>
      </c>
      <c r="E365" s="152" t="str">
        <f>IFERROR(__xludf.DUMMYFUNCTION("REGEXREPLACE(D365, ""https://odysia-cruise-uk.client.prod.eu-west.dreamlake.io"", """")"),"/cruise-lines/celebrity-cruises/celebrity-summit")</f>
        <v>/cruise-lines/celebrity-cruises/celebrity-summit</v>
      </c>
    </row>
    <row r="366">
      <c r="A366" s="154" t="s">
        <v>909</v>
      </c>
      <c r="B366" s="152" t="str">
        <f>IFERROR(__xludf.DUMMYFUNCTION("REGEXREPLACE(A366, ""&lt;loc&gt;"", """")"),"https://odysia-cruise-uk.client.prod.eu-west.dreamlake.io/cruise-lines/royal-caribbean/radiance-of-the-seas&lt;/loc&gt;")</f>
        <v>https://odysia-cruise-uk.client.prod.eu-west.dreamlake.io/cruise-lines/royal-caribbean/radiance-of-the-seas&lt;/loc&gt;</v>
      </c>
      <c r="C366" s="153" t="str">
        <f>IFERROR(__xludf.DUMMYFUNCTION("REGEXREPLACE(B366, ""&lt;/loc&gt;"", """")"),"https://odysia-cruise-uk.client.prod.eu-west.dreamlake.io/cruise-lines/royal-caribbean/radiance-of-the-seas")</f>
        <v>https://odysia-cruise-uk.client.prod.eu-west.dreamlake.io/cruise-lines/royal-caribbean/radiance-of-the-seas</v>
      </c>
      <c r="D366" s="152" t="s">
        <v>910</v>
      </c>
      <c r="E366" s="152" t="str">
        <f>IFERROR(__xludf.DUMMYFUNCTION("REGEXREPLACE(D366, ""https://odysia-cruise-uk.client.prod.eu-west.dreamlake.io"", """")"),"/cruise-lines/royal-caribbean/radiance-of-the-seas")</f>
        <v>/cruise-lines/royal-caribbean/radiance-of-the-seas</v>
      </c>
    </row>
    <row r="367">
      <c r="A367" s="154" t="s">
        <v>911</v>
      </c>
      <c r="B367" s="152" t="str">
        <f>IFERROR(__xludf.DUMMYFUNCTION("REGEXREPLACE(A367, ""&lt;loc&gt;"", """")"),"https://odysia-cruise-uk.client.prod.eu-west.dreamlake.io/cruise-lines/oceania-cruises/oceania-nautica&lt;/loc&gt;")</f>
        <v>https://odysia-cruise-uk.client.prod.eu-west.dreamlake.io/cruise-lines/oceania-cruises/oceania-nautica&lt;/loc&gt;</v>
      </c>
      <c r="C367" s="153" t="str">
        <f>IFERROR(__xludf.DUMMYFUNCTION("REGEXREPLACE(B367, ""&lt;/loc&gt;"", """")"),"https://odysia-cruise-uk.client.prod.eu-west.dreamlake.io/cruise-lines/oceania-cruises/oceania-nautica")</f>
        <v>https://odysia-cruise-uk.client.prod.eu-west.dreamlake.io/cruise-lines/oceania-cruises/oceania-nautica</v>
      </c>
      <c r="D367" s="152" t="s">
        <v>912</v>
      </c>
      <c r="E367" s="152" t="str">
        <f>IFERROR(__xludf.DUMMYFUNCTION("REGEXREPLACE(D367, ""https://odysia-cruise-uk.client.prod.eu-west.dreamlake.io"", """")"),"/cruise-lines/oceania-cruises/oceania-nautica")</f>
        <v>/cruise-lines/oceania-cruises/oceania-nautica</v>
      </c>
    </row>
    <row r="368">
      <c r="A368" s="154" t="s">
        <v>632</v>
      </c>
      <c r="B368" s="152" t="str">
        <f>IFERROR(__xludf.DUMMYFUNCTION("REGEXREPLACE(A368, ""&lt;loc&gt;"", """")"),"https://odysia-cruise-uk.client.prod.eu-west.dreamlake.io/cruise-lines/azamara/azamara-journey/cruises&lt;/loc&gt;")</f>
        <v>https://odysia-cruise-uk.client.prod.eu-west.dreamlake.io/cruise-lines/azamara/azamara-journey/cruises&lt;/loc&gt;</v>
      </c>
      <c r="C368" s="153" t="str">
        <f>IFERROR(__xludf.DUMMYFUNCTION("REGEXREPLACE(B368, ""&lt;/loc&gt;"", """")"),"https://odysia-cruise-uk.client.prod.eu-west.dreamlake.io/cruise-lines/azamara/azamara-journey/cruises")</f>
        <v>https://odysia-cruise-uk.client.prod.eu-west.dreamlake.io/cruise-lines/azamara/azamara-journey/cruises</v>
      </c>
    </row>
    <row r="369">
      <c r="A369" s="154" t="s">
        <v>913</v>
      </c>
      <c r="B369" s="152" t="str">
        <f>IFERROR(__xludf.DUMMYFUNCTION("REGEXREPLACE(A369, ""&lt;loc&gt;"", """")"),"https://odysia-cruise-uk.client.prod.eu-west.dreamlake.io/cruise-lines/royal-caribbean/star-of-the-seas&lt;/loc&gt;")</f>
        <v>https://odysia-cruise-uk.client.prod.eu-west.dreamlake.io/cruise-lines/royal-caribbean/star-of-the-seas&lt;/loc&gt;</v>
      </c>
      <c r="C369" s="153" t="str">
        <f>IFERROR(__xludf.DUMMYFUNCTION("REGEXREPLACE(B369, ""&lt;/loc&gt;"", """")"),"https://odysia-cruise-uk.client.prod.eu-west.dreamlake.io/cruise-lines/royal-caribbean/star-of-the-seas")</f>
        <v>https://odysia-cruise-uk.client.prod.eu-west.dreamlake.io/cruise-lines/royal-caribbean/star-of-the-seas</v>
      </c>
      <c r="D369" s="152" t="s">
        <v>914</v>
      </c>
      <c r="E369" s="152" t="str">
        <f>IFERROR(__xludf.DUMMYFUNCTION("REGEXREPLACE(D369, ""https://odysia-cruise-uk.client.prod.eu-west.dreamlake.io"", """")"),"/cruise-lines/royal-caribbean/star-of-the-seas")</f>
        <v>/cruise-lines/royal-caribbean/star-of-the-seas</v>
      </c>
    </row>
    <row r="370">
      <c r="A370" s="154" t="s">
        <v>915</v>
      </c>
      <c r="B370" s="152" t="str">
        <f>IFERROR(__xludf.DUMMYFUNCTION("REGEXREPLACE(A370, ""&lt;loc&gt;"", """")"),"https://odysia-cruise-uk.client.prod.eu-west.dreamlake.io/cruise-lines/celebrity-cruises/celebrity-equinox&lt;/loc&gt;")</f>
        <v>https://odysia-cruise-uk.client.prod.eu-west.dreamlake.io/cruise-lines/celebrity-cruises/celebrity-equinox&lt;/loc&gt;</v>
      </c>
      <c r="C370" s="153" t="str">
        <f>IFERROR(__xludf.DUMMYFUNCTION("REGEXREPLACE(B370, ""&lt;/loc&gt;"", """")"),"https://odysia-cruise-uk.client.prod.eu-west.dreamlake.io/cruise-lines/celebrity-cruises/celebrity-equinox")</f>
        <v>https://odysia-cruise-uk.client.prod.eu-west.dreamlake.io/cruise-lines/celebrity-cruises/celebrity-equinox</v>
      </c>
      <c r="D370" s="152" t="s">
        <v>916</v>
      </c>
      <c r="E370" s="152" t="str">
        <f>IFERROR(__xludf.DUMMYFUNCTION("REGEXREPLACE(D370, ""https://odysia-cruise-uk.client.prod.eu-west.dreamlake.io"", """")"),"/cruise-lines/celebrity-cruises/celebrity-equinox")</f>
        <v>/cruise-lines/celebrity-cruises/celebrity-equinox</v>
      </c>
    </row>
    <row r="371">
      <c r="A371" s="154" t="s">
        <v>917</v>
      </c>
      <c r="B371" s="152" t="str">
        <f>IFERROR(__xludf.DUMMYFUNCTION("REGEXREPLACE(A371, ""&lt;loc&gt;"", """")"),"https://odysia-cruise-uk.client.prod.eu-west.dreamlake.io/cruise-lines/ambassador-cruise-line/renaissance/cruises&lt;/loc&gt;")</f>
        <v>https://odysia-cruise-uk.client.prod.eu-west.dreamlake.io/cruise-lines/ambassador-cruise-line/renaissance/cruises&lt;/loc&gt;</v>
      </c>
      <c r="C371" s="153" t="str">
        <f>IFERROR(__xludf.DUMMYFUNCTION("REGEXREPLACE(B371, ""&lt;/loc&gt;"", """")"),"https://odysia-cruise-uk.client.prod.eu-west.dreamlake.io/cruise-lines/ambassador-cruise-line/renaissance/cruises")</f>
        <v>https://odysia-cruise-uk.client.prod.eu-west.dreamlake.io/cruise-lines/ambassador-cruise-line/renaissance/cruises</v>
      </c>
      <c r="D371" s="152" t="s">
        <v>918</v>
      </c>
      <c r="E371" s="152" t="str">
        <f>IFERROR(__xludf.DUMMYFUNCTION("REGEXREPLACE(D371, ""https://odysia-cruise-uk.client.prod.eu-west.dreamlake.io"", """")"),"/cruise-lines/ambassador-cruise-line/renaissance/cruises")</f>
        <v>/cruise-lines/ambassador-cruise-line/renaissance/cruises</v>
      </c>
    </row>
    <row r="372">
      <c r="A372" s="154" t="s">
        <v>919</v>
      </c>
      <c r="B372" s="152" t="str">
        <f>IFERROR(__xludf.DUMMYFUNCTION("REGEXREPLACE(A372, ""&lt;loc&gt;"", """")"),"https://odysia-cruise-uk.client.prod.eu-west.dreamlake.io/cruise-lines/princess-cruises/sky-princess&lt;/loc&gt;")</f>
        <v>https://odysia-cruise-uk.client.prod.eu-west.dreamlake.io/cruise-lines/princess-cruises/sky-princess&lt;/loc&gt;</v>
      </c>
      <c r="C372" s="153" t="str">
        <f>IFERROR(__xludf.DUMMYFUNCTION("REGEXREPLACE(B372, ""&lt;/loc&gt;"", """")"),"https://odysia-cruise-uk.client.prod.eu-west.dreamlake.io/cruise-lines/princess-cruises/sky-princess")</f>
        <v>https://odysia-cruise-uk.client.prod.eu-west.dreamlake.io/cruise-lines/princess-cruises/sky-princess</v>
      </c>
      <c r="D372" s="152" t="s">
        <v>920</v>
      </c>
      <c r="E372" s="152" t="str">
        <f>IFERROR(__xludf.DUMMYFUNCTION("REGEXREPLACE(D372, ""https://odysia-cruise-uk.client.prod.eu-west.dreamlake.io"", """")"),"/cruise-lines/princess-cruises/sky-princess")</f>
        <v>/cruise-lines/princess-cruises/sky-princess</v>
      </c>
    </row>
    <row r="373">
      <c r="A373" s="154" t="s">
        <v>921</v>
      </c>
      <c r="B373" s="152" t="str">
        <f>IFERROR(__xludf.DUMMYFUNCTION("REGEXREPLACE(A373, ""&lt;loc&gt;"", """")"),"https://odysia-cruise-uk.client.prod.eu-west.dreamlake.io/cruise-lines/celebrity-cruises/celebrity-reflection&lt;/loc&gt;")</f>
        <v>https://odysia-cruise-uk.client.prod.eu-west.dreamlake.io/cruise-lines/celebrity-cruises/celebrity-reflection&lt;/loc&gt;</v>
      </c>
      <c r="C373" s="153" t="str">
        <f>IFERROR(__xludf.DUMMYFUNCTION("REGEXREPLACE(B373, ""&lt;/loc&gt;"", """")"),"https://odysia-cruise-uk.client.prod.eu-west.dreamlake.io/cruise-lines/celebrity-cruises/celebrity-reflection")</f>
        <v>https://odysia-cruise-uk.client.prod.eu-west.dreamlake.io/cruise-lines/celebrity-cruises/celebrity-reflection</v>
      </c>
      <c r="D373" s="152" t="s">
        <v>922</v>
      </c>
      <c r="E373" s="152" t="str">
        <f>IFERROR(__xludf.DUMMYFUNCTION("REGEXREPLACE(D373, ""https://odysia-cruise-uk.client.prod.eu-west.dreamlake.io"", """")"),"/cruise-lines/celebrity-cruises/celebrity-reflection")</f>
        <v>/cruise-lines/celebrity-cruises/celebrity-reflection</v>
      </c>
    </row>
    <row r="374">
      <c r="A374" s="154" t="s">
        <v>923</v>
      </c>
      <c r="B374" s="152" t="str">
        <f>IFERROR(__xludf.DUMMYFUNCTION("REGEXREPLACE(A374, ""&lt;loc&gt;"", """")"),"https://odysia-cruise-uk.client.prod.eu-west.dreamlake.io/cruise-lines/celebrity-cruises/celebrity-edge/cruises&lt;/loc&gt;")</f>
        <v>https://odysia-cruise-uk.client.prod.eu-west.dreamlake.io/cruise-lines/celebrity-cruises/celebrity-edge/cruises&lt;/loc&gt;</v>
      </c>
      <c r="C374" s="153" t="str">
        <f>IFERROR(__xludf.DUMMYFUNCTION("REGEXREPLACE(B374, ""&lt;/loc&gt;"", """")"),"https://odysia-cruise-uk.client.prod.eu-west.dreamlake.io/cruise-lines/celebrity-cruises/celebrity-edge/cruises")</f>
        <v>https://odysia-cruise-uk.client.prod.eu-west.dreamlake.io/cruise-lines/celebrity-cruises/celebrity-edge/cruises</v>
      </c>
      <c r="D374" s="152" t="s">
        <v>924</v>
      </c>
      <c r="E374" s="152" t="str">
        <f>IFERROR(__xludf.DUMMYFUNCTION("REGEXREPLACE(D374, ""https://odysia-cruise-uk.client.prod.eu-west.dreamlake.io"", """")"),"/cruise-lines/celebrity-cruises/celebrity-edge/cruises")</f>
        <v>/cruise-lines/celebrity-cruises/celebrity-edge/cruises</v>
      </c>
    </row>
    <row r="375">
      <c r="A375" s="154" t="s">
        <v>925</v>
      </c>
      <c r="B375" s="152" t="str">
        <f>IFERROR(__xludf.DUMMYFUNCTION("REGEXREPLACE(A375, ""&lt;loc&gt;"", """")"),"https://odysia-cruise-uk.client.prod.eu-west.dreamlake.io/cruise-lines/norwegian-cruise-line/norwegian-star/cruises&lt;/loc&gt;")</f>
        <v>https://odysia-cruise-uk.client.prod.eu-west.dreamlake.io/cruise-lines/norwegian-cruise-line/norwegian-star/cruises&lt;/loc&gt;</v>
      </c>
      <c r="C375" s="153" t="str">
        <f>IFERROR(__xludf.DUMMYFUNCTION("REGEXREPLACE(B375, ""&lt;/loc&gt;"", """")"),"https://odysia-cruise-uk.client.prod.eu-west.dreamlake.io/cruise-lines/norwegian-cruise-line/norwegian-star/cruises")</f>
        <v>https://odysia-cruise-uk.client.prod.eu-west.dreamlake.io/cruise-lines/norwegian-cruise-line/norwegian-star/cruises</v>
      </c>
      <c r="D375" s="152" t="s">
        <v>926</v>
      </c>
      <c r="E375" s="152" t="str">
        <f>IFERROR(__xludf.DUMMYFUNCTION("REGEXREPLACE(D375, ""https://odysia-cruise-uk.client.prod.eu-west.dreamlake.io"", """")"),"/cruise-lines/norwegian-cruise-line/norwegian-star/cruises")</f>
        <v>/cruise-lines/norwegian-cruise-line/norwegian-star/cruises</v>
      </c>
    </row>
    <row r="376">
      <c r="A376" s="154" t="s">
        <v>927</v>
      </c>
      <c r="B376" s="152" t="str">
        <f>IFERROR(__xludf.DUMMYFUNCTION("REGEXREPLACE(A376, ""&lt;loc&gt;"", """")"),"https://odysia-cruise-uk.client.prod.eu-west.dreamlake.io/cruise-lines/royal-caribbean/mariner-of-the-seas/cruises&lt;/loc&gt;")</f>
        <v>https://odysia-cruise-uk.client.prod.eu-west.dreamlake.io/cruise-lines/royal-caribbean/mariner-of-the-seas/cruises&lt;/loc&gt;</v>
      </c>
      <c r="C376" s="153" t="str">
        <f>IFERROR(__xludf.DUMMYFUNCTION("REGEXREPLACE(B376, ""&lt;/loc&gt;"", """")"),"https://odysia-cruise-uk.client.prod.eu-west.dreamlake.io/cruise-lines/royal-caribbean/mariner-of-the-seas/cruises")</f>
        <v>https://odysia-cruise-uk.client.prod.eu-west.dreamlake.io/cruise-lines/royal-caribbean/mariner-of-the-seas/cruises</v>
      </c>
      <c r="D376" s="152" t="s">
        <v>928</v>
      </c>
      <c r="E376" s="152" t="str">
        <f>IFERROR(__xludf.DUMMYFUNCTION("REGEXREPLACE(D376, ""https://odysia-cruise-uk.client.prod.eu-west.dreamlake.io"", """")"),"/cruise-lines/royal-caribbean/mariner-of-the-seas/cruises")</f>
        <v>/cruise-lines/royal-caribbean/mariner-of-the-seas/cruises</v>
      </c>
    </row>
    <row r="377">
      <c r="A377" s="154" t="s">
        <v>929</v>
      </c>
      <c r="B377" s="152" t="str">
        <f>IFERROR(__xludf.DUMMYFUNCTION("REGEXREPLACE(A377, ""&lt;loc&gt;"", """")"),"https://odysia-cruise-uk.client.prod.eu-west.dreamlake.io/cruise-lines/royal-caribbean/allure-of-the-seas/cruises&lt;/loc&gt;")</f>
        <v>https://odysia-cruise-uk.client.prod.eu-west.dreamlake.io/cruise-lines/royal-caribbean/allure-of-the-seas/cruises&lt;/loc&gt;</v>
      </c>
      <c r="C377" s="153" t="str">
        <f>IFERROR(__xludf.DUMMYFUNCTION("REGEXREPLACE(B377, ""&lt;/loc&gt;"", """")"),"https://odysia-cruise-uk.client.prod.eu-west.dreamlake.io/cruise-lines/royal-caribbean/allure-of-the-seas/cruises")</f>
        <v>https://odysia-cruise-uk.client.prod.eu-west.dreamlake.io/cruise-lines/royal-caribbean/allure-of-the-seas/cruises</v>
      </c>
      <c r="D377" s="152" t="s">
        <v>930</v>
      </c>
      <c r="E377" s="152" t="str">
        <f>IFERROR(__xludf.DUMMYFUNCTION("REGEXREPLACE(D377, ""https://odysia-cruise-uk.client.prod.eu-west.dreamlake.io"", """")"),"/cruise-lines/royal-caribbean/allure-of-the-seas/cruises")</f>
        <v>/cruise-lines/royal-caribbean/allure-of-the-seas/cruises</v>
      </c>
    </row>
    <row r="378">
      <c r="A378" s="154" t="s">
        <v>931</v>
      </c>
      <c r="B378" s="152" t="str">
        <f>IFERROR(__xludf.DUMMYFUNCTION("REGEXREPLACE(A378, ""&lt;loc&gt;"", """")"),"https://odysia-cruise-uk.client.prod.eu-west.dreamlake.io/cruise-lines/po-cruises/cruises&lt;/loc&gt;")</f>
        <v>https://odysia-cruise-uk.client.prod.eu-west.dreamlake.io/cruise-lines/po-cruises/cruises&lt;/loc&gt;</v>
      </c>
      <c r="C378" s="153" t="str">
        <f>IFERROR(__xludf.DUMMYFUNCTION("REGEXREPLACE(B378, ""&lt;/loc&gt;"", """")"),"https://odysia-cruise-uk.client.prod.eu-west.dreamlake.io/cruise-lines/po-cruises/cruises")</f>
        <v>https://odysia-cruise-uk.client.prod.eu-west.dreamlake.io/cruise-lines/po-cruises/cruises</v>
      </c>
      <c r="D378" s="152" t="s">
        <v>932</v>
      </c>
      <c r="E378" s="152" t="str">
        <f>IFERROR(__xludf.DUMMYFUNCTION("REGEXREPLACE(D378, ""https://odysia-cruise-uk.client.prod.eu-west.dreamlake.io"", """")"),"/cruise-lines/po-cruises/cruises")</f>
        <v>/cruise-lines/po-cruises/cruises</v>
      </c>
    </row>
    <row r="379">
      <c r="A379" s="154" t="s">
        <v>933</v>
      </c>
      <c r="B379" s="152" t="str">
        <f>IFERROR(__xludf.DUMMYFUNCTION("REGEXREPLACE(A379, ""&lt;loc&gt;"", """")"),"https://odysia-cruise-uk.client.prod.eu-west.dreamlake.io/cruise-lines/msc-cruises/msc-seaview/cruises&lt;/loc&gt;")</f>
        <v>https://odysia-cruise-uk.client.prod.eu-west.dreamlake.io/cruise-lines/msc-cruises/msc-seaview/cruises&lt;/loc&gt;</v>
      </c>
      <c r="C379" s="153" t="str">
        <f>IFERROR(__xludf.DUMMYFUNCTION("REGEXREPLACE(B379, ""&lt;/loc&gt;"", """")"),"https://odysia-cruise-uk.client.prod.eu-west.dreamlake.io/cruise-lines/msc-cruises/msc-seaview/cruises")</f>
        <v>https://odysia-cruise-uk.client.prod.eu-west.dreamlake.io/cruise-lines/msc-cruises/msc-seaview/cruises</v>
      </c>
      <c r="D379" s="152" t="s">
        <v>934</v>
      </c>
      <c r="E379" s="152" t="str">
        <f>IFERROR(__xludf.DUMMYFUNCTION("REGEXREPLACE(D379, ""https://odysia-cruise-uk.client.prod.eu-west.dreamlake.io"", """")"),"/cruise-lines/msc-cruises/msc-seaview/cruises")</f>
        <v>/cruise-lines/msc-cruises/msc-seaview/cruises</v>
      </c>
    </row>
    <row r="380">
      <c r="A380" s="154" t="s">
        <v>935</v>
      </c>
      <c r="B380" s="152" t="str">
        <f>IFERROR(__xludf.DUMMYFUNCTION("REGEXREPLACE(A380, ""&lt;loc&gt;"", """")"),"https://odysia-cruise-uk.client.prod.eu-west.dreamlake.io/cruise-lines/norwegian-cruise-line/norwegian-sky/cruises&lt;/loc&gt;")</f>
        <v>https://odysia-cruise-uk.client.prod.eu-west.dreamlake.io/cruise-lines/norwegian-cruise-line/norwegian-sky/cruises&lt;/loc&gt;</v>
      </c>
      <c r="C380" s="153" t="str">
        <f>IFERROR(__xludf.DUMMYFUNCTION("REGEXREPLACE(B380, ""&lt;/loc&gt;"", """")"),"https://odysia-cruise-uk.client.prod.eu-west.dreamlake.io/cruise-lines/norwegian-cruise-line/norwegian-sky/cruises")</f>
        <v>https://odysia-cruise-uk.client.prod.eu-west.dreamlake.io/cruise-lines/norwegian-cruise-line/norwegian-sky/cruises</v>
      </c>
      <c r="D380" s="152" t="s">
        <v>936</v>
      </c>
      <c r="E380" s="152" t="str">
        <f>IFERROR(__xludf.DUMMYFUNCTION("REGEXREPLACE(D380, ""https://odysia-cruise-uk.client.prod.eu-west.dreamlake.io"", """")"),"/cruise-lines/norwegian-cruise-line/norwegian-sky/cruises")</f>
        <v>/cruise-lines/norwegian-cruise-line/norwegian-sky/cruises</v>
      </c>
    </row>
    <row r="381">
      <c r="A381" s="154" t="s">
        <v>937</v>
      </c>
      <c r="B381" s="152" t="str">
        <f>IFERROR(__xludf.DUMMYFUNCTION("REGEXREPLACE(A381, ""&lt;loc&gt;"", """")"),"https://odysia-cruise-uk.client.prod.eu-west.dreamlake.io/cruise-lines/royal-caribbean/quantum-of-the-seas/cruises&lt;/loc&gt;")</f>
        <v>https://odysia-cruise-uk.client.prod.eu-west.dreamlake.io/cruise-lines/royal-caribbean/quantum-of-the-seas/cruises&lt;/loc&gt;</v>
      </c>
      <c r="C381" s="153" t="str">
        <f>IFERROR(__xludf.DUMMYFUNCTION("REGEXREPLACE(B381, ""&lt;/loc&gt;"", """")"),"https://odysia-cruise-uk.client.prod.eu-west.dreamlake.io/cruise-lines/royal-caribbean/quantum-of-the-seas/cruises")</f>
        <v>https://odysia-cruise-uk.client.prod.eu-west.dreamlake.io/cruise-lines/royal-caribbean/quantum-of-the-seas/cruises</v>
      </c>
      <c r="D381" s="152" t="s">
        <v>938</v>
      </c>
      <c r="E381" s="152" t="str">
        <f>IFERROR(__xludf.DUMMYFUNCTION("REGEXREPLACE(D381, ""https://odysia-cruise-uk.client.prod.eu-west.dreamlake.io"", """")"),"/cruise-lines/royal-caribbean/quantum-of-the-seas/cruises")</f>
        <v>/cruise-lines/royal-caribbean/quantum-of-the-seas/cruises</v>
      </c>
    </row>
    <row r="382">
      <c r="A382" s="154" t="s">
        <v>939</v>
      </c>
      <c r="B382" s="152" t="str">
        <f>IFERROR(__xludf.DUMMYFUNCTION("REGEXREPLACE(A382, ""&lt;loc&gt;"", """")"),"https://odysia-cruise-uk.client.prod.eu-west.dreamlake.io/cruise-calendar/south-america-cruise-dates&lt;/loc&gt;")</f>
        <v>https://odysia-cruise-uk.client.prod.eu-west.dreamlake.io/cruise-calendar/south-america-cruise-dates&lt;/loc&gt;</v>
      </c>
      <c r="C382" s="153" t="str">
        <f>IFERROR(__xludf.DUMMYFUNCTION("REGEXREPLACE(B382, ""&lt;/loc&gt;"", """")"),"https://odysia-cruise-uk.client.prod.eu-west.dreamlake.io/cruise-calendar/south-america-cruise-dates")</f>
        <v>https://odysia-cruise-uk.client.prod.eu-west.dreamlake.io/cruise-calendar/south-america-cruise-dates</v>
      </c>
    </row>
    <row r="383">
      <c r="A383" s="154" t="s">
        <v>940</v>
      </c>
      <c r="B383" s="152" t="str">
        <f>IFERROR(__xludf.DUMMYFUNCTION("REGEXREPLACE(A383, ""&lt;loc&gt;"", """")"),"https://odysia-cruise-uk.client.prod.eu-west.dreamlake.io/cruise-lines/royal-caribbean/independence-of-the-seas/cruises&lt;/loc&gt;")</f>
        <v>https://odysia-cruise-uk.client.prod.eu-west.dreamlake.io/cruise-lines/royal-caribbean/independence-of-the-seas/cruises&lt;/loc&gt;</v>
      </c>
      <c r="C383" s="153" t="str">
        <f>IFERROR(__xludf.DUMMYFUNCTION("REGEXREPLACE(B383, ""&lt;/loc&gt;"", """")"),"https://odysia-cruise-uk.client.prod.eu-west.dreamlake.io/cruise-lines/royal-caribbean/independence-of-the-seas/cruises")</f>
        <v>https://odysia-cruise-uk.client.prod.eu-west.dreamlake.io/cruise-lines/royal-caribbean/independence-of-the-seas/cruises</v>
      </c>
      <c r="D383" s="152" t="s">
        <v>941</v>
      </c>
      <c r="E383" s="152" t="str">
        <f>IFERROR(__xludf.DUMMYFUNCTION("REGEXREPLACE(D383, ""https://odysia-cruise-uk.client.prod.eu-west.dreamlake.io"", """")"),"/cruise-lines/royal-caribbean/independence-of-the-seas/cruises")</f>
        <v>/cruise-lines/royal-caribbean/independence-of-the-seas/cruises</v>
      </c>
    </row>
    <row r="384">
      <c r="A384" s="154" t="s">
        <v>942</v>
      </c>
      <c r="B384" s="152" t="str">
        <f>IFERROR(__xludf.DUMMYFUNCTION("REGEXREPLACE(A384, ""&lt;loc&gt;"", """")"),"https://odysia-cruise-uk.client.prod.eu-west.dreamlake.io/cruise-lines/msc-cruises/msc-magnifica/cruises&lt;/loc&gt;")</f>
        <v>https://odysia-cruise-uk.client.prod.eu-west.dreamlake.io/cruise-lines/msc-cruises/msc-magnifica/cruises&lt;/loc&gt;</v>
      </c>
      <c r="C384" s="153" t="str">
        <f>IFERROR(__xludf.DUMMYFUNCTION("REGEXREPLACE(B384, ""&lt;/loc&gt;"", """")"),"https://odysia-cruise-uk.client.prod.eu-west.dreamlake.io/cruise-lines/msc-cruises/msc-magnifica/cruises")</f>
        <v>https://odysia-cruise-uk.client.prod.eu-west.dreamlake.io/cruise-lines/msc-cruises/msc-magnifica/cruises</v>
      </c>
      <c r="D384" s="152" t="s">
        <v>943</v>
      </c>
      <c r="E384" s="152" t="str">
        <f>IFERROR(__xludf.DUMMYFUNCTION("REGEXREPLACE(D384, ""https://odysia-cruise-uk.client.prod.eu-west.dreamlake.io"", """")"),"/cruise-lines/msc-cruises/msc-magnifica/cruises")</f>
        <v>/cruise-lines/msc-cruises/msc-magnifica/cruises</v>
      </c>
    </row>
    <row r="385">
      <c r="A385" s="154" t="s">
        <v>944</v>
      </c>
      <c r="B385" s="152" t="str">
        <f>IFERROR(__xludf.DUMMYFUNCTION("REGEXREPLACE(A385, ""&lt;loc&gt;"", """")"),"https://odysia-cruise-uk.client.prod.eu-west.dreamlake.io/cruise-lines/regent-seven-seas-cruises/seven-seas-splendor&lt;/loc&gt;")</f>
        <v>https://odysia-cruise-uk.client.prod.eu-west.dreamlake.io/cruise-lines/regent-seven-seas-cruises/seven-seas-splendor&lt;/loc&gt;</v>
      </c>
      <c r="C385" s="153" t="str">
        <f>IFERROR(__xludf.DUMMYFUNCTION("REGEXREPLACE(B385, ""&lt;/loc&gt;"", """")"),"https://odysia-cruise-uk.client.prod.eu-west.dreamlake.io/cruise-lines/regent-seven-seas-cruises/seven-seas-splendor")</f>
        <v>https://odysia-cruise-uk.client.prod.eu-west.dreamlake.io/cruise-lines/regent-seven-seas-cruises/seven-seas-splendor</v>
      </c>
      <c r="D385" s="152" t="s">
        <v>945</v>
      </c>
      <c r="E385" s="152" t="str">
        <f>IFERROR(__xludf.DUMMYFUNCTION("REGEXREPLACE(D385, ""https://odysia-cruise-uk.client.prod.eu-west.dreamlake.io"", """")"),"/cruise-lines/regent-seven-seas-cruises/seven-seas-splendor")</f>
        <v>/cruise-lines/regent-seven-seas-cruises/seven-seas-splendor</v>
      </c>
    </row>
    <row r="386">
      <c r="A386" s="154" t="s">
        <v>946</v>
      </c>
      <c r="B386" s="152" t="str">
        <f>IFERROR(__xludf.DUMMYFUNCTION("REGEXREPLACE(A386, ""&lt;loc&gt;"", """")"),"https://odysia-cruise-uk.client.prod.eu-west.dreamlake.io/cruise-lines/celebrity-cruises/celebrity-millennium&lt;/loc&gt;")</f>
        <v>https://odysia-cruise-uk.client.prod.eu-west.dreamlake.io/cruise-lines/celebrity-cruises/celebrity-millennium&lt;/loc&gt;</v>
      </c>
      <c r="C386" s="153" t="str">
        <f>IFERROR(__xludf.DUMMYFUNCTION("REGEXREPLACE(B386, ""&lt;/loc&gt;"", """")"),"https://odysia-cruise-uk.client.prod.eu-west.dreamlake.io/cruise-lines/celebrity-cruises/celebrity-millennium")</f>
        <v>https://odysia-cruise-uk.client.prod.eu-west.dreamlake.io/cruise-lines/celebrity-cruises/celebrity-millennium</v>
      </c>
      <c r="D386" s="152" t="s">
        <v>947</v>
      </c>
      <c r="E386" s="152" t="str">
        <f>IFERROR(__xludf.DUMMYFUNCTION("REGEXREPLACE(D386, ""https://odysia-cruise-uk.client.prod.eu-west.dreamlake.io"", """")"),"/cruise-lines/celebrity-cruises/celebrity-millennium")</f>
        <v>/cruise-lines/celebrity-cruises/celebrity-millennium</v>
      </c>
    </row>
    <row r="387">
      <c r="A387" s="154" t="s">
        <v>948</v>
      </c>
      <c r="B387" s="152" t="str">
        <f>IFERROR(__xludf.DUMMYFUNCTION("REGEXREPLACE(A387, ""&lt;loc&gt;"", """")"),"https://odysia-cruise-uk.client.prod.eu-west.dreamlake.io/cruise-lines/oceania-cruises/oceania-riviera&lt;/loc&gt;")</f>
        <v>https://odysia-cruise-uk.client.prod.eu-west.dreamlake.io/cruise-lines/oceania-cruises/oceania-riviera&lt;/loc&gt;</v>
      </c>
      <c r="C387" s="153" t="str">
        <f>IFERROR(__xludf.DUMMYFUNCTION("REGEXREPLACE(B387, ""&lt;/loc&gt;"", """")"),"https://odysia-cruise-uk.client.prod.eu-west.dreamlake.io/cruise-lines/oceania-cruises/oceania-riviera")</f>
        <v>https://odysia-cruise-uk.client.prod.eu-west.dreamlake.io/cruise-lines/oceania-cruises/oceania-riviera</v>
      </c>
      <c r="D387" s="152" t="s">
        <v>949</v>
      </c>
      <c r="E387" s="152" t="str">
        <f>IFERROR(__xludf.DUMMYFUNCTION("REGEXREPLACE(D387, ""https://odysia-cruise-uk.client.prod.eu-west.dreamlake.io"", """")"),"/cruise-lines/oceania-cruises/oceania-riviera")</f>
        <v>/cruise-lines/oceania-cruises/oceania-riviera</v>
      </c>
    </row>
    <row r="388">
      <c r="A388" s="154" t="s">
        <v>950</v>
      </c>
      <c r="B388" s="152" t="str">
        <f>IFERROR(__xludf.DUMMYFUNCTION("REGEXREPLACE(A388, ""&lt;loc&gt;"", """")"),"https://odysia-cruise-uk.client.prod.eu-west.dreamlake.io/cruise-lines/holland-america-line/zuiderdam&lt;/loc&gt;")</f>
        <v>https://odysia-cruise-uk.client.prod.eu-west.dreamlake.io/cruise-lines/holland-america-line/zuiderdam&lt;/loc&gt;</v>
      </c>
      <c r="C388" s="153" t="str">
        <f>IFERROR(__xludf.DUMMYFUNCTION("REGEXREPLACE(B388, ""&lt;/loc&gt;"", """")"),"https://odysia-cruise-uk.client.prod.eu-west.dreamlake.io/cruise-lines/holland-america-line/zuiderdam")</f>
        <v>https://odysia-cruise-uk.client.prod.eu-west.dreamlake.io/cruise-lines/holland-america-line/zuiderdam</v>
      </c>
      <c r="D388" s="152" t="s">
        <v>951</v>
      </c>
      <c r="E388" s="152" t="str">
        <f>IFERROR(__xludf.DUMMYFUNCTION("REGEXREPLACE(D388, ""https://odysia-cruise-uk.client.prod.eu-west.dreamlake.io"", """")"),"/cruise-lines/holland-america-line/zuiderdam")</f>
        <v>/cruise-lines/holland-america-line/zuiderdam</v>
      </c>
    </row>
    <row r="389">
      <c r="A389" s="154" t="s">
        <v>952</v>
      </c>
      <c r="B389" s="152" t="str">
        <f>IFERROR(__xludf.DUMMYFUNCTION("REGEXREPLACE(A389, ""&lt;loc&gt;"", """")"),"https://odysia-cruise-uk.client.prod.eu-west.dreamlake.io/cruise-lines/royal-caribbean/brilliance-of-the-seas&lt;/loc&gt;")</f>
        <v>https://odysia-cruise-uk.client.prod.eu-west.dreamlake.io/cruise-lines/royal-caribbean/brilliance-of-the-seas&lt;/loc&gt;</v>
      </c>
      <c r="C389" s="153" t="str">
        <f>IFERROR(__xludf.DUMMYFUNCTION("REGEXREPLACE(B389, ""&lt;/loc&gt;"", """")"),"https://odysia-cruise-uk.client.prod.eu-west.dreamlake.io/cruise-lines/royal-caribbean/brilliance-of-the-seas")</f>
        <v>https://odysia-cruise-uk.client.prod.eu-west.dreamlake.io/cruise-lines/royal-caribbean/brilliance-of-the-seas</v>
      </c>
      <c r="D389" s="152" t="s">
        <v>953</v>
      </c>
      <c r="E389" s="152" t="str">
        <f>IFERROR(__xludf.DUMMYFUNCTION("REGEXREPLACE(D389, ""https://odysia-cruise-uk.client.prod.eu-west.dreamlake.io"", """")"),"/cruise-lines/royal-caribbean/brilliance-of-the-seas")</f>
        <v>/cruise-lines/royal-caribbean/brilliance-of-the-seas</v>
      </c>
    </row>
    <row r="390">
      <c r="A390" s="154" t="s">
        <v>954</v>
      </c>
      <c r="B390" s="152" t="str">
        <f>IFERROR(__xludf.DUMMYFUNCTION("REGEXREPLACE(A390, ""&lt;loc&gt;"", """")"),"https://odysia-cruise-uk.client.prod.eu-west.dreamlake.io/cruise-lines/cunard/queen-anne&lt;/loc&gt;")</f>
        <v>https://odysia-cruise-uk.client.prod.eu-west.dreamlake.io/cruise-lines/cunard/queen-anne&lt;/loc&gt;</v>
      </c>
      <c r="C390" s="153" t="str">
        <f>IFERROR(__xludf.DUMMYFUNCTION("REGEXREPLACE(B390, ""&lt;/loc&gt;"", """")"),"https://odysia-cruise-uk.client.prod.eu-west.dreamlake.io/cruise-lines/cunard/queen-anne")</f>
        <v>https://odysia-cruise-uk.client.prod.eu-west.dreamlake.io/cruise-lines/cunard/queen-anne</v>
      </c>
      <c r="D390" s="152" t="s">
        <v>955</v>
      </c>
      <c r="E390" s="152" t="str">
        <f>IFERROR(__xludf.DUMMYFUNCTION("REGEXREPLACE(D390, ""https://odysia-cruise-uk.client.prod.eu-west.dreamlake.io"", """")"),"/cruise-lines/cunard/queen-anne")</f>
        <v>/cruise-lines/cunard/queen-anne</v>
      </c>
    </row>
    <row r="391">
      <c r="A391" s="154" t="s">
        <v>956</v>
      </c>
      <c r="B391" s="152" t="str">
        <f>IFERROR(__xludf.DUMMYFUNCTION("REGEXREPLACE(A391, ""&lt;loc&gt;"", """")"),"https://odysia-cruise-uk.client.prod.eu-west.dreamlake.io/destinations/scandinavia-baltic-cruises&lt;/loc&gt;")</f>
        <v>https://odysia-cruise-uk.client.prod.eu-west.dreamlake.io/destinations/scandinavia-baltic-cruises&lt;/loc&gt;</v>
      </c>
      <c r="C391" s="153" t="str">
        <f>IFERROR(__xludf.DUMMYFUNCTION("REGEXREPLACE(B391, ""&lt;/loc&gt;"", """")"),"https://odysia-cruise-uk.client.prod.eu-west.dreamlake.io/destinations/scandinavia-baltic-cruises")</f>
        <v>https://odysia-cruise-uk.client.prod.eu-west.dreamlake.io/destinations/scandinavia-baltic-cruises</v>
      </c>
    </row>
    <row r="392">
      <c r="A392" s="154" t="s">
        <v>957</v>
      </c>
      <c r="B392" s="152" t="str">
        <f>IFERROR(__xludf.DUMMYFUNCTION("REGEXREPLACE(A392, ""&lt;loc&gt;"", """")"),"https://odysia-cruise-uk.client.prod.eu-west.dreamlake.io/cruise-lines/princess-cruises/majestic-princess/cruises&lt;/loc&gt;")</f>
        <v>https://odysia-cruise-uk.client.prod.eu-west.dreamlake.io/cruise-lines/princess-cruises/majestic-princess/cruises&lt;/loc&gt;</v>
      </c>
      <c r="C392" s="153" t="str">
        <f>IFERROR(__xludf.DUMMYFUNCTION("REGEXREPLACE(B392, ""&lt;/loc&gt;"", """")"),"https://odysia-cruise-uk.client.prod.eu-west.dreamlake.io/cruise-lines/princess-cruises/majestic-princess/cruises")</f>
        <v>https://odysia-cruise-uk.client.prod.eu-west.dreamlake.io/cruise-lines/princess-cruises/majestic-princess/cruises</v>
      </c>
      <c r="D392" s="152" t="s">
        <v>958</v>
      </c>
      <c r="E392" s="152" t="str">
        <f>IFERROR(__xludf.DUMMYFUNCTION("REGEXREPLACE(D392, ""https://odysia-cruise-uk.client.prod.eu-west.dreamlake.io"", """")"),"/cruise-lines/princess-cruises/majestic-princess/cruises")</f>
        <v>/cruise-lines/princess-cruises/majestic-princess/cruises</v>
      </c>
    </row>
    <row r="393">
      <c r="A393" s="154" t="s">
        <v>959</v>
      </c>
      <c r="B393" s="152" t="str">
        <f>IFERROR(__xludf.DUMMYFUNCTION("REGEXREPLACE(A393, ""&lt;loc&gt;"", """")"),"https://odysia-cruise-uk.client.prod.eu-west.dreamlake.io/cruise-lines/msc-cruises/msc-seashore/cruises&lt;/loc&gt;")</f>
        <v>https://odysia-cruise-uk.client.prod.eu-west.dreamlake.io/cruise-lines/msc-cruises/msc-seashore/cruises&lt;/loc&gt;</v>
      </c>
      <c r="C393" s="153" t="str">
        <f>IFERROR(__xludf.DUMMYFUNCTION("REGEXREPLACE(B393, ""&lt;/loc&gt;"", """")"),"https://odysia-cruise-uk.client.prod.eu-west.dreamlake.io/cruise-lines/msc-cruises/msc-seashore/cruises")</f>
        <v>https://odysia-cruise-uk.client.prod.eu-west.dreamlake.io/cruise-lines/msc-cruises/msc-seashore/cruises</v>
      </c>
      <c r="D393" s="152" t="s">
        <v>960</v>
      </c>
      <c r="E393" s="152" t="str">
        <f>IFERROR(__xludf.DUMMYFUNCTION("REGEXREPLACE(D393, ""https://odysia-cruise-uk.client.prod.eu-west.dreamlake.io"", """")"),"/cruise-lines/msc-cruises/msc-seashore/cruises")</f>
        <v>/cruise-lines/msc-cruises/msc-seashore/cruises</v>
      </c>
    </row>
    <row r="394">
      <c r="A394" s="154" t="s">
        <v>961</v>
      </c>
      <c r="B394" s="152" t="str">
        <f>IFERROR(__xludf.DUMMYFUNCTION("REGEXREPLACE(A394, ""&lt;loc&gt;"", """")"),"https://odysia-cruise-uk.client.prod.eu-west.dreamlake.io/cruise-lines/princess-cruises/ruby-princess&lt;/loc&gt;")</f>
        <v>https://odysia-cruise-uk.client.prod.eu-west.dreamlake.io/cruise-lines/princess-cruises/ruby-princess&lt;/loc&gt;</v>
      </c>
      <c r="C394" s="153" t="str">
        <f>IFERROR(__xludf.DUMMYFUNCTION("REGEXREPLACE(B394, ""&lt;/loc&gt;"", """")"),"https://odysia-cruise-uk.client.prod.eu-west.dreamlake.io/cruise-lines/princess-cruises/ruby-princess")</f>
        <v>https://odysia-cruise-uk.client.prod.eu-west.dreamlake.io/cruise-lines/princess-cruises/ruby-princess</v>
      </c>
      <c r="D394" s="152" t="s">
        <v>962</v>
      </c>
      <c r="E394" s="152" t="str">
        <f>IFERROR(__xludf.DUMMYFUNCTION("REGEXREPLACE(D394, ""https://odysia-cruise-uk.client.prod.eu-west.dreamlake.io"", """")"),"/cruise-lines/princess-cruises/ruby-princess")</f>
        <v>/cruise-lines/princess-cruises/ruby-princess</v>
      </c>
    </row>
    <row r="395">
      <c r="A395" s="154" t="s">
        <v>963</v>
      </c>
      <c r="B395" s="152" t="str">
        <f>IFERROR(__xludf.DUMMYFUNCTION("REGEXREPLACE(A395, ""&lt;loc&gt;"", """")"),"https://odysia-cruise-uk.client.prod.eu-west.dreamlake.io/cruise-lines/holland-america-line/westerdam/cruises&lt;/loc&gt;")</f>
        <v>https://odysia-cruise-uk.client.prod.eu-west.dreamlake.io/cruise-lines/holland-america-line/westerdam/cruises&lt;/loc&gt;</v>
      </c>
      <c r="C395" s="153" t="str">
        <f>IFERROR(__xludf.DUMMYFUNCTION("REGEXREPLACE(B395, ""&lt;/loc&gt;"", """")"),"https://odysia-cruise-uk.client.prod.eu-west.dreamlake.io/cruise-lines/holland-america-line/westerdam/cruises")</f>
        <v>https://odysia-cruise-uk.client.prod.eu-west.dreamlake.io/cruise-lines/holland-america-line/westerdam/cruises</v>
      </c>
      <c r="D395" s="152" t="s">
        <v>964</v>
      </c>
      <c r="E395" s="152" t="str">
        <f>IFERROR(__xludf.DUMMYFUNCTION("REGEXREPLACE(D395, ""https://odysia-cruise-uk.client.prod.eu-west.dreamlake.io"", """")"),"/cruise-lines/holland-america-line/westerdam/cruises")</f>
        <v>/cruise-lines/holland-america-line/westerdam/cruises</v>
      </c>
    </row>
    <row r="396">
      <c r="A396" s="154" t="s">
        <v>965</v>
      </c>
      <c r="B396" s="152" t="str">
        <f>IFERROR(__xludf.DUMMYFUNCTION("REGEXREPLACE(A396, ""&lt;loc&gt;"", """")"),"https://odysia-cruise-uk.client.prod.eu-west.dreamlake.io/cruise-lines/royal-caribbean/jewel-of-the-seas&lt;/loc&gt;")</f>
        <v>https://odysia-cruise-uk.client.prod.eu-west.dreamlake.io/cruise-lines/royal-caribbean/jewel-of-the-seas&lt;/loc&gt;</v>
      </c>
      <c r="C396" s="153" t="str">
        <f>IFERROR(__xludf.DUMMYFUNCTION("REGEXREPLACE(B396, ""&lt;/loc&gt;"", """")"),"https://odysia-cruise-uk.client.prod.eu-west.dreamlake.io/cruise-lines/royal-caribbean/jewel-of-the-seas")</f>
        <v>https://odysia-cruise-uk.client.prod.eu-west.dreamlake.io/cruise-lines/royal-caribbean/jewel-of-the-seas</v>
      </c>
      <c r="D396" s="152" t="s">
        <v>966</v>
      </c>
      <c r="E396" s="152" t="str">
        <f>IFERROR(__xludf.DUMMYFUNCTION("REGEXREPLACE(D396, ""https://odysia-cruise-uk.client.prod.eu-west.dreamlake.io"", """")"),"/cruise-lines/royal-caribbean/jewel-of-the-seas")</f>
        <v>/cruise-lines/royal-caribbean/jewel-of-the-seas</v>
      </c>
    </row>
    <row r="397">
      <c r="A397" s="154" t="s">
        <v>967</v>
      </c>
      <c r="B397" s="152" t="str">
        <f>IFERROR(__xludf.DUMMYFUNCTION("REGEXREPLACE(A397, ""&lt;loc&gt;"", """")"),"https://odysia-cruise-uk.client.prod.eu-west.dreamlake.io/cruise-lines/azamara/azamara-journey&lt;/loc&gt;")</f>
        <v>https://odysia-cruise-uk.client.prod.eu-west.dreamlake.io/cruise-lines/azamara/azamara-journey&lt;/loc&gt;</v>
      </c>
      <c r="C397" s="153" t="str">
        <f>IFERROR(__xludf.DUMMYFUNCTION("REGEXREPLACE(B397, ""&lt;/loc&gt;"", """")"),"https://odysia-cruise-uk.client.prod.eu-west.dreamlake.io/cruise-lines/azamara/azamara-journey")</f>
        <v>https://odysia-cruise-uk.client.prod.eu-west.dreamlake.io/cruise-lines/azamara/azamara-journey</v>
      </c>
    </row>
    <row r="398">
      <c r="A398" s="154" t="s">
        <v>968</v>
      </c>
      <c r="B398" s="152" t="str">
        <f>IFERROR(__xludf.DUMMYFUNCTION("REGEXREPLACE(A398, ""&lt;loc&gt;"", """")"),"https://odysia-cruise-uk.client.prod.eu-west.dreamlake.io/cruise-lines/oceania-cruises/oceania-marina/cruises&lt;/loc&gt;")</f>
        <v>https://odysia-cruise-uk.client.prod.eu-west.dreamlake.io/cruise-lines/oceania-cruises/oceania-marina/cruises&lt;/loc&gt;</v>
      </c>
      <c r="C398" s="153" t="str">
        <f>IFERROR(__xludf.DUMMYFUNCTION("REGEXREPLACE(B398, ""&lt;/loc&gt;"", """")"),"https://odysia-cruise-uk.client.prod.eu-west.dreamlake.io/cruise-lines/oceania-cruises/oceania-marina/cruises")</f>
        <v>https://odysia-cruise-uk.client.prod.eu-west.dreamlake.io/cruise-lines/oceania-cruises/oceania-marina/cruises</v>
      </c>
      <c r="D398" s="152" t="s">
        <v>969</v>
      </c>
      <c r="E398" s="152" t="str">
        <f>IFERROR(__xludf.DUMMYFUNCTION("REGEXREPLACE(D398, ""https://odysia-cruise-uk.client.prod.eu-west.dreamlake.io"", """")"),"/cruise-lines/oceania-cruises/oceania-marina/cruises")</f>
        <v>/cruise-lines/oceania-cruises/oceania-marina/cruises</v>
      </c>
    </row>
    <row r="399">
      <c r="A399" s="154" t="s">
        <v>970</v>
      </c>
      <c r="B399" s="152" t="str">
        <f>IFERROR(__xludf.DUMMYFUNCTION("REGEXREPLACE(A399, ""&lt;loc&gt;"", """")"),"https://odysia-cruise-uk.client.prod.eu-west.dreamlake.io/cruise-lines/norwegian-cruise-line/norwegian-joy&lt;/loc&gt;")</f>
        <v>https://odysia-cruise-uk.client.prod.eu-west.dreamlake.io/cruise-lines/norwegian-cruise-line/norwegian-joy&lt;/loc&gt;</v>
      </c>
      <c r="C399" s="153" t="str">
        <f>IFERROR(__xludf.DUMMYFUNCTION("REGEXREPLACE(B399, ""&lt;/loc&gt;"", """")"),"https://odysia-cruise-uk.client.prod.eu-west.dreamlake.io/cruise-lines/norwegian-cruise-line/norwegian-joy")</f>
        <v>https://odysia-cruise-uk.client.prod.eu-west.dreamlake.io/cruise-lines/norwegian-cruise-line/norwegian-joy</v>
      </c>
      <c r="D399" s="152" t="s">
        <v>971</v>
      </c>
      <c r="E399" s="152" t="str">
        <f>IFERROR(__xludf.DUMMYFUNCTION("REGEXREPLACE(D399, ""https://odysia-cruise-uk.client.prod.eu-west.dreamlake.io"", """")"),"/cruise-lines/norwegian-cruise-line/norwegian-joy")</f>
        <v>/cruise-lines/norwegian-cruise-line/norwegian-joy</v>
      </c>
    </row>
    <row r="400">
      <c r="A400" s="154" t="s">
        <v>972</v>
      </c>
      <c r="B400" s="152" t="str">
        <f>IFERROR(__xludf.DUMMYFUNCTION("REGEXREPLACE(A400, ""&lt;loc&gt;"", """")"),"https://odysia-cruise-uk.client.prod.eu-west.dreamlake.io/cruise-lines/costa-cruises/costa-serena&lt;/loc&gt;")</f>
        <v>https://odysia-cruise-uk.client.prod.eu-west.dreamlake.io/cruise-lines/costa-cruises/costa-serena&lt;/loc&gt;</v>
      </c>
      <c r="C400" s="153" t="str">
        <f>IFERROR(__xludf.DUMMYFUNCTION("REGEXREPLACE(B400, ""&lt;/loc&gt;"", """")"),"https://odysia-cruise-uk.client.prod.eu-west.dreamlake.io/cruise-lines/costa-cruises/costa-serena")</f>
        <v>https://odysia-cruise-uk.client.prod.eu-west.dreamlake.io/cruise-lines/costa-cruises/costa-serena</v>
      </c>
      <c r="D400" s="152" t="s">
        <v>973</v>
      </c>
      <c r="E400" s="152" t="str">
        <f>IFERROR(__xludf.DUMMYFUNCTION("REGEXREPLACE(D400, ""https://odysia-cruise-uk.client.prod.eu-west.dreamlake.io"", """")"),"/cruise-lines/costa-cruises/costa-serena")</f>
        <v>/cruise-lines/costa-cruises/costa-serena</v>
      </c>
    </row>
    <row r="401">
      <c r="A401" s="154" t="s">
        <v>974</v>
      </c>
      <c r="B401" s="152" t="str">
        <f>IFERROR(__xludf.DUMMYFUNCTION("REGEXREPLACE(A401, ""&lt;loc&gt;"", """")"),"https://odysia-cruise-uk.client.prod.eu-west.dreamlake.io/cruise-lines/royal-caribbean/cruises&lt;/loc&gt;")</f>
        <v>https://odysia-cruise-uk.client.prod.eu-west.dreamlake.io/cruise-lines/royal-caribbean/cruises&lt;/loc&gt;</v>
      </c>
      <c r="C401" s="153" t="str">
        <f>IFERROR(__xludf.DUMMYFUNCTION("REGEXREPLACE(B401, ""&lt;/loc&gt;"", """")"),"https://odysia-cruise-uk.client.prod.eu-west.dreamlake.io/cruise-lines/royal-caribbean/cruises")</f>
        <v>https://odysia-cruise-uk.client.prod.eu-west.dreamlake.io/cruise-lines/royal-caribbean/cruises</v>
      </c>
      <c r="D401" s="152" t="s">
        <v>975</v>
      </c>
      <c r="E401" s="152" t="str">
        <f>IFERROR(__xludf.DUMMYFUNCTION("REGEXREPLACE(D401, ""https://odysia-cruise-uk.client.prod.eu-west.dreamlake.io"", """")"),"/cruise-lines/royal-caribbean/cruises")</f>
        <v>/cruise-lines/royal-caribbean/cruises</v>
      </c>
    </row>
    <row r="402">
      <c r="A402" s="154" t="s">
        <v>976</v>
      </c>
      <c r="B402" s="152" t="str">
        <f>IFERROR(__xludf.DUMMYFUNCTION("REGEXREPLACE(A402, ""&lt;loc&gt;"", """")"),"https://odysia-cruise-uk.client.prod.eu-west.dreamlake.io/cruise-lines/celebrity-cruises/celebrity-equinox/cruises&lt;/loc&gt;")</f>
        <v>https://odysia-cruise-uk.client.prod.eu-west.dreamlake.io/cruise-lines/celebrity-cruises/celebrity-equinox/cruises&lt;/loc&gt;</v>
      </c>
      <c r="C402" s="153" t="str">
        <f>IFERROR(__xludf.DUMMYFUNCTION("REGEXREPLACE(B402, ""&lt;/loc&gt;"", """")"),"https://odysia-cruise-uk.client.prod.eu-west.dreamlake.io/cruise-lines/celebrity-cruises/celebrity-equinox/cruises")</f>
        <v>https://odysia-cruise-uk.client.prod.eu-west.dreamlake.io/cruise-lines/celebrity-cruises/celebrity-equinox/cruises</v>
      </c>
      <c r="D402" s="152" t="s">
        <v>977</v>
      </c>
      <c r="E402" s="152" t="str">
        <f>IFERROR(__xludf.DUMMYFUNCTION("REGEXREPLACE(D402, ""https://odysia-cruise-uk.client.prod.eu-west.dreamlake.io"", """")"),"/cruise-lines/celebrity-cruises/celebrity-equinox/cruises")</f>
        <v>/cruise-lines/celebrity-cruises/celebrity-equinox/cruises</v>
      </c>
    </row>
    <row r="403">
      <c r="A403" s="154" t="s">
        <v>978</v>
      </c>
      <c r="B403" s="152" t="str">
        <f>IFERROR(__xludf.DUMMYFUNCTION("REGEXREPLACE(A403, ""&lt;loc&gt;"", """")"),"https://odysia-cruise-uk.client.prod.eu-west.dreamlake.io/cruise-lines/msc-cruises/msc-world-america&lt;/loc&gt;")</f>
        <v>https://odysia-cruise-uk.client.prod.eu-west.dreamlake.io/cruise-lines/msc-cruises/msc-world-america&lt;/loc&gt;</v>
      </c>
      <c r="C403" s="153" t="str">
        <f>IFERROR(__xludf.DUMMYFUNCTION("REGEXREPLACE(B403, ""&lt;/loc&gt;"", """")"),"https://odysia-cruise-uk.client.prod.eu-west.dreamlake.io/cruise-lines/msc-cruises/msc-world-america")</f>
        <v>https://odysia-cruise-uk.client.prod.eu-west.dreamlake.io/cruise-lines/msc-cruises/msc-world-america</v>
      </c>
      <c r="D403" s="152" t="s">
        <v>979</v>
      </c>
      <c r="E403" s="152" t="str">
        <f>IFERROR(__xludf.DUMMYFUNCTION("REGEXREPLACE(D403, ""https://odysia-cruise-uk.client.prod.eu-west.dreamlake.io"", """")"),"/cruise-lines/msc-cruises/msc-world-america")</f>
        <v>/cruise-lines/msc-cruises/msc-world-america</v>
      </c>
    </row>
    <row r="404">
      <c r="A404" s="154" t="s">
        <v>980</v>
      </c>
      <c r="B404" s="152" t="str">
        <f>IFERROR(__xludf.DUMMYFUNCTION("REGEXREPLACE(A404, ""&lt;loc&gt;"", """")"),"https://odysia-cruise-uk.client.prod.eu-west.dreamlake.io/cruise-lines/msc-cruises/msc-grandiosa&lt;/loc&gt;")</f>
        <v>https://odysia-cruise-uk.client.prod.eu-west.dreamlake.io/cruise-lines/msc-cruises/msc-grandiosa&lt;/loc&gt;</v>
      </c>
      <c r="C404" s="153" t="str">
        <f>IFERROR(__xludf.DUMMYFUNCTION("REGEXREPLACE(B404, ""&lt;/loc&gt;"", """")"),"https://odysia-cruise-uk.client.prod.eu-west.dreamlake.io/cruise-lines/msc-cruises/msc-grandiosa")</f>
        <v>https://odysia-cruise-uk.client.prod.eu-west.dreamlake.io/cruise-lines/msc-cruises/msc-grandiosa</v>
      </c>
      <c r="D404" s="152" t="s">
        <v>981</v>
      </c>
      <c r="E404" s="152" t="str">
        <f>IFERROR(__xludf.DUMMYFUNCTION("REGEXREPLACE(D404, ""https://odysia-cruise-uk.client.prod.eu-west.dreamlake.io"", """")"),"/cruise-lines/msc-cruises/msc-grandiosa")</f>
        <v>/cruise-lines/msc-cruises/msc-grandiosa</v>
      </c>
    </row>
    <row r="405">
      <c r="A405" s="154" t="s">
        <v>982</v>
      </c>
      <c r="B405" s="152" t="str">
        <f>IFERROR(__xludf.DUMMYFUNCTION("REGEXREPLACE(A405, ""&lt;loc&gt;"", """")"),"https://odysia-cruise-uk.client.prod.eu-west.dreamlake.io/cruise-lines/celebrity-cruises/celebrity-summit/cruises&lt;/loc&gt;")</f>
        <v>https://odysia-cruise-uk.client.prod.eu-west.dreamlake.io/cruise-lines/celebrity-cruises/celebrity-summit/cruises&lt;/loc&gt;</v>
      </c>
      <c r="C405" s="153" t="str">
        <f>IFERROR(__xludf.DUMMYFUNCTION("REGEXREPLACE(B405, ""&lt;/loc&gt;"", """")"),"https://odysia-cruise-uk.client.prod.eu-west.dreamlake.io/cruise-lines/celebrity-cruises/celebrity-summit/cruises")</f>
        <v>https://odysia-cruise-uk.client.prod.eu-west.dreamlake.io/cruise-lines/celebrity-cruises/celebrity-summit/cruises</v>
      </c>
      <c r="D405" s="152" t="s">
        <v>983</v>
      </c>
      <c r="E405" s="152" t="str">
        <f>IFERROR(__xludf.DUMMYFUNCTION("REGEXREPLACE(D405, ""https://odysia-cruise-uk.client.prod.eu-west.dreamlake.io"", """")"),"/cruise-lines/celebrity-cruises/celebrity-summit/cruises")</f>
        <v>/cruise-lines/celebrity-cruises/celebrity-summit/cruises</v>
      </c>
    </row>
    <row r="406">
      <c r="A406" s="154" t="s">
        <v>984</v>
      </c>
      <c r="B406" s="152" t="str">
        <f>IFERROR(__xludf.DUMMYFUNCTION("REGEXREPLACE(A406, ""&lt;loc&gt;"", """")"),"https://odysia-cruise-uk.client.prod.eu-west.dreamlake.io/cruise-lines/norwegian-cruise-line/norwegian-pearl/cruises&lt;/loc&gt;")</f>
        <v>https://odysia-cruise-uk.client.prod.eu-west.dreamlake.io/cruise-lines/norwegian-cruise-line/norwegian-pearl/cruises&lt;/loc&gt;</v>
      </c>
      <c r="C406" s="153" t="str">
        <f>IFERROR(__xludf.DUMMYFUNCTION("REGEXREPLACE(B406, ""&lt;/loc&gt;"", """")"),"https://odysia-cruise-uk.client.prod.eu-west.dreamlake.io/cruise-lines/norwegian-cruise-line/norwegian-pearl/cruises")</f>
        <v>https://odysia-cruise-uk.client.prod.eu-west.dreamlake.io/cruise-lines/norwegian-cruise-line/norwegian-pearl/cruises</v>
      </c>
      <c r="D406" s="152" t="s">
        <v>985</v>
      </c>
      <c r="E406" s="152" t="str">
        <f>IFERROR(__xludf.DUMMYFUNCTION("REGEXREPLACE(D406, ""https://odysia-cruise-uk.client.prod.eu-west.dreamlake.io"", """")"),"/cruise-lines/norwegian-cruise-line/norwegian-pearl/cruises")</f>
        <v>/cruise-lines/norwegian-cruise-line/norwegian-pearl/cruises</v>
      </c>
    </row>
    <row r="407">
      <c r="A407" s="154" t="s">
        <v>854</v>
      </c>
      <c r="B407" s="152" t="str">
        <f>IFERROR(__xludf.DUMMYFUNCTION("REGEXREPLACE(A407, ""&lt;loc&gt;"", """")"),"https://odysia-cruise-uk.client.prod.eu-west.dreamlake.io/cruises&lt;/loc&gt;")</f>
        <v>https://odysia-cruise-uk.client.prod.eu-west.dreamlake.io/cruises&lt;/loc&gt;</v>
      </c>
      <c r="C407" s="153" t="str">
        <f>IFERROR(__xludf.DUMMYFUNCTION("REGEXREPLACE(B407, ""&lt;/loc&gt;"", """")"),"https://odysia-cruise-uk.client.prod.eu-west.dreamlake.io/cruises")</f>
        <v>https://odysia-cruise-uk.client.prod.eu-west.dreamlake.io/cruises</v>
      </c>
    </row>
    <row r="408">
      <c r="A408" s="154" t="s">
        <v>986</v>
      </c>
      <c r="B408" s="152" t="str">
        <f>IFERROR(__xludf.DUMMYFUNCTION("REGEXREPLACE(A408, ""&lt;loc&gt;"", """")"),"https://odysia-cruise-uk.client.prod.eu-west.dreamlake.io/cruise-lines/princess-cruises/royal-princess&lt;/loc&gt;")</f>
        <v>https://odysia-cruise-uk.client.prod.eu-west.dreamlake.io/cruise-lines/princess-cruises/royal-princess&lt;/loc&gt;</v>
      </c>
      <c r="C408" s="153" t="str">
        <f>IFERROR(__xludf.DUMMYFUNCTION("REGEXREPLACE(B408, ""&lt;/loc&gt;"", """")"),"https://odysia-cruise-uk.client.prod.eu-west.dreamlake.io/cruise-lines/princess-cruises/royal-princess")</f>
        <v>https://odysia-cruise-uk.client.prod.eu-west.dreamlake.io/cruise-lines/princess-cruises/royal-princess</v>
      </c>
      <c r="D408" s="152" t="s">
        <v>987</v>
      </c>
      <c r="E408" s="152" t="str">
        <f>IFERROR(__xludf.DUMMYFUNCTION("REGEXREPLACE(D408, ""https://odysia-cruise-uk.client.prod.eu-west.dreamlake.io"", """")"),"/cruise-lines/princess-cruises/royal-princess")</f>
        <v>/cruise-lines/princess-cruises/royal-princess</v>
      </c>
    </row>
    <row r="409">
      <c r="A409" s="154" t="s">
        <v>988</v>
      </c>
      <c r="B409" s="152" t="str">
        <f>IFERROR(__xludf.DUMMYFUNCTION("REGEXREPLACE(A409, ""&lt;loc&gt;"", """")"),"https://odysia-cruise-uk.client.prod.eu-west.dreamlake.io/cruise-lines/virgin-voyages/brilliant-lady&lt;/loc&gt;")</f>
        <v>https://odysia-cruise-uk.client.prod.eu-west.dreamlake.io/cruise-lines/virgin-voyages/brilliant-lady&lt;/loc&gt;</v>
      </c>
      <c r="C409" s="153" t="str">
        <f>IFERROR(__xludf.DUMMYFUNCTION("REGEXREPLACE(B409, ""&lt;/loc&gt;"", """")"),"https://odysia-cruise-uk.client.prod.eu-west.dreamlake.io/cruise-lines/virgin-voyages/brilliant-lady")</f>
        <v>https://odysia-cruise-uk.client.prod.eu-west.dreamlake.io/cruise-lines/virgin-voyages/brilliant-lady</v>
      </c>
      <c r="D409" s="152" t="s">
        <v>989</v>
      </c>
      <c r="E409" s="152" t="str">
        <f>IFERROR(__xludf.DUMMYFUNCTION("REGEXREPLACE(D409, ""https://odysia-cruise-uk.client.prod.eu-west.dreamlake.io"", """")"),"/cruise-lines/virgin-voyages/brilliant-lady")</f>
        <v>/cruise-lines/virgin-voyages/brilliant-lady</v>
      </c>
    </row>
    <row r="410">
      <c r="A410" s="154" t="s">
        <v>990</v>
      </c>
      <c r="B410" s="152" t="str">
        <f>IFERROR(__xludf.DUMMYFUNCTION("REGEXREPLACE(A410, ""&lt;loc&gt;"", """")"),"https://odysia-cruise-uk.client.prod.eu-west.dreamlake.io/cruise-lines/royal-caribbean/wonder-of-the-seas&lt;/loc&gt;")</f>
        <v>https://odysia-cruise-uk.client.prod.eu-west.dreamlake.io/cruise-lines/royal-caribbean/wonder-of-the-seas&lt;/loc&gt;</v>
      </c>
      <c r="C410" s="153" t="str">
        <f>IFERROR(__xludf.DUMMYFUNCTION("REGEXREPLACE(B410, ""&lt;/loc&gt;"", """")"),"https://odysia-cruise-uk.client.prod.eu-west.dreamlake.io/cruise-lines/royal-caribbean/wonder-of-the-seas")</f>
        <v>https://odysia-cruise-uk.client.prod.eu-west.dreamlake.io/cruise-lines/royal-caribbean/wonder-of-the-seas</v>
      </c>
      <c r="D410" s="152" t="s">
        <v>991</v>
      </c>
      <c r="E410" s="152" t="str">
        <f>IFERROR(__xludf.DUMMYFUNCTION("REGEXREPLACE(D410, ""https://odysia-cruise-uk.client.prod.eu-west.dreamlake.io"", """")"),"/cruise-lines/royal-caribbean/wonder-of-the-seas")</f>
        <v>/cruise-lines/royal-caribbean/wonder-of-the-seas</v>
      </c>
    </row>
    <row r="411">
      <c r="A411" s="154" t="s">
        <v>992</v>
      </c>
      <c r="B411" s="152" t="str">
        <f>IFERROR(__xludf.DUMMYFUNCTION("REGEXREPLACE(A411, ""&lt;loc&gt;"", """")"),"https://odysia-cruise-uk.client.prod.eu-west.dreamlake.io/cruise-lines/azamara/azamara-pursuit&lt;/loc&gt;")</f>
        <v>https://odysia-cruise-uk.client.prod.eu-west.dreamlake.io/cruise-lines/azamara/azamara-pursuit&lt;/loc&gt;</v>
      </c>
      <c r="C411" s="153" t="str">
        <f>IFERROR(__xludf.DUMMYFUNCTION("REGEXREPLACE(B411, ""&lt;/loc&gt;"", """")"),"https://odysia-cruise-uk.client.prod.eu-west.dreamlake.io/cruise-lines/azamara/azamara-pursuit")</f>
        <v>https://odysia-cruise-uk.client.prod.eu-west.dreamlake.io/cruise-lines/azamara/azamara-pursuit</v>
      </c>
    </row>
    <row r="412">
      <c r="A412" s="154" t="s">
        <v>993</v>
      </c>
      <c r="B412" s="152" t="str">
        <f>IFERROR(__xludf.DUMMYFUNCTION("REGEXREPLACE(A412, ""&lt;loc&gt;"", """")"),"https://odysia-cruise-uk.client.prod.eu-west.dreamlake.io/cruise-lines/po-cruises&lt;/loc&gt;")</f>
        <v>https://odysia-cruise-uk.client.prod.eu-west.dreamlake.io/cruise-lines/po-cruises&lt;/loc&gt;</v>
      </c>
      <c r="C412" s="153" t="str">
        <f>IFERROR(__xludf.DUMMYFUNCTION("REGEXREPLACE(B412, ""&lt;/loc&gt;"", """")"),"https://odysia-cruise-uk.client.prod.eu-west.dreamlake.io/cruise-lines/po-cruises")</f>
        <v>https://odysia-cruise-uk.client.prod.eu-west.dreamlake.io/cruise-lines/po-cruises</v>
      </c>
      <c r="D412" s="152" t="s">
        <v>994</v>
      </c>
      <c r="E412" s="152" t="str">
        <f>IFERROR(__xludf.DUMMYFUNCTION("REGEXREPLACE(D412, ""https://odysia-cruise-uk.client.prod.eu-west.dreamlake.io"", """")"),"/cruise-lines/po-cruises")</f>
        <v>/cruise-lines/po-cruises</v>
      </c>
    </row>
    <row r="413">
      <c r="A413" s="154" t="s">
        <v>995</v>
      </c>
      <c r="B413" s="152" t="str">
        <f>IFERROR(__xludf.DUMMYFUNCTION("REGEXREPLACE(A413, ""&lt;loc&gt;"", """")"),"https://odysia-cruise-uk.client.prod.eu-west.dreamlake.io/cruise-lines/seabourn/seabourn-encore/cruises&lt;/loc&gt;")</f>
        <v>https://odysia-cruise-uk.client.prod.eu-west.dreamlake.io/cruise-lines/seabourn/seabourn-encore/cruises&lt;/loc&gt;</v>
      </c>
      <c r="C413" s="153" t="str">
        <f>IFERROR(__xludf.DUMMYFUNCTION("REGEXREPLACE(B413, ""&lt;/loc&gt;"", """")"),"https://odysia-cruise-uk.client.prod.eu-west.dreamlake.io/cruise-lines/seabourn/seabourn-encore/cruises")</f>
        <v>https://odysia-cruise-uk.client.prod.eu-west.dreamlake.io/cruise-lines/seabourn/seabourn-encore/cruises</v>
      </c>
      <c r="D413" s="152" t="s">
        <v>996</v>
      </c>
      <c r="E413" s="152" t="str">
        <f>IFERROR(__xludf.DUMMYFUNCTION("REGEXREPLACE(D413, ""https://odysia-cruise-uk.client.prod.eu-west.dreamlake.io"", """")"),"/cruise-lines/seabourn/seabourn-encore/cruises")</f>
        <v>/cruise-lines/seabourn/seabourn-encore/cruises</v>
      </c>
    </row>
    <row r="414">
      <c r="A414" s="154" t="s">
        <v>997</v>
      </c>
      <c r="B414" s="152" t="str">
        <f>IFERROR(__xludf.DUMMYFUNCTION("REGEXREPLACE(A414, ""&lt;loc&gt;"", """")"),"https://odysia-cruise-uk.client.prod.eu-west.dreamlake.io/cruise-lines/regent-seven-seas-cruises/seven-seas-navigator&lt;/loc&gt;")</f>
        <v>https://odysia-cruise-uk.client.prod.eu-west.dreamlake.io/cruise-lines/regent-seven-seas-cruises/seven-seas-navigator&lt;/loc&gt;</v>
      </c>
      <c r="C414" s="153" t="str">
        <f>IFERROR(__xludf.DUMMYFUNCTION("REGEXREPLACE(B414, ""&lt;/loc&gt;"", """")"),"https://odysia-cruise-uk.client.prod.eu-west.dreamlake.io/cruise-lines/regent-seven-seas-cruises/seven-seas-navigator")</f>
        <v>https://odysia-cruise-uk.client.prod.eu-west.dreamlake.io/cruise-lines/regent-seven-seas-cruises/seven-seas-navigator</v>
      </c>
      <c r="D414" s="152" t="s">
        <v>998</v>
      </c>
      <c r="E414" s="152" t="str">
        <f>IFERROR(__xludf.DUMMYFUNCTION("REGEXREPLACE(D414, ""https://odysia-cruise-uk.client.prod.eu-west.dreamlake.io"", """")"),"/cruise-lines/regent-seven-seas-cruises/seven-seas-navigator")</f>
        <v>/cruise-lines/regent-seven-seas-cruises/seven-seas-navigator</v>
      </c>
    </row>
    <row r="415">
      <c r="A415" s="154" t="s">
        <v>999</v>
      </c>
      <c r="B415" s="152" t="str">
        <f>IFERROR(__xludf.DUMMYFUNCTION("REGEXREPLACE(A415, ""&lt;loc&gt;"", """")"),"https://odysia-cruise-uk.client.prod.eu-west.dreamlake.io/cruise-deals&lt;/loc&gt;")</f>
        <v>https://odysia-cruise-uk.client.prod.eu-west.dreamlake.io/cruise-deals&lt;/loc&gt;</v>
      </c>
      <c r="C415" s="153" t="str">
        <f>IFERROR(__xludf.DUMMYFUNCTION("REGEXREPLACE(B415, ""&lt;/loc&gt;"", """")"),"https://odysia-cruise-uk.client.prod.eu-west.dreamlake.io/cruise-deals")</f>
        <v>https://odysia-cruise-uk.client.prod.eu-west.dreamlake.io/cruise-deals</v>
      </c>
      <c r="D415" s="152" t="s">
        <v>1000</v>
      </c>
    </row>
    <row r="416">
      <c r="A416" s="154" t="s">
        <v>1001</v>
      </c>
      <c r="B416" s="152" t="str">
        <f>IFERROR(__xludf.DUMMYFUNCTION("REGEXREPLACE(A416, ""&lt;loc&gt;"", """")"),"https://odysia-cruise-uk.client.prod.eu-west.dreamlake.io/cruise-lines/princess-cruises/enchanted-princess/cruises&lt;/loc&gt;")</f>
        <v>https://odysia-cruise-uk.client.prod.eu-west.dreamlake.io/cruise-lines/princess-cruises/enchanted-princess/cruises&lt;/loc&gt;</v>
      </c>
      <c r="C416" s="153" t="str">
        <f>IFERROR(__xludf.DUMMYFUNCTION("REGEXREPLACE(B416, ""&lt;/loc&gt;"", """")"),"https://odysia-cruise-uk.client.prod.eu-west.dreamlake.io/cruise-lines/princess-cruises/enchanted-princess/cruises")</f>
        <v>https://odysia-cruise-uk.client.prod.eu-west.dreamlake.io/cruise-lines/princess-cruises/enchanted-princess/cruises</v>
      </c>
      <c r="D416" s="152" t="s">
        <v>1002</v>
      </c>
      <c r="E416" s="152" t="str">
        <f>IFERROR(__xludf.DUMMYFUNCTION("REGEXREPLACE(D416, ""https://odysia-cruise-uk.client.prod.eu-west.dreamlake.io"", """")"),"/cruise-lines/princess-cruises/enchanted-princess/cruises")</f>
        <v>/cruise-lines/princess-cruises/enchanted-princess/cruises</v>
      </c>
    </row>
    <row r="417">
      <c r="A417" s="154" t="s">
        <v>1003</v>
      </c>
      <c r="B417" s="152" t="str">
        <f>IFERROR(__xludf.DUMMYFUNCTION("REGEXREPLACE(A417, ""&lt;loc&gt;"", """")"),"https://odysia-cruise-uk.client.prod.eu-west.dreamlake.io/cruise-lines/royal-caribbean/harmony-of-the-seas&lt;/loc&gt;")</f>
        <v>https://odysia-cruise-uk.client.prod.eu-west.dreamlake.io/cruise-lines/royal-caribbean/harmony-of-the-seas&lt;/loc&gt;</v>
      </c>
      <c r="C417" s="153" t="str">
        <f>IFERROR(__xludf.DUMMYFUNCTION("REGEXREPLACE(B417, ""&lt;/loc&gt;"", """")"),"https://odysia-cruise-uk.client.prod.eu-west.dreamlake.io/cruise-lines/royal-caribbean/harmony-of-the-seas")</f>
        <v>https://odysia-cruise-uk.client.prod.eu-west.dreamlake.io/cruise-lines/royal-caribbean/harmony-of-the-seas</v>
      </c>
      <c r="D417" s="152" t="s">
        <v>1004</v>
      </c>
      <c r="E417" s="152" t="str">
        <f>IFERROR(__xludf.DUMMYFUNCTION("REGEXREPLACE(D417, ""https://odysia-cruise-uk.client.prod.eu-west.dreamlake.io"", """")"),"/cruise-lines/royal-caribbean/harmony-of-the-seas")</f>
        <v>/cruise-lines/royal-caribbean/harmony-of-the-seas</v>
      </c>
    </row>
    <row r="418">
      <c r="A418" s="154" t="s">
        <v>1005</v>
      </c>
      <c r="B418" s="152" t="str">
        <f>IFERROR(__xludf.DUMMYFUNCTION("REGEXREPLACE(A418, ""&lt;loc&gt;"", """")"),"https://odysia-cruise-uk.client.prod.eu-west.dreamlake.io/destinations/world-cruise&lt;/loc&gt;")</f>
        <v>https://odysia-cruise-uk.client.prod.eu-west.dreamlake.io/destinations/world-cruise&lt;/loc&gt;</v>
      </c>
      <c r="C418" s="153" t="str">
        <f>IFERROR(__xludf.DUMMYFUNCTION("REGEXREPLACE(B418, ""&lt;/loc&gt;"", """")"),"https://odysia-cruise-uk.client.prod.eu-west.dreamlake.io/destinations/world-cruise")</f>
        <v>https://odysia-cruise-uk.client.prod.eu-west.dreamlake.io/destinations/world-cruise</v>
      </c>
    </row>
    <row r="419">
      <c r="A419" s="154" t="s">
        <v>1006</v>
      </c>
      <c r="B419" s="152" t="str">
        <f>IFERROR(__xludf.DUMMYFUNCTION("REGEXREPLACE(A419, ""&lt;loc&gt;"", """")"),"https://odysia-cruise-uk.client.prod.eu-west.dreamlake.io/cruise-lines/princess-cruises/cruises&lt;/loc&gt;")</f>
        <v>https://odysia-cruise-uk.client.prod.eu-west.dreamlake.io/cruise-lines/princess-cruises/cruises&lt;/loc&gt;</v>
      </c>
      <c r="C419" s="153" t="str">
        <f>IFERROR(__xludf.DUMMYFUNCTION("REGEXREPLACE(B419, ""&lt;/loc&gt;"", """")"),"https://odysia-cruise-uk.client.prod.eu-west.dreamlake.io/cruise-lines/princess-cruises/cruises")</f>
        <v>https://odysia-cruise-uk.client.prod.eu-west.dreamlake.io/cruise-lines/princess-cruises/cruises</v>
      </c>
      <c r="D419" s="152" t="s">
        <v>1007</v>
      </c>
      <c r="E419" s="152" t="str">
        <f>IFERROR(__xludf.DUMMYFUNCTION("REGEXREPLACE(D419, ""https://odysia-cruise-uk.client.prod.eu-west.dreamlake.io"", """")"),"/cruise-lines/princess-cruises/cruises")</f>
        <v>/cruise-lines/princess-cruises/cruises</v>
      </c>
    </row>
    <row r="420">
      <c r="A420" s="154" t="s">
        <v>1008</v>
      </c>
      <c r="B420" s="152" t="str">
        <f>IFERROR(__xludf.DUMMYFUNCTION("REGEXREPLACE(A420, ""&lt;loc&gt;"", """")"),"https://odysia-cruise-uk.client.prod.eu-west.dreamlake.io/cruise-lines/msc-cruises/msc-lirica/cruises&lt;/loc&gt;")</f>
        <v>https://odysia-cruise-uk.client.prod.eu-west.dreamlake.io/cruise-lines/msc-cruises/msc-lirica/cruises&lt;/loc&gt;</v>
      </c>
      <c r="C420" s="153" t="str">
        <f>IFERROR(__xludf.DUMMYFUNCTION("REGEXREPLACE(B420, ""&lt;/loc&gt;"", """")"),"https://odysia-cruise-uk.client.prod.eu-west.dreamlake.io/cruise-lines/msc-cruises/msc-lirica/cruises")</f>
        <v>https://odysia-cruise-uk.client.prod.eu-west.dreamlake.io/cruise-lines/msc-cruises/msc-lirica/cruises</v>
      </c>
      <c r="D420" s="152" t="s">
        <v>1009</v>
      </c>
      <c r="E420" s="152" t="str">
        <f>IFERROR(__xludf.DUMMYFUNCTION("REGEXREPLACE(D420, ""https://odysia-cruise-uk.client.prod.eu-west.dreamlake.io"", """")"),"/cruise-lines/msc-cruises/msc-lirica/cruises")</f>
        <v>/cruise-lines/msc-cruises/msc-lirica/cruises</v>
      </c>
    </row>
    <row r="421">
      <c r="A421" s="154" t="s">
        <v>1010</v>
      </c>
      <c r="B421" s="152" t="str">
        <f>IFERROR(__xludf.DUMMYFUNCTION("REGEXREPLACE(A421, ""&lt;loc&gt;"", """")"),"https://odysia-cruise-uk.client.prod.eu-west.dreamlake.io/cruise-lines/msc-cruises/msc-world-america/cruises&lt;/loc&gt;")</f>
        <v>https://odysia-cruise-uk.client.prod.eu-west.dreamlake.io/cruise-lines/msc-cruises/msc-world-america/cruises&lt;/loc&gt;</v>
      </c>
      <c r="C421" s="153" t="str">
        <f>IFERROR(__xludf.DUMMYFUNCTION("REGEXREPLACE(B421, ""&lt;/loc&gt;"", """")"),"https://odysia-cruise-uk.client.prod.eu-west.dreamlake.io/cruise-lines/msc-cruises/msc-world-america/cruises")</f>
        <v>https://odysia-cruise-uk.client.prod.eu-west.dreamlake.io/cruise-lines/msc-cruises/msc-world-america/cruises</v>
      </c>
      <c r="D421" s="152" t="s">
        <v>1011</v>
      </c>
      <c r="E421" s="152" t="str">
        <f>IFERROR(__xludf.DUMMYFUNCTION("REGEXREPLACE(D421, ""https://odysia-cruise-uk.client.prod.eu-west.dreamlake.io"", """")"),"/cruise-lines/msc-cruises/msc-world-america/cruises")</f>
        <v>/cruise-lines/msc-cruises/msc-world-america/cruises</v>
      </c>
    </row>
    <row r="422">
      <c r="A422" s="154" t="s">
        <v>1012</v>
      </c>
      <c r="B422" s="152" t="str">
        <f>IFERROR(__xludf.DUMMYFUNCTION("REGEXREPLACE(A422, ""&lt;loc&gt;"", """")"),"https://odysia-cruise-uk.client.prod.eu-west.dreamlake.io/cruise-lines/holland-america-line/westerdam&lt;/loc&gt;")</f>
        <v>https://odysia-cruise-uk.client.prod.eu-west.dreamlake.io/cruise-lines/holland-america-line/westerdam&lt;/loc&gt;</v>
      </c>
      <c r="C422" s="153" t="str">
        <f>IFERROR(__xludf.DUMMYFUNCTION("REGEXREPLACE(B422, ""&lt;/loc&gt;"", """")"),"https://odysia-cruise-uk.client.prod.eu-west.dreamlake.io/cruise-lines/holland-america-line/westerdam")</f>
        <v>https://odysia-cruise-uk.client.prod.eu-west.dreamlake.io/cruise-lines/holland-america-line/westerdam</v>
      </c>
      <c r="D422" s="152" t="s">
        <v>1013</v>
      </c>
      <c r="E422" s="152" t="str">
        <f>IFERROR(__xludf.DUMMYFUNCTION("REGEXREPLACE(D422, ""https://odysia-cruise-uk.client.prod.eu-west.dreamlake.io"", """")"),"/cruise-lines/holland-america-line/westerdam")</f>
        <v>/cruise-lines/holland-america-line/westerdam</v>
      </c>
    </row>
    <row r="423">
      <c r="A423" s="154" t="s">
        <v>1014</v>
      </c>
      <c r="B423" s="152" t="str">
        <f>IFERROR(__xludf.DUMMYFUNCTION("REGEXREPLACE(A423, ""&lt;loc&gt;"", """")"),"https://odysia-cruise-uk.client.prod.eu-west.dreamlake.io/cruise-lines/seabourn/seabourn-pursuit&lt;/loc&gt;")</f>
        <v>https://odysia-cruise-uk.client.prod.eu-west.dreamlake.io/cruise-lines/seabourn/seabourn-pursuit&lt;/loc&gt;</v>
      </c>
      <c r="C423" s="153" t="str">
        <f>IFERROR(__xludf.DUMMYFUNCTION("REGEXREPLACE(B423, ""&lt;/loc&gt;"", """")"),"https://odysia-cruise-uk.client.prod.eu-west.dreamlake.io/cruise-lines/seabourn/seabourn-pursuit")</f>
        <v>https://odysia-cruise-uk.client.prod.eu-west.dreamlake.io/cruise-lines/seabourn/seabourn-pursuit</v>
      </c>
      <c r="D423" s="152" t="s">
        <v>1015</v>
      </c>
      <c r="E423" s="152" t="str">
        <f>IFERROR(__xludf.DUMMYFUNCTION("REGEXREPLACE(D423, ""https://odysia-cruise-uk.client.prod.eu-west.dreamlake.io"", """")"),"/cruise-lines/seabourn/seabourn-pursuit")</f>
        <v>/cruise-lines/seabourn/seabourn-pursuit</v>
      </c>
    </row>
    <row r="424">
      <c r="A424" s="154" t="s">
        <v>1016</v>
      </c>
      <c r="B424" s="152" t="str">
        <f>IFERROR(__xludf.DUMMYFUNCTION("REGEXREPLACE(A424, ""&lt;loc&gt;"", """")"),"https://odysia-cruise-uk.client.prod.eu-west.dreamlake.io/cruise-lines/explora-journeys/explora-ii/cruises&lt;/loc&gt;")</f>
        <v>https://odysia-cruise-uk.client.prod.eu-west.dreamlake.io/cruise-lines/explora-journeys/explora-ii/cruises&lt;/loc&gt;</v>
      </c>
      <c r="C424" s="153" t="str">
        <f>IFERROR(__xludf.DUMMYFUNCTION("REGEXREPLACE(B424, ""&lt;/loc&gt;"", """")"),"https://odysia-cruise-uk.client.prod.eu-west.dreamlake.io/cruise-lines/explora-journeys/explora-ii/cruises")</f>
        <v>https://odysia-cruise-uk.client.prod.eu-west.dreamlake.io/cruise-lines/explora-journeys/explora-ii/cruises</v>
      </c>
      <c r="D424" s="152" t="s">
        <v>1017</v>
      </c>
      <c r="E424" s="152" t="str">
        <f>IFERROR(__xludf.DUMMYFUNCTION("REGEXREPLACE(D424, ""https://odysia-cruise-uk.client.prod.eu-west.dreamlake.io"", """")"),"/cruise-lines/explora-journeys/explora-ii/cruises")</f>
        <v>/cruise-lines/explora-journeys/explora-ii/cruises</v>
      </c>
    </row>
    <row r="425">
      <c r="A425" s="154" t="s">
        <v>1018</v>
      </c>
      <c r="B425" s="152" t="str">
        <f>IFERROR(__xludf.DUMMYFUNCTION("REGEXREPLACE(A425, ""&lt;loc&gt;"", """")"),"https://odysia-cruise-uk.client.prod.eu-west.dreamlake.io/cruise-lines/holland-america-line/oosterdam&lt;/loc&gt;")</f>
        <v>https://odysia-cruise-uk.client.prod.eu-west.dreamlake.io/cruise-lines/holland-america-line/oosterdam&lt;/loc&gt;</v>
      </c>
      <c r="C425" s="153" t="str">
        <f>IFERROR(__xludf.DUMMYFUNCTION("REGEXREPLACE(B425, ""&lt;/loc&gt;"", """")"),"https://odysia-cruise-uk.client.prod.eu-west.dreamlake.io/cruise-lines/holland-america-line/oosterdam")</f>
        <v>https://odysia-cruise-uk.client.prod.eu-west.dreamlake.io/cruise-lines/holland-america-line/oosterdam</v>
      </c>
      <c r="D425" s="152" t="s">
        <v>1019</v>
      </c>
      <c r="E425" s="152" t="str">
        <f>IFERROR(__xludf.DUMMYFUNCTION("REGEXREPLACE(D425, ""https://odysia-cruise-uk.client.prod.eu-west.dreamlake.io"", """")"),"/cruise-lines/holland-america-line/oosterdam")</f>
        <v>/cruise-lines/holland-america-line/oosterdam</v>
      </c>
    </row>
    <row r="426">
      <c r="A426" s="154" t="s">
        <v>1020</v>
      </c>
      <c r="B426" s="152" t="str">
        <f>IFERROR(__xludf.DUMMYFUNCTION("REGEXREPLACE(A426, ""&lt;loc&gt;"", """")"),"https://odysia-cruise-uk.client.prod.eu-west.dreamlake.io/destinations/far-east-cruises&lt;/loc&gt;")</f>
        <v>https://odysia-cruise-uk.client.prod.eu-west.dreamlake.io/destinations/far-east-cruises&lt;/loc&gt;</v>
      </c>
      <c r="C426" s="153" t="str">
        <f>IFERROR(__xludf.DUMMYFUNCTION("REGEXREPLACE(B426, ""&lt;/loc&gt;"", """")"),"https://odysia-cruise-uk.client.prod.eu-west.dreamlake.io/destinations/far-east-cruises")</f>
        <v>https://odysia-cruise-uk.client.prod.eu-west.dreamlake.io/destinations/far-east-cruises</v>
      </c>
    </row>
    <row r="427">
      <c r="A427" s="154" t="s">
        <v>1021</v>
      </c>
      <c r="B427" s="152" t="str">
        <f>IFERROR(__xludf.DUMMYFUNCTION("REGEXREPLACE(A427, ""&lt;loc&gt;"", """")"),"https://odysia-cruise-uk.client.prod.eu-west.dreamlake.io/cruise-lines/costa-cruises/costa-fortuna&lt;/loc&gt;")</f>
        <v>https://odysia-cruise-uk.client.prod.eu-west.dreamlake.io/cruise-lines/costa-cruises/costa-fortuna&lt;/loc&gt;</v>
      </c>
      <c r="C427" s="153" t="str">
        <f>IFERROR(__xludf.DUMMYFUNCTION("REGEXREPLACE(B427, ""&lt;/loc&gt;"", """")"),"https://odysia-cruise-uk.client.prod.eu-west.dreamlake.io/cruise-lines/costa-cruises/costa-fortuna")</f>
        <v>https://odysia-cruise-uk.client.prod.eu-west.dreamlake.io/cruise-lines/costa-cruises/costa-fortuna</v>
      </c>
      <c r="D427" s="152" t="s">
        <v>1022</v>
      </c>
      <c r="E427" s="152" t="str">
        <f>IFERROR(__xludf.DUMMYFUNCTION("REGEXREPLACE(D427, ""https://odysia-cruise-uk.client.prod.eu-west.dreamlake.io"", """")"),"/cruise-lines/costa-cruises/costa-fortuna")</f>
        <v>/cruise-lines/costa-cruises/costa-fortuna</v>
      </c>
    </row>
  </sheetData>
  <autoFilter ref="$A$1:$C$427"/>
  <hyperlinks>
    <hyperlink r:id="rId1" ref="D8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0.13"/>
    <col customWidth="1" min="4" max="4" width="26.88"/>
  </cols>
  <sheetData>
    <row r="1" ht="15.0" customHeight="1">
      <c r="A1" s="11" t="s">
        <v>1023</v>
      </c>
      <c r="B1" s="53"/>
      <c r="C1" s="53"/>
      <c r="D1" s="54"/>
      <c r="E1" s="54"/>
    </row>
    <row r="2" ht="73.5" customHeight="1">
      <c r="A2" s="11"/>
      <c r="B2" s="56"/>
      <c r="C2" s="57"/>
      <c r="D2" s="58"/>
      <c r="E2" s="58"/>
    </row>
    <row r="3">
      <c r="A3" s="11"/>
      <c r="B3" s="156"/>
      <c r="C3" s="156"/>
      <c r="D3" s="156"/>
      <c r="E3" s="156"/>
    </row>
    <row r="4">
      <c r="A4" s="11"/>
      <c r="B4" s="61" t="s">
        <v>91</v>
      </c>
      <c r="E4" s="60"/>
    </row>
    <row r="5">
      <c r="A5" s="11"/>
      <c r="B5" s="62" t="s">
        <v>92</v>
      </c>
      <c r="C5" s="63" t="s">
        <v>93</v>
      </c>
      <c r="D5" s="64" t="s">
        <v>94</v>
      </c>
      <c r="E5" s="65" t="s">
        <v>95</v>
      </c>
    </row>
    <row r="6">
      <c r="A6" s="11"/>
      <c r="B6" s="66" t="s">
        <v>26</v>
      </c>
      <c r="C6" s="21" t="s">
        <v>1024</v>
      </c>
      <c r="D6" s="21" t="s">
        <v>97</v>
      </c>
      <c r="E6" s="76" t="s">
        <v>97</v>
      </c>
    </row>
    <row r="7">
      <c r="A7" s="11"/>
      <c r="B7" s="25" t="s">
        <v>38</v>
      </c>
      <c r="C7" s="11" t="s">
        <v>1025</v>
      </c>
      <c r="D7" s="11"/>
      <c r="E7" s="70"/>
    </row>
    <row r="8">
      <c r="A8" s="11"/>
      <c r="B8" s="25" t="s">
        <v>48</v>
      </c>
      <c r="C8" s="157" t="s">
        <v>1026</v>
      </c>
      <c r="D8" s="11" t="s">
        <v>97</v>
      </c>
      <c r="E8" s="28" t="s">
        <v>97</v>
      </c>
    </row>
    <row r="9">
      <c r="A9" s="11"/>
      <c r="B9" s="25" t="s">
        <v>57</v>
      </c>
      <c r="C9" s="11" t="s">
        <v>1027</v>
      </c>
      <c r="D9" s="11" t="s">
        <v>97</v>
      </c>
      <c r="E9" s="70" t="s">
        <v>97</v>
      </c>
    </row>
    <row r="10">
      <c r="A10" s="11"/>
      <c r="B10" s="33" t="s">
        <v>64</v>
      </c>
      <c r="C10" s="80" t="s">
        <v>1028</v>
      </c>
      <c r="D10" s="11" t="s">
        <v>97</v>
      </c>
      <c r="E10" s="70" t="s">
        <v>97</v>
      </c>
    </row>
    <row r="11">
      <c r="A11" s="11"/>
      <c r="B11" s="158" t="s">
        <v>71</v>
      </c>
      <c r="C11" s="159" t="s">
        <v>1029</v>
      </c>
      <c r="D11" s="160" t="s">
        <v>97</v>
      </c>
      <c r="E11" s="161" t="s">
        <v>97</v>
      </c>
    </row>
    <row r="12">
      <c r="A12" s="11"/>
      <c r="B12" s="162" t="s">
        <v>76</v>
      </c>
      <c r="C12" s="163" t="s">
        <v>1029</v>
      </c>
      <c r="D12" s="164" t="s">
        <v>97</v>
      </c>
      <c r="E12" s="165" t="s">
        <v>97</v>
      </c>
    </row>
    <row r="13">
      <c r="A13" s="11"/>
      <c r="B13" s="11"/>
      <c r="C13" s="11"/>
      <c r="D13" s="11"/>
      <c r="E13" s="55"/>
    </row>
    <row r="14">
      <c r="A14" s="11"/>
      <c r="B14" s="11"/>
      <c r="C14" s="11"/>
      <c r="D14" s="11"/>
      <c r="E14" s="55"/>
    </row>
    <row r="15">
      <c r="A15" s="11"/>
      <c r="B15" s="11"/>
      <c r="C15" s="11"/>
      <c r="D15" s="11"/>
      <c r="E15" s="55"/>
    </row>
    <row r="16">
      <c r="A16" s="11"/>
      <c r="B16" s="11"/>
      <c r="C16" s="11"/>
      <c r="D16" s="11"/>
      <c r="E16" s="55"/>
    </row>
    <row r="17">
      <c r="A17" s="11"/>
      <c r="B17" s="11"/>
      <c r="C17" s="11"/>
      <c r="D17" s="11"/>
      <c r="E17" s="55"/>
    </row>
    <row r="18">
      <c r="A18" s="11"/>
      <c r="B18" s="11"/>
      <c r="C18" s="11"/>
      <c r="D18" s="11"/>
      <c r="E18" s="55"/>
    </row>
    <row r="19">
      <c r="A19" s="11"/>
      <c r="B19" s="11"/>
      <c r="C19" s="11"/>
      <c r="D19" s="11"/>
      <c r="E19" s="55"/>
    </row>
    <row r="20">
      <c r="A20" s="11"/>
      <c r="B20" s="11"/>
      <c r="C20" s="11"/>
      <c r="D20" s="11"/>
      <c r="E20" s="55"/>
    </row>
    <row r="21">
      <c r="A21" s="11"/>
      <c r="B21" s="11"/>
      <c r="C21" s="11"/>
      <c r="D21" s="11"/>
      <c r="E21" s="55"/>
    </row>
    <row r="22">
      <c r="A22" s="11"/>
      <c r="B22" s="11"/>
      <c r="C22" s="11"/>
      <c r="D22" s="11"/>
      <c r="E22" s="55"/>
    </row>
    <row r="23">
      <c r="A23" s="11"/>
      <c r="B23" s="11"/>
      <c r="C23" s="11"/>
      <c r="D23" s="11"/>
      <c r="E23" s="55"/>
    </row>
    <row r="24">
      <c r="A24" s="11"/>
      <c r="B24" s="11"/>
      <c r="C24" s="11"/>
      <c r="D24" s="11"/>
      <c r="E24" s="55"/>
    </row>
    <row r="25">
      <c r="A25" s="11"/>
      <c r="B25" s="11"/>
      <c r="C25" s="11"/>
      <c r="D25" s="11"/>
      <c r="E25" s="55"/>
    </row>
    <row r="26">
      <c r="A26" s="11"/>
      <c r="B26" s="11"/>
      <c r="C26" s="11"/>
      <c r="D26" s="11"/>
      <c r="E26" s="55"/>
    </row>
    <row r="27">
      <c r="A27" s="11"/>
      <c r="B27" s="11"/>
      <c r="C27" s="11"/>
      <c r="D27" s="11"/>
      <c r="E27" s="55"/>
    </row>
    <row r="28">
      <c r="A28" s="11"/>
      <c r="B28" s="11"/>
      <c r="C28" s="11"/>
      <c r="D28" s="11"/>
      <c r="E28" s="55"/>
    </row>
    <row r="29">
      <c r="A29" s="11"/>
      <c r="B29" s="11"/>
      <c r="C29" s="11"/>
      <c r="D29" s="11"/>
      <c r="E29" s="55"/>
    </row>
    <row r="30">
      <c r="A30" s="11"/>
      <c r="B30" s="11"/>
      <c r="C30" s="11"/>
      <c r="D30" s="11"/>
      <c r="E30" s="55"/>
    </row>
    <row r="31">
      <c r="A31" s="11"/>
      <c r="B31" s="11"/>
      <c r="C31" s="11"/>
      <c r="D31" s="11"/>
      <c r="E31" s="55"/>
    </row>
    <row r="32">
      <c r="A32" s="11"/>
      <c r="B32" s="11"/>
      <c r="C32" s="11"/>
      <c r="D32" s="11"/>
      <c r="E32" s="55"/>
    </row>
  </sheetData>
  <mergeCells count="2">
    <mergeCell ref="B2:C2"/>
    <mergeCell ref="B4:E4"/>
  </mergeCells>
  <conditionalFormatting sqref="C14">
    <cfRule type="notContainsBlanks" dxfId="0" priority="1">
      <formula>LEN(TRIM(C14))&gt;0</formula>
    </cfRule>
  </conditionalFormatting>
  <hyperlinks>
    <hyperlink r:id="rId4" ref="C8"/>
    <hyperlink r:id="rId5" ref="C11"/>
    <hyperlink r:id="rId6" ref="C12"/>
  </hyperlinks>
  <drawing r:id="rId7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0.25"/>
    <col customWidth="1" min="4" max="4" width="18.38"/>
    <col customWidth="1" min="5" max="5" width="12.75"/>
    <col customWidth="1" min="6" max="6" width="4.88"/>
    <col customWidth="1" min="7" max="7" width="3.13"/>
    <col customWidth="1" min="8" max="8" width="21.63"/>
    <col customWidth="1" min="9" max="9" width="11.75"/>
    <col customWidth="1" min="10" max="10" width="26.38"/>
    <col customWidth="1" min="11" max="11" width="11.5"/>
    <col customWidth="1" min="13" max="13" width="5.0"/>
  </cols>
  <sheetData>
    <row r="1" ht="15.0" customHeight="1">
      <c r="A1" s="11" t="s">
        <v>1023</v>
      </c>
      <c r="B1" s="53"/>
      <c r="C1" s="53"/>
      <c r="D1" s="53"/>
      <c r="E1" s="54"/>
      <c r="F1" s="54"/>
      <c r="G1" s="73"/>
      <c r="H1" s="73"/>
      <c r="I1" s="73"/>
      <c r="J1" s="73"/>
      <c r="K1" s="73"/>
      <c r="L1" s="73"/>
      <c r="M1" s="55"/>
    </row>
    <row r="2" ht="73.5" customHeight="1">
      <c r="A2" s="11"/>
      <c r="B2" s="56"/>
      <c r="C2" s="57"/>
      <c r="D2" s="166"/>
      <c r="E2" s="58"/>
      <c r="F2" s="58"/>
      <c r="G2" s="74"/>
      <c r="H2" s="57"/>
      <c r="I2" s="57"/>
      <c r="J2" s="57"/>
      <c r="K2" s="57"/>
      <c r="L2" s="75"/>
      <c r="M2" s="55"/>
    </row>
    <row r="3">
      <c r="A3" s="11"/>
      <c r="B3" s="59" t="s">
        <v>5</v>
      </c>
      <c r="L3" s="60"/>
      <c r="M3" s="55"/>
    </row>
    <row r="4">
      <c r="A4" s="11"/>
      <c r="B4" s="61" t="s">
        <v>91</v>
      </c>
      <c r="F4" s="60"/>
      <c r="G4" s="50"/>
      <c r="H4" s="10" t="s">
        <v>128</v>
      </c>
      <c r="L4" s="60"/>
      <c r="M4" s="55"/>
    </row>
    <row r="5">
      <c r="A5" s="11"/>
      <c r="B5" s="62" t="s">
        <v>92</v>
      </c>
      <c r="C5" s="63" t="s">
        <v>166</v>
      </c>
      <c r="D5" s="63" t="s">
        <v>93</v>
      </c>
      <c r="E5" s="64" t="s">
        <v>94</v>
      </c>
      <c r="F5" s="65" t="s">
        <v>95</v>
      </c>
      <c r="G5" s="50"/>
      <c r="H5" s="62" t="s">
        <v>92</v>
      </c>
      <c r="I5" s="63" t="s">
        <v>166</v>
      </c>
      <c r="J5" s="63" t="s">
        <v>93</v>
      </c>
      <c r="K5" s="64" t="s">
        <v>94</v>
      </c>
      <c r="L5" s="65" t="s">
        <v>95</v>
      </c>
      <c r="M5" s="55"/>
    </row>
    <row r="6">
      <c r="A6" s="11"/>
      <c r="B6" s="16" t="s">
        <v>5</v>
      </c>
      <c r="C6" s="67" t="s">
        <v>1030</v>
      </c>
      <c r="D6" s="67" t="s">
        <v>1031</v>
      </c>
      <c r="E6" s="21" t="s">
        <v>97</v>
      </c>
      <c r="F6" s="19" t="s">
        <v>97</v>
      </c>
      <c r="G6" s="50"/>
      <c r="H6" s="77" t="s">
        <v>27</v>
      </c>
      <c r="I6" s="78" t="s">
        <v>182</v>
      </c>
      <c r="J6" s="78" t="s">
        <v>1032</v>
      </c>
      <c r="K6" s="21" t="s">
        <v>97</v>
      </c>
      <c r="L6" s="19" t="s">
        <v>97</v>
      </c>
      <c r="M6" s="55"/>
    </row>
    <row r="7">
      <c r="A7" s="11"/>
      <c r="B7" s="79"/>
      <c r="F7" s="60"/>
      <c r="G7" s="50"/>
      <c r="H7" s="33" t="s">
        <v>39</v>
      </c>
      <c r="I7" s="80" t="s">
        <v>1033</v>
      </c>
      <c r="J7" s="80" t="s">
        <v>1034</v>
      </c>
      <c r="K7" s="11" t="s">
        <v>97</v>
      </c>
      <c r="L7" s="28" t="s">
        <v>97</v>
      </c>
      <c r="M7" s="55"/>
    </row>
    <row r="8">
      <c r="A8" s="11"/>
      <c r="B8" s="79"/>
      <c r="F8" s="60"/>
      <c r="G8" s="50"/>
      <c r="H8" s="33" t="s">
        <v>49</v>
      </c>
      <c r="I8" s="80" t="s">
        <v>182</v>
      </c>
      <c r="J8" s="80" t="s">
        <v>1035</v>
      </c>
      <c r="K8" s="11" t="s">
        <v>97</v>
      </c>
      <c r="L8" s="28" t="s">
        <v>97</v>
      </c>
      <c r="M8" s="55"/>
    </row>
    <row r="9">
      <c r="A9" s="11"/>
      <c r="B9" s="79"/>
      <c r="F9" s="60"/>
      <c r="G9" s="50"/>
      <c r="H9" s="25" t="s">
        <v>58</v>
      </c>
      <c r="I9" s="69" t="s">
        <v>182</v>
      </c>
      <c r="J9" s="69" t="s">
        <v>1036</v>
      </c>
      <c r="K9" s="11" t="s">
        <v>97</v>
      </c>
      <c r="L9" s="28" t="s">
        <v>97</v>
      </c>
      <c r="M9" s="55"/>
    </row>
    <row r="10">
      <c r="A10" s="11"/>
      <c r="B10" s="79"/>
      <c r="F10" s="60"/>
      <c r="G10" s="50"/>
      <c r="H10" s="33" t="s">
        <v>65</v>
      </c>
      <c r="I10" s="11" t="s">
        <v>182</v>
      </c>
      <c r="J10" s="167" t="s">
        <v>1037</v>
      </c>
      <c r="K10" s="23" t="s">
        <v>97</v>
      </c>
      <c r="L10" s="161" t="s">
        <v>97</v>
      </c>
      <c r="M10" s="168"/>
    </row>
    <row r="11">
      <c r="A11" s="11"/>
      <c r="B11" s="81"/>
      <c r="C11" s="82"/>
      <c r="D11" s="82"/>
      <c r="E11" s="82"/>
      <c r="F11" s="83"/>
      <c r="G11" s="50"/>
      <c r="H11" s="34" t="s">
        <v>72</v>
      </c>
      <c r="I11" s="30" t="s">
        <v>182</v>
      </c>
      <c r="J11" s="30" t="s">
        <v>1038</v>
      </c>
      <c r="K11" s="30"/>
      <c r="L11" s="72"/>
      <c r="M11" s="55"/>
    </row>
    <row r="12">
      <c r="A12" s="11"/>
      <c r="B12" s="11"/>
      <c r="C12" s="11"/>
      <c r="D12" s="11"/>
      <c r="E12" s="11"/>
      <c r="F12" s="55"/>
      <c r="G12" s="50"/>
      <c r="H12" s="38"/>
      <c r="I12" s="11"/>
      <c r="J12" s="11"/>
      <c r="K12" s="11"/>
      <c r="L12" s="11"/>
      <c r="M12" s="55"/>
    </row>
    <row r="13">
      <c r="A13" s="11"/>
      <c r="B13" s="11"/>
      <c r="C13" s="11"/>
      <c r="D13" s="11"/>
      <c r="E13" s="11"/>
      <c r="F13" s="55"/>
      <c r="G13" s="50"/>
      <c r="H13" s="11"/>
      <c r="I13" s="11"/>
      <c r="J13" s="11"/>
      <c r="K13" s="11"/>
      <c r="L13" s="11"/>
      <c r="M13" s="55"/>
    </row>
    <row r="14">
      <c r="A14" s="11"/>
      <c r="B14" s="11"/>
      <c r="C14" s="11"/>
      <c r="D14" s="11"/>
      <c r="E14" s="50"/>
      <c r="F14" s="50"/>
      <c r="G14" s="50"/>
      <c r="H14" s="50"/>
      <c r="I14" s="50"/>
      <c r="J14" s="50"/>
      <c r="K14" s="11"/>
      <c r="L14" s="11"/>
      <c r="M14" s="55"/>
    </row>
    <row r="15">
      <c r="A15" s="11"/>
      <c r="B15" s="11"/>
      <c r="C15" s="11"/>
      <c r="D15" s="11"/>
      <c r="E15" s="50"/>
      <c r="F15" s="50"/>
      <c r="G15" s="50"/>
      <c r="H15" s="50"/>
      <c r="I15" s="50"/>
      <c r="J15" s="50"/>
      <c r="K15" s="11"/>
      <c r="L15" s="11"/>
      <c r="M15" s="55"/>
    </row>
  </sheetData>
  <mergeCells count="10">
    <mergeCell ref="D6:D11"/>
    <mergeCell ref="E6:E11"/>
    <mergeCell ref="B2:C2"/>
    <mergeCell ref="G2:L2"/>
    <mergeCell ref="B3:L3"/>
    <mergeCell ref="B4:F4"/>
    <mergeCell ref="H4:L4"/>
    <mergeCell ref="B6:B11"/>
    <mergeCell ref="C6:C11"/>
    <mergeCell ref="F6:F11"/>
  </mergeCells>
  <conditionalFormatting sqref="C14:D14">
    <cfRule type="notContainsBlanks" dxfId="0" priority="1">
      <formula>LEN(TRIM(C14))&gt;0</formula>
    </cfRule>
  </conditionalFormatting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0.13"/>
    <col customWidth="1" min="4" max="4" width="26.0"/>
  </cols>
  <sheetData>
    <row r="1" ht="15.0" customHeight="1">
      <c r="A1" s="11" t="s">
        <v>204</v>
      </c>
      <c r="B1" s="53"/>
      <c r="C1" s="53"/>
      <c r="D1" s="54"/>
      <c r="E1" s="54"/>
    </row>
    <row r="2" ht="73.5" customHeight="1">
      <c r="A2" s="11"/>
      <c r="B2" s="56"/>
      <c r="C2" s="57"/>
      <c r="D2" s="58"/>
      <c r="E2" s="58"/>
    </row>
    <row r="3">
      <c r="A3" s="169"/>
      <c r="B3" s="170" t="s">
        <v>6</v>
      </c>
      <c r="E3" s="60"/>
    </row>
    <row r="4">
      <c r="A4" s="169"/>
      <c r="B4" s="171" t="s">
        <v>91</v>
      </c>
      <c r="E4" s="60"/>
    </row>
    <row r="5">
      <c r="A5" s="169"/>
      <c r="B5" s="172" t="s">
        <v>92</v>
      </c>
      <c r="C5" s="173" t="s">
        <v>93</v>
      </c>
      <c r="D5" s="174" t="s">
        <v>94</v>
      </c>
      <c r="E5" s="175" t="s">
        <v>95</v>
      </c>
    </row>
    <row r="6">
      <c r="A6" s="169"/>
      <c r="B6" s="16" t="s">
        <v>28</v>
      </c>
      <c r="C6" s="80" t="s">
        <v>1039</v>
      </c>
      <c r="D6" s="176" t="s">
        <v>97</v>
      </c>
      <c r="E6" s="177" t="s">
        <v>97</v>
      </c>
    </row>
    <row r="7">
      <c r="A7" s="169"/>
      <c r="B7" s="178" t="s">
        <v>40</v>
      </c>
      <c r="C7" s="80" t="s">
        <v>1040</v>
      </c>
      <c r="E7" s="60"/>
    </row>
    <row r="8">
      <c r="A8" s="169"/>
      <c r="B8" s="179" t="s">
        <v>50</v>
      </c>
      <c r="C8" s="180" t="s">
        <v>1041</v>
      </c>
      <c r="D8" s="82"/>
      <c r="E8" s="83"/>
    </row>
    <row r="9">
      <c r="A9" s="11"/>
      <c r="B9" s="11"/>
      <c r="C9" s="69"/>
      <c r="D9" s="11"/>
      <c r="E9" s="55"/>
    </row>
    <row r="10">
      <c r="A10" s="11"/>
      <c r="B10" s="11"/>
      <c r="C10" s="50"/>
      <c r="D10" s="11"/>
      <c r="E10" s="55"/>
    </row>
    <row r="11">
      <c r="A11" s="11"/>
      <c r="B11" s="11"/>
      <c r="C11" s="50"/>
      <c r="D11" s="11"/>
      <c r="E11" s="55"/>
    </row>
    <row r="12">
      <c r="A12" s="11"/>
      <c r="B12" s="11"/>
      <c r="C12" s="50"/>
      <c r="D12" s="11"/>
      <c r="E12" s="55"/>
    </row>
    <row r="13">
      <c r="A13" s="11"/>
      <c r="B13" s="11"/>
      <c r="C13" s="11"/>
      <c r="D13" s="11"/>
      <c r="E13" s="55"/>
    </row>
    <row r="14">
      <c r="A14" s="11"/>
      <c r="B14" s="11"/>
      <c r="C14" s="11"/>
      <c r="D14" s="11"/>
      <c r="E14" s="55"/>
    </row>
    <row r="15">
      <c r="A15" s="11"/>
      <c r="B15" s="11"/>
      <c r="C15" s="11"/>
      <c r="D15" s="11"/>
      <c r="E15" s="55"/>
    </row>
    <row r="16">
      <c r="A16" s="11"/>
      <c r="B16" s="11"/>
      <c r="C16" s="11"/>
      <c r="D16" s="11"/>
      <c r="E16" s="55"/>
    </row>
    <row r="17">
      <c r="A17" s="11"/>
      <c r="B17" s="11"/>
      <c r="C17" s="11"/>
      <c r="D17" s="11"/>
      <c r="E17" s="55"/>
    </row>
    <row r="18">
      <c r="A18" s="11"/>
      <c r="B18" s="11"/>
      <c r="C18" s="11"/>
      <c r="D18" s="11"/>
      <c r="E18" s="55"/>
    </row>
    <row r="19">
      <c r="A19" s="11"/>
      <c r="B19" s="11"/>
      <c r="C19" s="11"/>
      <c r="D19" s="11"/>
      <c r="E19" s="55"/>
    </row>
    <row r="20">
      <c r="A20" s="11"/>
      <c r="B20" s="11"/>
      <c r="C20" s="11"/>
      <c r="D20" s="11"/>
      <c r="E20" s="55"/>
    </row>
    <row r="21">
      <c r="A21" s="11"/>
      <c r="B21" s="11"/>
      <c r="C21" s="11"/>
      <c r="D21" s="11"/>
      <c r="E21" s="55"/>
    </row>
  </sheetData>
  <mergeCells count="5">
    <mergeCell ref="B2:C2"/>
    <mergeCell ref="B3:E3"/>
    <mergeCell ref="B4:E4"/>
    <mergeCell ref="D6:D8"/>
    <mergeCell ref="E6:E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40.13"/>
    <col customWidth="1" min="4" max="4" width="26.88"/>
    <col customWidth="1" min="6" max="6" width="3.5"/>
    <col customWidth="1" min="7" max="7" width="32.13"/>
    <col customWidth="1" min="8" max="8" width="61.13"/>
    <col customWidth="1" min="9" max="9" width="29.63"/>
    <col customWidth="1" min="11" max="11" width="5.0"/>
  </cols>
  <sheetData>
    <row r="1" ht="15.0" customHeight="1">
      <c r="A1" s="11" t="s">
        <v>1023</v>
      </c>
      <c r="B1" s="53"/>
      <c r="C1" s="53"/>
      <c r="D1" s="54"/>
      <c r="E1" s="54"/>
      <c r="F1" s="73"/>
      <c r="G1" s="73"/>
      <c r="H1" s="73"/>
      <c r="I1" s="73"/>
      <c r="J1" s="73"/>
      <c r="K1" s="55"/>
    </row>
    <row r="2" ht="73.5" customHeight="1">
      <c r="A2" s="11"/>
      <c r="B2" s="56"/>
      <c r="C2" s="57"/>
      <c r="D2" s="58"/>
      <c r="E2" s="58"/>
      <c r="F2" s="74"/>
      <c r="G2" s="57"/>
      <c r="H2" s="57"/>
      <c r="I2" s="57"/>
      <c r="J2" s="75"/>
      <c r="K2" s="55"/>
    </row>
    <row r="3">
      <c r="A3" s="11"/>
      <c r="B3" s="59" t="s">
        <v>6</v>
      </c>
      <c r="J3" s="60"/>
      <c r="K3" s="55"/>
    </row>
    <row r="4">
      <c r="A4" s="11"/>
      <c r="B4" s="61" t="s">
        <v>91</v>
      </c>
      <c r="E4" s="60"/>
      <c r="F4" s="50"/>
      <c r="G4" s="10" t="s">
        <v>128</v>
      </c>
      <c r="J4" s="60"/>
      <c r="K4" s="55"/>
    </row>
    <row r="5">
      <c r="A5" s="11"/>
      <c r="B5" s="62" t="s">
        <v>92</v>
      </c>
      <c r="C5" s="63" t="s">
        <v>93</v>
      </c>
      <c r="D5" s="64" t="s">
        <v>94</v>
      </c>
      <c r="E5" s="65" t="s">
        <v>95</v>
      </c>
      <c r="F5" s="50"/>
      <c r="G5" s="62" t="s">
        <v>92</v>
      </c>
      <c r="H5" s="63" t="s">
        <v>93</v>
      </c>
      <c r="I5" s="64" t="s">
        <v>94</v>
      </c>
      <c r="J5" s="65" t="s">
        <v>95</v>
      </c>
      <c r="K5" s="55"/>
    </row>
    <row r="6">
      <c r="A6" s="11"/>
      <c r="B6" s="16" t="s">
        <v>7</v>
      </c>
      <c r="C6" s="67" t="s">
        <v>1042</v>
      </c>
      <c r="D6" s="21" t="s">
        <v>97</v>
      </c>
      <c r="E6" s="19" t="s">
        <v>97</v>
      </c>
      <c r="F6" s="50"/>
      <c r="G6" s="33" t="s">
        <v>29</v>
      </c>
      <c r="H6" s="80" t="s">
        <v>1043</v>
      </c>
      <c r="I6" s="11" t="s">
        <v>97</v>
      </c>
      <c r="J6" s="70" t="s">
        <v>97</v>
      </c>
      <c r="K6" s="55"/>
    </row>
    <row r="7">
      <c r="A7" s="11"/>
      <c r="B7" s="79"/>
      <c r="E7" s="60"/>
      <c r="F7" s="50"/>
      <c r="G7" s="181" t="s">
        <v>41</v>
      </c>
      <c r="H7" s="180" t="s">
        <v>1044</v>
      </c>
      <c r="I7" s="30" t="s">
        <v>97</v>
      </c>
      <c r="J7" s="72" t="s">
        <v>97</v>
      </c>
      <c r="K7" s="55"/>
    </row>
    <row r="8">
      <c r="A8" s="11"/>
      <c r="B8" s="81"/>
      <c r="C8" s="82"/>
      <c r="D8" s="82"/>
      <c r="E8" s="83"/>
      <c r="F8" s="50"/>
      <c r="G8" s="11"/>
      <c r="H8" s="11"/>
      <c r="I8" s="11"/>
      <c r="J8" s="11"/>
      <c r="K8" s="55"/>
    </row>
    <row r="9">
      <c r="A9" s="11"/>
      <c r="B9" s="11"/>
      <c r="C9" s="69"/>
      <c r="D9" s="11"/>
      <c r="E9" s="11"/>
      <c r="F9" s="50"/>
      <c r="G9" s="11"/>
      <c r="H9" s="11"/>
      <c r="I9" s="11"/>
      <c r="J9" s="55"/>
      <c r="K9" s="55"/>
    </row>
    <row r="10">
      <c r="A10" s="11"/>
      <c r="B10" s="11"/>
      <c r="C10" s="11"/>
      <c r="D10" s="11"/>
      <c r="E10" s="55"/>
      <c r="F10" s="50"/>
      <c r="G10" s="11"/>
      <c r="H10" s="11"/>
      <c r="I10" s="11"/>
      <c r="J10" s="11"/>
      <c r="K10" s="55"/>
    </row>
    <row r="11">
      <c r="A11" s="11"/>
      <c r="B11" s="11"/>
      <c r="C11" s="11"/>
      <c r="D11" s="11"/>
      <c r="E11" s="55"/>
      <c r="F11" s="50"/>
      <c r="G11" s="11"/>
      <c r="H11" s="11"/>
      <c r="I11" s="11"/>
      <c r="J11" s="11"/>
      <c r="K11" s="55"/>
    </row>
    <row r="12">
      <c r="A12" s="11"/>
      <c r="B12" s="11"/>
      <c r="C12" s="11"/>
      <c r="D12" s="11"/>
      <c r="E12" s="55"/>
      <c r="F12" s="50"/>
      <c r="G12" s="11"/>
      <c r="H12" s="11"/>
      <c r="I12" s="11"/>
      <c r="J12" s="11"/>
      <c r="K12" s="55"/>
    </row>
    <row r="13">
      <c r="A13" s="11"/>
      <c r="B13" s="11"/>
      <c r="C13" s="11"/>
      <c r="D13" s="11"/>
      <c r="E13" s="55"/>
      <c r="F13" s="50"/>
      <c r="G13" s="11"/>
      <c r="H13" s="11"/>
      <c r="I13" s="11"/>
      <c r="J13" s="11"/>
      <c r="K13" s="55"/>
    </row>
    <row r="14">
      <c r="A14" s="11"/>
      <c r="B14" s="11"/>
      <c r="C14" s="11"/>
      <c r="D14" s="11"/>
      <c r="E14" s="55"/>
      <c r="F14" s="11"/>
      <c r="G14" s="11"/>
      <c r="H14" s="11"/>
      <c r="I14" s="11"/>
      <c r="J14" s="11"/>
      <c r="K14" s="55"/>
    </row>
    <row r="15">
      <c r="A15" s="11"/>
      <c r="B15" s="11"/>
      <c r="C15" s="11"/>
      <c r="D15" s="11"/>
      <c r="E15" s="55"/>
      <c r="F15" s="11"/>
      <c r="G15" s="11"/>
      <c r="H15" s="11"/>
      <c r="I15" s="11"/>
      <c r="J15" s="11"/>
      <c r="K15" s="55"/>
    </row>
    <row r="16">
      <c r="A16" s="11"/>
      <c r="B16" s="11"/>
      <c r="C16" s="11"/>
      <c r="D16" s="11"/>
      <c r="E16" s="55"/>
      <c r="F16" s="11"/>
      <c r="G16" s="11"/>
      <c r="H16" s="11"/>
      <c r="I16" s="11"/>
      <c r="J16" s="11"/>
      <c r="K16" s="55"/>
    </row>
    <row r="17">
      <c r="A17" s="11"/>
      <c r="B17" s="11"/>
      <c r="C17" s="11"/>
      <c r="D17" s="11"/>
      <c r="E17" s="55"/>
      <c r="F17" s="11"/>
      <c r="G17" s="11"/>
      <c r="H17" s="11"/>
      <c r="I17" s="11"/>
      <c r="J17" s="11"/>
      <c r="K17" s="55"/>
    </row>
    <row r="18">
      <c r="A18" s="11"/>
      <c r="B18" s="11"/>
      <c r="C18" s="11"/>
      <c r="D18" s="11"/>
      <c r="E18" s="55"/>
      <c r="F18" s="11"/>
      <c r="G18" s="11"/>
      <c r="H18" s="11"/>
      <c r="I18" s="11"/>
      <c r="J18" s="11"/>
      <c r="K18" s="55"/>
    </row>
    <row r="19">
      <c r="A19" s="11"/>
      <c r="B19" s="11"/>
      <c r="C19" s="11"/>
      <c r="D19" s="11"/>
      <c r="E19" s="55"/>
      <c r="F19" s="11"/>
      <c r="G19" s="11"/>
      <c r="H19" s="11"/>
      <c r="I19" s="11"/>
      <c r="J19" s="11"/>
      <c r="K19" s="55"/>
    </row>
    <row r="20">
      <c r="A20" s="11"/>
      <c r="B20" s="11"/>
      <c r="C20" s="11"/>
      <c r="D20" s="11"/>
      <c r="E20" s="55"/>
      <c r="F20" s="11"/>
      <c r="G20" s="11"/>
      <c r="H20" s="11"/>
      <c r="I20" s="11"/>
      <c r="J20" s="11"/>
      <c r="K20" s="55"/>
    </row>
    <row r="21">
      <c r="A21" s="11"/>
      <c r="B21" s="11"/>
      <c r="C21" s="11"/>
      <c r="D21" s="11"/>
      <c r="E21" s="55"/>
      <c r="F21" s="11"/>
      <c r="G21" s="11"/>
      <c r="H21" s="11"/>
      <c r="I21" s="11"/>
      <c r="J21" s="11"/>
      <c r="K21" s="55"/>
    </row>
    <row r="22">
      <c r="A22" s="11"/>
      <c r="B22" s="11"/>
      <c r="C22" s="11"/>
      <c r="D22" s="11"/>
      <c r="E22" s="55"/>
      <c r="F22" s="11"/>
      <c r="G22" s="11"/>
      <c r="H22" s="11"/>
      <c r="I22" s="11"/>
      <c r="J22" s="55"/>
      <c r="K22" s="55"/>
    </row>
    <row r="23">
      <c r="A23" s="11"/>
      <c r="B23" s="11"/>
      <c r="C23" s="11"/>
      <c r="D23" s="11"/>
      <c r="E23" s="55"/>
      <c r="F23" s="50"/>
      <c r="G23" s="11"/>
      <c r="H23" s="11"/>
      <c r="I23" s="11"/>
      <c r="J23" s="55"/>
      <c r="K23" s="55"/>
    </row>
    <row r="24">
      <c r="A24" s="11"/>
      <c r="B24" s="11"/>
      <c r="C24" s="11"/>
      <c r="D24" s="11"/>
      <c r="E24" s="55"/>
      <c r="F24" s="50"/>
      <c r="G24" s="11"/>
      <c r="H24" s="11"/>
      <c r="I24" s="11"/>
      <c r="J24" s="55"/>
      <c r="K24" s="55"/>
    </row>
    <row r="25">
      <c r="A25" s="11"/>
      <c r="B25" s="11"/>
      <c r="C25" s="11"/>
      <c r="D25" s="11"/>
      <c r="E25" s="55"/>
      <c r="F25" s="50"/>
      <c r="G25" s="11"/>
      <c r="H25" s="11"/>
      <c r="I25" s="11"/>
      <c r="J25" s="55"/>
      <c r="K25" s="55"/>
    </row>
    <row r="26">
      <c r="A26" s="11"/>
      <c r="B26" s="11"/>
      <c r="C26" s="11"/>
      <c r="D26" s="11"/>
      <c r="E26" s="55"/>
      <c r="F26" s="50"/>
      <c r="G26" s="11"/>
      <c r="H26" s="11"/>
      <c r="I26" s="11"/>
      <c r="J26" s="55"/>
      <c r="K26" s="55"/>
    </row>
    <row r="27">
      <c r="A27" s="11"/>
      <c r="B27" s="11"/>
      <c r="C27" s="11"/>
      <c r="D27" s="11"/>
      <c r="E27" s="55"/>
      <c r="F27" s="50"/>
      <c r="G27" s="11"/>
      <c r="H27" s="11"/>
      <c r="I27" s="11"/>
      <c r="J27" s="55"/>
      <c r="K27" s="55"/>
    </row>
    <row r="28">
      <c r="A28" s="11"/>
      <c r="B28" s="11"/>
      <c r="C28" s="11"/>
      <c r="D28" s="11"/>
      <c r="E28" s="55"/>
      <c r="F28" s="50"/>
      <c r="G28" s="11"/>
      <c r="H28" s="11"/>
      <c r="I28" s="11"/>
      <c r="J28" s="55"/>
      <c r="K28" s="55"/>
    </row>
    <row r="29">
      <c r="A29" s="11"/>
      <c r="B29" s="11"/>
      <c r="C29" s="11"/>
      <c r="D29" s="11"/>
      <c r="E29" s="55"/>
      <c r="F29" s="50"/>
      <c r="G29" s="11"/>
      <c r="H29" s="11"/>
      <c r="I29" s="11"/>
      <c r="J29" s="55"/>
      <c r="K29" s="55"/>
    </row>
    <row r="30">
      <c r="A30" s="11"/>
      <c r="B30" s="11"/>
      <c r="C30" s="11"/>
      <c r="D30" s="11"/>
      <c r="E30" s="55"/>
      <c r="F30" s="50"/>
      <c r="G30" s="11"/>
      <c r="H30" s="11"/>
      <c r="I30" s="11"/>
      <c r="J30" s="55"/>
      <c r="K30" s="55"/>
    </row>
    <row r="31">
      <c r="A31" s="11"/>
      <c r="B31" s="11"/>
      <c r="C31" s="11"/>
      <c r="D31" s="11"/>
      <c r="E31" s="55"/>
      <c r="F31" s="50"/>
      <c r="G31" s="11"/>
      <c r="H31" s="11"/>
      <c r="I31" s="11"/>
      <c r="J31" s="55"/>
      <c r="K31" s="55"/>
    </row>
    <row r="32">
      <c r="A32" s="11"/>
      <c r="B32" s="11"/>
      <c r="C32" s="11"/>
      <c r="D32" s="11"/>
      <c r="E32" s="55"/>
      <c r="F32" s="50"/>
      <c r="K32" s="55"/>
    </row>
  </sheetData>
  <mergeCells count="9">
    <mergeCell ref="D6:D8"/>
    <mergeCell ref="E6:E8"/>
    <mergeCell ref="B2:C2"/>
    <mergeCell ref="F2:J2"/>
    <mergeCell ref="B3:J3"/>
    <mergeCell ref="B4:E4"/>
    <mergeCell ref="G4:J4"/>
    <mergeCell ref="B6:B8"/>
    <mergeCell ref="C6:C8"/>
  </mergeCells>
  <conditionalFormatting sqref="C14">
    <cfRule type="notContainsBlanks" dxfId="0" priority="1">
      <formula>LEN(TRIM(C14))&gt;0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3.0"/>
    <col customWidth="1" min="3" max="4" width="40.13"/>
    <col customWidth="1" min="5" max="5" width="22.63"/>
    <col customWidth="1" min="7" max="7" width="59.25"/>
  </cols>
  <sheetData>
    <row r="1" ht="15.0" customHeight="1">
      <c r="A1" s="11"/>
      <c r="B1" s="53"/>
      <c r="C1" s="53"/>
      <c r="D1" s="53"/>
      <c r="E1" s="54"/>
      <c r="F1" s="54"/>
      <c r="G1" s="73"/>
    </row>
    <row r="2" ht="73.5" customHeight="1">
      <c r="A2" s="11"/>
      <c r="B2" s="56"/>
      <c r="C2" s="57"/>
      <c r="D2" s="166"/>
      <c r="E2" s="58"/>
      <c r="F2" s="58"/>
      <c r="G2" s="182"/>
    </row>
    <row r="3">
      <c r="A3" s="11"/>
      <c r="B3" s="59" t="s">
        <v>84</v>
      </c>
      <c r="G3" s="60"/>
    </row>
    <row r="4">
      <c r="A4" s="11"/>
      <c r="B4" s="61" t="s">
        <v>91</v>
      </c>
      <c r="F4" s="60"/>
      <c r="G4" s="50"/>
    </row>
    <row r="5">
      <c r="A5" s="11"/>
      <c r="B5" s="62" t="s">
        <v>92</v>
      </c>
      <c r="C5" s="63" t="s">
        <v>166</v>
      </c>
      <c r="D5" s="63" t="s">
        <v>93</v>
      </c>
      <c r="E5" s="64" t="s">
        <v>94</v>
      </c>
      <c r="F5" s="65" t="s">
        <v>95</v>
      </c>
      <c r="G5" s="50"/>
    </row>
    <row r="6">
      <c r="A6" s="11"/>
      <c r="B6" s="90" t="s">
        <v>7</v>
      </c>
      <c r="C6" s="21" t="s">
        <v>182</v>
      </c>
      <c r="D6" s="21" t="s">
        <v>1042</v>
      </c>
      <c r="E6" s="21" t="s">
        <v>97</v>
      </c>
      <c r="F6" s="19" t="s">
        <v>97</v>
      </c>
      <c r="G6" s="50"/>
    </row>
    <row r="7">
      <c r="A7" s="11"/>
      <c r="B7" s="95" t="s">
        <v>57</v>
      </c>
      <c r="C7" s="11" t="s">
        <v>1027</v>
      </c>
      <c r="D7" s="11" t="s">
        <v>1027</v>
      </c>
      <c r="E7" s="11" t="s">
        <v>97</v>
      </c>
      <c r="F7" s="28" t="s">
        <v>97</v>
      </c>
      <c r="G7" s="50"/>
    </row>
    <row r="8">
      <c r="A8" s="11"/>
      <c r="B8" s="95" t="s">
        <v>8</v>
      </c>
      <c r="C8" s="11" t="s">
        <v>182</v>
      </c>
      <c r="D8" s="11" t="s">
        <v>1045</v>
      </c>
      <c r="E8" s="11" t="s">
        <v>97</v>
      </c>
      <c r="F8" s="28" t="s">
        <v>97</v>
      </c>
      <c r="G8" s="11"/>
    </row>
    <row r="9">
      <c r="A9" s="11"/>
      <c r="B9" s="95" t="s">
        <v>50</v>
      </c>
      <c r="C9" s="11" t="s">
        <v>182</v>
      </c>
      <c r="D9" s="11" t="s">
        <v>1041</v>
      </c>
      <c r="E9" s="11"/>
      <c r="F9" s="28"/>
      <c r="G9" s="11"/>
    </row>
    <row r="10">
      <c r="A10" s="11"/>
      <c r="B10" s="95" t="s">
        <v>40</v>
      </c>
      <c r="C10" s="11" t="s">
        <v>1046</v>
      </c>
      <c r="D10" s="11" t="s">
        <v>1040</v>
      </c>
      <c r="E10" s="11" t="s">
        <v>97</v>
      </c>
      <c r="F10" s="28" t="s">
        <v>97</v>
      </c>
      <c r="G10" s="11"/>
    </row>
    <row r="11">
      <c r="A11" s="11"/>
      <c r="B11" s="183" t="s">
        <v>70</v>
      </c>
      <c r="C11" s="11" t="s">
        <v>182</v>
      </c>
      <c r="D11" s="11" t="s">
        <v>214</v>
      </c>
      <c r="E11" s="11" t="s">
        <v>97</v>
      </c>
      <c r="F11" s="28" t="s">
        <v>97</v>
      </c>
      <c r="G11" s="50"/>
    </row>
    <row r="12">
      <c r="A12" s="11"/>
      <c r="B12" s="183" t="s">
        <v>90</v>
      </c>
      <c r="C12" s="184" t="s">
        <v>1047</v>
      </c>
      <c r="D12" s="184" t="s">
        <v>1047</v>
      </c>
      <c r="E12" s="11" t="s">
        <v>97</v>
      </c>
      <c r="F12" s="28" t="s">
        <v>97</v>
      </c>
      <c r="G12" s="50"/>
    </row>
    <row r="13">
      <c r="A13" s="11"/>
      <c r="B13" s="183" t="s">
        <v>41</v>
      </c>
      <c r="C13" s="11" t="s">
        <v>1048</v>
      </c>
      <c r="D13" s="11" t="s">
        <v>1044</v>
      </c>
      <c r="E13" s="11" t="s">
        <v>97</v>
      </c>
      <c r="F13" s="28" t="s">
        <v>97</v>
      </c>
      <c r="G13" s="50"/>
    </row>
    <row r="14">
      <c r="A14" s="11"/>
      <c r="B14" s="25" t="s">
        <v>87</v>
      </c>
      <c r="C14" s="11" t="s">
        <v>1049</v>
      </c>
      <c r="D14" s="11" t="s">
        <v>1049</v>
      </c>
      <c r="E14" s="11" t="s">
        <v>97</v>
      </c>
      <c r="F14" s="28" t="s">
        <v>97</v>
      </c>
      <c r="G14" s="50"/>
    </row>
    <row r="15">
      <c r="A15" s="11"/>
      <c r="B15" s="25" t="s">
        <v>88</v>
      </c>
      <c r="C15" s="11" t="s">
        <v>1050</v>
      </c>
      <c r="D15" s="11" t="s">
        <v>1050</v>
      </c>
      <c r="E15" s="11" t="s">
        <v>97</v>
      </c>
      <c r="F15" s="28" t="s">
        <v>97</v>
      </c>
      <c r="G15" s="50"/>
    </row>
    <row r="16">
      <c r="A16" s="11"/>
      <c r="B16" s="34" t="s">
        <v>89</v>
      </c>
      <c r="C16" s="30" t="s">
        <v>1051</v>
      </c>
      <c r="D16" s="30" t="s">
        <v>1051</v>
      </c>
      <c r="E16" s="30" t="s">
        <v>97</v>
      </c>
      <c r="F16" s="72" t="s">
        <v>97</v>
      </c>
      <c r="G16" s="11"/>
    </row>
    <row r="17">
      <c r="A17" s="11"/>
      <c r="B17" s="11"/>
      <c r="C17" s="11"/>
      <c r="D17" s="11"/>
      <c r="E17" s="11"/>
      <c r="F17" s="55"/>
      <c r="G17" s="11"/>
    </row>
    <row r="18">
      <c r="A18" s="11"/>
      <c r="B18" s="11"/>
      <c r="C18" s="11"/>
      <c r="D18" s="11"/>
      <c r="E18" s="11"/>
      <c r="F18" s="55"/>
      <c r="G18" s="11"/>
    </row>
    <row r="19">
      <c r="A19" s="11"/>
      <c r="B19" s="11"/>
      <c r="C19" s="11"/>
      <c r="D19" s="11"/>
      <c r="E19" s="11"/>
      <c r="F19" s="55"/>
      <c r="G19" s="11"/>
    </row>
    <row r="20">
      <c r="A20" s="11"/>
      <c r="B20" s="11"/>
      <c r="C20" s="11"/>
      <c r="D20" s="11"/>
      <c r="E20" s="11"/>
      <c r="F20" s="55"/>
      <c r="G20" s="11"/>
    </row>
    <row r="21">
      <c r="A21" s="11"/>
      <c r="B21" s="11"/>
      <c r="C21" s="11"/>
      <c r="D21" s="11"/>
      <c r="E21" s="11"/>
      <c r="F21" s="55"/>
      <c r="G21" s="11"/>
    </row>
    <row r="22">
      <c r="A22" s="11"/>
      <c r="B22" s="11"/>
      <c r="C22" s="11"/>
      <c r="D22" s="11"/>
      <c r="E22" s="11"/>
      <c r="F22" s="55"/>
      <c r="G22" s="11"/>
    </row>
    <row r="23">
      <c r="A23" s="11"/>
      <c r="B23" s="11"/>
      <c r="C23" s="11"/>
      <c r="D23" s="11"/>
      <c r="E23" s="11"/>
      <c r="F23" s="55"/>
      <c r="G23" s="11"/>
    </row>
    <row r="24">
      <c r="A24" s="11"/>
      <c r="B24" s="11"/>
      <c r="C24" s="11"/>
      <c r="D24" s="11"/>
      <c r="E24" s="11"/>
      <c r="F24" s="55"/>
      <c r="G24" s="11"/>
    </row>
    <row r="25">
      <c r="A25" s="11"/>
      <c r="B25" s="11"/>
      <c r="C25" s="11"/>
      <c r="D25" s="11"/>
      <c r="E25" s="11"/>
      <c r="F25" s="55"/>
      <c r="G25" s="50"/>
    </row>
    <row r="26">
      <c r="A26" s="11"/>
      <c r="B26" s="11"/>
      <c r="C26" s="11"/>
      <c r="D26" s="11"/>
      <c r="E26" s="11"/>
      <c r="F26" s="55"/>
      <c r="G26" s="50"/>
    </row>
    <row r="27">
      <c r="A27" s="11"/>
      <c r="B27" s="11"/>
      <c r="C27" s="11"/>
      <c r="D27" s="11"/>
      <c r="E27" s="11"/>
      <c r="F27" s="55"/>
      <c r="G27" s="50"/>
    </row>
    <row r="28">
      <c r="A28" s="11"/>
      <c r="B28" s="11"/>
      <c r="C28" s="11"/>
      <c r="D28" s="11"/>
      <c r="E28" s="11"/>
      <c r="F28" s="55"/>
      <c r="G28" s="50"/>
    </row>
    <row r="29">
      <c r="A29" s="11"/>
      <c r="B29" s="11"/>
      <c r="C29" s="11"/>
      <c r="D29" s="11"/>
      <c r="E29" s="11"/>
      <c r="F29" s="55"/>
      <c r="G29" s="50"/>
    </row>
    <row r="30">
      <c r="A30" s="11"/>
      <c r="B30" s="11"/>
      <c r="C30" s="11"/>
      <c r="D30" s="11"/>
      <c r="E30" s="11"/>
      <c r="F30" s="55"/>
      <c r="G30" s="50"/>
    </row>
    <row r="31">
      <c r="A31" s="11"/>
      <c r="B31" s="11"/>
      <c r="C31" s="11"/>
      <c r="D31" s="11"/>
      <c r="E31" s="11"/>
      <c r="F31" s="55"/>
      <c r="G31" s="50"/>
    </row>
    <row r="32">
      <c r="A32" s="11"/>
      <c r="B32" s="11"/>
      <c r="C32" s="11"/>
      <c r="D32" s="11"/>
      <c r="E32" s="11"/>
      <c r="F32" s="55"/>
      <c r="G32" s="50"/>
    </row>
    <row r="33">
      <c r="A33" s="11"/>
      <c r="B33" s="11"/>
      <c r="C33" s="11"/>
      <c r="D33" s="11"/>
      <c r="E33" s="11"/>
      <c r="F33" s="55"/>
      <c r="G33" s="50"/>
    </row>
    <row r="34">
      <c r="A34" s="11"/>
      <c r="B34" s="11"/>
      <c r="C34" s="11"/>
      <c r="D34" s="11"/>
      <c r="E34" s="11"/>
      <c r="F34" s="55"/>
      <c r="G34" s="50"/>
    </row>
  </sheetData>
  <mergeCells count="3">
    <mergeCell ref="B2:C2"/>
    <mergeCell ref="B3:G3"/>
    <mergeCell ref="B4:F4"/>
  </mergeCells>
  <hyperlinks>
    <hyperlink r:id="rId1" ref="C12"/>
    <hyperlink r:id="rId2" ref="D12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3.5"/>
  </cols>
  <sheetData>
    <row r="1">
      <c r="A1" s="185" t="s">
        <v>215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</row>
    <row r="2">
      <c r="A2" s="187" t="s">
        <v>1052</v>
      </c>
    </row>
    <row r="3">
      <c r="A3" s="187" t="s">
        <v>1053</v>
      </c>
    </row>
    <row r="4">
      <c r="A4" s="187" t="s">
        <v>1054</v>
      </c>
    </row>
    <row r="5">
      <c r="A5" s="187" t="s">
        <v>1055</v>
      </c>
    </row>
    <row r="6">
      <c r="A6" s="187" t="s">
        <v>1056</v>
      </c>
    </row>
    <row r="7">
      <c r="A7" s="187" t="s">
        <v>1057</v>
      </c>
    </row>
    <row r="8">
      <c r="A8" s="187" t="s">
        <v>1058</v>
      </c>
    </row>
    <row r="9">
      <c r="A9" s="187" t="s">
        <v>1059</v>
      </c>
    </row>
    <row r="10">
      <c r="A10" s="188" t="s">
        <v>1060</v>
      </c>
    </row>
    <row r="11">
      <c r="A11" s="188" t="s">
        <v>1061</v>
      </c>
    </row>
    <row r="12">
      <c r="A12" s="188" t="s">
        <v>1062</v>
      </c>
    </row>
    <row r="13">
      <c r="A13" s="188" t="s">
        <v>1063</v>
      </c>
    </row>
    <row r="14">
      <c r="A14" s="188" t="s">
        <v>1064</v>
      </c>
    </row>
    <row r="15">
      <c r="A15" s="188" t="s">
        <v>1065</v>
      </c>
    </row>
    <row r="16">
      <c r="A16" s="188" t="s">
        <v>1066</v>
      </c>
    </row>
    <row r="17">
      <c r="A17" s="188" t="s">
        <v>1067</v>
      </c>
    </row>
    <row r="18">
      <c r="A18" s="187" t="s">
        <v>1068</v>
      </c>
    </row>
    <row r="19">
      <c r="A19" s="187" t="s">
        <v>1069</v>
      </c>
    </row>
    <row r="20">
      <c r="A20" s="187" t="s">
        <v>1070</v>
      </c>
    </row>
    <row r="21">
      <c r="A21" s="187" t="s">
        <v>1071</v>
      </c>
    </row>
    <row r="22">
      <c r="A22" s="187" t="s">
        <v>1072</v>
      </c>
    </row>
    <row r="23">
      <c r="A23" s="187" t="s">
        <v>1073</v>
      </c>
    </row>
    <row r="24">
      <c r="A24" s="187" t="s">
        <v>1074</v>
      </c>
    </row>
    <row r="25">
      <c r="A25" s="187" t="s">
        <v>1075</v>
      </c>
    </row>
    <row r="26">
      <c r="A26" s="187" t="s">
        <v>1076</v>
      </c>
    </row>
    <row r="27">
      <c r="A27" s="187" t="s">
        <v>1077</v>
      </c>
    </row>
    <row r="28">
      <c r="A28" s="187" t="s">
        <v>1078</v>
      </c>
    </row>
    <row r="29">
      <c r="A29" s="187" t="s">
        <v>1079</v>
      </c>
    </row>
    <row r="30">
      <c r="A30" s="187" t="s">
        <v>1080</v>
      </c>
    </row>
    <row r="31">
      <c r="A31" s="187" t="s">
        <v>1081</v>
      </c>
    </row>
    <row r="32">
      <c r="A32" s="187" t="s">
        <v>1082</v>
      </c>
    </row>
    <row r="33">
      <c r="A33" s="187" t="s">
        <v>1083</v>
      </c>
    </row>
    <row r="34">
      <c r="A34" s="187" t="s">
        <v>1084</v>
      </c>
    </row>
    <row r="35">
      <c r="A35" s="187" t="s">
        <v>1085</v>
      </c>
    </row>
    <row r="36">
      <c r="A36" s="187" t="s">
        <v>1086</v>
      </c>
    </row>
    <row r="37">
      <c r="A37" s="187" t="s">
        <v>1087</v>
      </c>
    </row>
    <row r="38">
      <c r="A38" s="187" t="s">
        <v>1088</v>
      </c>
    </row>
    <row r="39">
      <c r="A39" s="187" t="s">
        <v>1089</v>
      </c>
    </row>
    <row r="40">
      <c r="A40" s="187" t="s">
        <v>1090</v>
      </c>
    </row>
    <row r="41">
      <c r="A41" s="187" t="s">
        <v>1091</v>
      </c>
    </row>
    <row r="42">
      <c r="A42" s="187" t="s">
        <v>1092</v>
      </c>
    </row>
    <row r="43">
      <c r="A43" s="187" t="s">
        <v>1093</v>
      </c>
    </row>
    <row r="44">
      <c r="A44" s="187" t="s">
        <v>1094</v>
      </c>
    </row>
    <row r="45">
      <c r="A45" s="187" t="s">
        <v>1095</v>
      </c>
    </row>
    <row r="46">
      <c r="A46" s="187" t="s">
        <v>1096</v>
      </c>
    </row>
    <row r="47">
      <c r="A47" s="187" t="s">
        <v>1097</v>
      </c>
    </row>
    <row r="48">
      <c r="A48" s="187" t="s">
        <v>1098</v>
      </c>
    </row>
    <row r="49">
      <c r="A49" s="187" t="s">
        <v>1099</v>
      </c>
    </row>
    <row r="50">
      <c r="A50" s="187" t="s">
        <v>1100</v>
      </c>
    </row>
    <row r="51">
      <c r="A51" s="187" t="s">
        <v>1101</v>
      </c>
    </row>
    <row r="52">
      <c r="A52" s="187" t="s">
        <v>1102</v>
      </c>
    </row>
    <row r="53">
      <c r="A53" s="187" t="s">
        <v>1103</v>
      </c>
    </row>
    <row r="54">
      <c r="A54" s="187" t="s">
        <v>1104</v>
      </c>
    </row>
    <row r="55">
      <c r="A55" s="187" t="s">
        <v>1105</v>
      </c>
    </row>
    <row r="56">
      <c r="A56" s="187" t="s">
        <v>1106</v>
      </c>
    </row>
    <row r="57">
      <c r="A57" s="187" t="s">
        <v>1107</v>
      </c>
    </row>
    <row r="58">
      <c r="A58" s="187" t="s">
        <v>1108</v>
      </c>
    </row>
    <row r="59">
      <c r="A59" s="187" t="s">
        <v>1109</v>
      </c>
    </row>
    <row r="60">
      <c r="A60" s="187" t="s">
        <v>1110</v>
      </c>
    </row>
    <row r="61">
      <c r="A61" s="187" t="s">
        <v>1111</v>
      </c>
    </row>
    <row r="62">
      <c r="A62" s="187" t="s">
        <v>1112</v>
      </c>
    </row>
    <row r="63">
      <c r="A63" s="187" t="s">
        <v>1113</v>
      </c>
    </row>
    <row r="64">
      <c r="A64" s="187" t="s">
        <v>1114</v>
      </c>
    </row>
    <row r="65">
      <c r="A65" s="187" t="s">
        <v>1115</v>
      </c>
    </row>
    <row r="66">
      <c r="A66" s="187" t="s">
        <v>1116</v>
      </c>
    </row>
    <row r="67">
      <c r="A67" s="187" t="s">
        <v>1117</v>
      </c>
    </row>
    <row r="68">
      <c r="A68" s="187" t="s">
        <v>1118</v>
      </c>
    </row>
    <row r="69">
      <c r="A69" s="187" t="s">
        <v>1119</v>
      </c>
    </row>
    <row r="70">
      <c r="A70" s="187" t="s">
        <v>1120</v>
      </c>
    </row>
    <row r="71">
      <c r="A71" s="187" t="s">
        <v>1121</v>
      </c>
    </row>
    <row r="72">
      <c r="A72" s="187" t="s">
        <v>1122</v>
      </c>
    </row>
    <row r="73">
      <c r="A73" s="187" t="s">
        <v>1123</v>
      </c>
    </row>
    <row r="74">
      <c r="A74" s="187" t="s">
        <v>1124</v>
      </c>
    </row>
    <row r="75">
      <c r="A75" s="187" t="s">
        <v>1125</v>
      </c>
    </row>
    <row r="76">
      <c r="A76" s="187" t="s">
        <v>1126</v>
      </c>
    </row>
    <row r="77">
      <c r="A77" s="187" t="s">
        <v>1127</v>
      </c>
    </row>
    <row r="78">
      <c r="A78" s="187" t="s">
        <v>1128</v>
      </c>
    </row>
    <row r="79">
      <c r="A79" s="187" t="s">
        <v>1129</v>
      </c>
    </row>
    <row r="80">
      <c r="A80" s="187" t="s">
        <v>1130</v>
      </c>
    </row>
    <row r="81">
      <c r="A81" s="187" t="s">
        <v>1131</v>
      </c>
    </row>
    <row r="82">
      <c r="A82" s="187" t="s">
        <v>1132</v>
      </c>
    </row>
    <row r="83">
      <c r="A83" s="187" t="s">
        <v>1133</v>
      </c>
    </row>
    <row r="84">
      <c r="A84" s="187" t="s">
        <v>1134</v>
      </c>
    </row>
    <row r="85">
      <c r="A85" s="187" t="s">
        <v>1135</v>
      </c>
    </row>
    <row r="86">
      <c r="A86" s="187" t="s">
        <v>1136</v>
      </c>
    </row>
    <row r="87">
      <c r="A87" s="187" t="s">
        <v>1137</v>
      </c>
    </row>
    <row r="88">
      <c r="A88" s="187" t="s">
        <v>1138</v>
      </c>
    </row>
    <row r="89">
      <c r="A89" s="187" t="s">
        <v>1139</v>
      </c>
    </row>
    <row r="90">
      <c r="A90" s="187" t="s">
        <v>1140</v>
      </c>
    </row>
    <row r="91">
      <c r="A91" s="187" t="s">
        <v>1141</v>
      </c>
    </row>
    <row r="92">
      <c r="A92" s="187" t="s">
        <v>1142</v>
      </c>
    </row>
    <row r="93">
      <c r="A93" s="187" t="s">
        <v>1143</v>
      </c>
    </row>
    <row r="94">
      <c r="A94" s="187" t="s">
        <v>1144</v>
      </c>
    </row>
    <row r="95">
      <c r="A95" s="187" t="s">
        <v>1145</v>
      </c>
    </row>
    <row r="96">
      <c r="A96" s="187" t="s">
        <v>1146</v>
      </c>
    </row>
    <row r="97">
      <c r="A97" s="187" t="s">
        <v>1147</v>
      </c>
    </row>
    <row r="98">
      <c r="A98" s="187" t="s">
        <v>1148</v>
      </c>
    </row>
    <row r="99">
      <c r="A99" s="187" t="s">
        <v>1149</v>
      </c>
    </row>
    <row r="100">
      <c r="A100" s="187" t="s">
        <v>1150</v>
      </c>
    </row>
    <row r="101">
      <c r="A101" s="187" t="s">
        <v>1151</v>
      </c>
    </row>
    <row r="102">
      <c r="A102" s="187" t="s">
        <v>1152</v>
      </c>
    </row>
    <row r="103">
      <c r="A103" s="187" t="s">
        <v>1153</v>
      </c>
    </row>
    <row r="104">
      <c r="A104" s="187" t="s">
        <v>1154</v>
      </c>
    </row>
    <row r="105">
      <c r="A105" s="187" t="s">
        <v>1155</v>
      </c>
    </row>
    <row r="106">
      <c r="A106" s="187" t="s">
        <v>1156</v>
      </c>
    </row>
    <row r="107">
      <c r="A107" s="187" t="s">
        <v>1157</v>
      </c>
    </row>
    <row r="108">
      <c r="A108" s="187" t="s">
        <v>1158</v>
      </c>
    </row>
    <row r="109">
      <c r="A109" s="187" t="s">
        <v>1159</v>
      </c>
    </row>
    <row r="110">
      <c r="A110" s="187" t="s">
        <v>1160</v>
      </c>
    </row>
    <row r="111">
      <c r="A111" s="187" t="s">
        <v>1161</v>
      </c>
    </row>
    <row r="112">
      <c r="A112" s="187" t="s">
        <v>1162</v>
      </c>
    </row>
    <row r="113">
      <c r="A113" s="187" t="s">
        <v>1163</v>
      </c>
    </row>
    <row r="114">
      <c r="A114" s="187" t="s">
        <v>1164</v>
      </c>
    </row>
    <row r="115">
      <c r="A115" s="187" t="s">
        <v>1165</v>
      </c>
    </row>
    <row r="116">
      <c r="A116" s="187" t="s">
        <v>1166</v>
      </c>
    </row>
    <row r="117">
      <c r="A117" s="187" t="s">
        <v>1167</v>
      </c>
    </row>
    <row r="118">
      <c r="A118" s="187" t="s">
        <v>1168</v>
      </c>
    </row>
    <row r="119">
      <c r="A119" s="187" t="s">
        <v>1169</v>
      </c>
    </row>
    <row r="120">
      <c r="A120" s="187" t="s">
        <v>1170</v>
      </c>
    </row>
    <row r="121">
      <c r="A121" s="187" t="s">
        <v>1171</v>
      </c>
    </row>
    <row r="122">
      <c r="A122" s="187" t="s">
        <v>1172</v>
      </c>
    </row>
    <row r="123">
      <c r="A123" s="187" t="s">
        <v>1173</v>
      </c>
    </row>
    <row r="124">
      <c r="A124" s="187" t="s">
        <v>1174</v>
      </c>
    </row>
    <row r="125">
      <c r="A125" s="187" t="s">
        <v>1175</v>
      </c>
    </row>
    <row r="126">
      <c r="A126" s="187" t="s">
        <v>1176</v>
      </c>
    </row>
    <row r="127">
      <c r="A127" s="187" t="s">
        <v>1177</v>
      </c>
    </row>
    <row r="128">
      <c r="A128" s="187" t="s">
        <v>1178</v>
      </c>
    </row>
    <row r="129">
      <c r="A129" s="187" t="s">
        <v>1179</v>
      </c>
    </row>
    <row r="130">
      <c r="A130" s="187" t="s">
        <v>1180</v>
      </c>
    </row>
    <row r="131">
      <c r="A131" s="187" t="s">
        <v>1181</v>
      </c>
    </row>
    <row r="132">
      <c r="A132" s="187" t="s">
        <v>1182</v>
      </c>
    </row>
    <row r="133">
      <c r="A133" s="187" t="s">
        <v>1183</v>
      </c>
    </row>
    <row r="134">
      <c r="A134" s="187" t="s">
        <v>1184</v>
      </c>
    </row>
    <row r="135">
      <c r="A135" s="187" t="s">
        <v>1185</v>
      </c>
    </row>
    <row r="136">
      <c r="A136" s="187" t="s">
        <v>1186</v>
      </c>
    </row>
    <row r="137">
      <c r="A137" s="187" t="s">
        <v>1187</v>
      </c>
    </row>
    <row r="138">
      <c r="A138" s="187" t="s">
        <v>1188</v>
      </c>
    </row>
    <row r="139">
      <c r="A139" s="187" t="s">
        <v>1189</v>
      </c>
    </row>
    <row r="140">
      <c r="A140" s="187" t="s">
        <v>1190</v>
      </c>
    </row>
    <row r="141">
      <c r="A141" s="187" t="s">
        <v>1191</v>
      </c>
    </row>
    <row r="142">
      <c r="A142" s="187" t="s">
        <v>1192</v>
      </c>
    </row>
    <row r="143">
      <c r="A143" s="187" t="s">
        <v>1193</v>
      </c>
    </row>
    <row r="144">
      <c r="A144" s="187" t="s">
        <v>1194</v>
      </c>
    </row>
    <row r="145">
      <c r="A145" s="187" t="s">
        <v>1195</v>
      </c>
    </row>
    <row r="146">
      <c r="A146" s="187" t="s">
        <v>1196</v>
      </c>
    </row>
    <row r="147">
      <c r="A147" s="187" t="s">
        <v>1197</v>
      </c>
    </row>
    <row r="148">
      <c r="A148" s="187" t="s">
        <v>1198</v>
      </c>
    </row>
    <row r="149">
      <c r="A149" s="187" t="s">
        <v>1199</v>
      </c>
    </row>
    <row r="150">
      <c r="A150" s="187" t="s">
        <v>1200</v>
      </c>
    </row>
    <row r="151">
      <c r="A151" s="187" t="s">
        <v>1201</v>
      </c>
    </row>
    <row r="152">
      <c r="A152" s="187" t="s">
        <v>1202</v>
      </c>
    </row>
    <row r="153">
      <c r="A153" s="187" t="s">
        <v>1203</v>
      </c>
    </row>
    <row r="154">
      <c r="A154" s="187" t="s">
        <v>1204</v>
      </c>
    </row>
    <row r="155">
      <c r="A155" s="187" t="s">
        <v>1205</v>
      </c>
    </row>
    <row r="156">
      <c r="A156" s="187" t="s">
        <v>1206</v>
      </c>
    </row>
    <row r="157">
      <c r="A157" s="187" t="s">
        <v>1207</v>
      </c>
    </row>
    <row r="158">
      <c r="A158" s="187" t="s">
        <v>1208</v>
      </c>
    </row>
    <row r="159">
      <c r="A159" s="187" t="s">
        <v>1209</v>
      </c>
    </row>
    <row r="160">
      <c r="A160" s="187" t="s">
        <v>1210</v>
      </c>
    </row>
    <row r="161">
      <c r="A161" s="187" t="s">
        <v>1211</v>
      </c>
    </row>
    <row r="162">
      <c r="A162" s="187" t="s">
        <v>1212</v>
      </c>
    </row>
    <row r="163">
      <c r="A163" s="187" t="s">
        <v>1213</v>
      </c>
    </row>
    <row r="164">
      <c r="A164" s="187" t="s">
        <v>1214</v>
      </c>
    </row>
    <row r="165">
      <c r="A165" s="187" t="s">
        <v>1215</v>
      </c>
    </row>
    <row r="166">
      <c r="A166" s="187" t="s">
        <v>1216</v>
      </c>
    </row>
    <row r="167">
      <c r="A167" s="187" t="s">
        <v>1217</v>
      </c>
    </row>
    <row r="168">
      <c r="A168" s="187" t="s">
        <v>1218</v>
      </c>
    </row>
    <row r="169">
      <c r="A169" s="187" t="s">
        <v>1219</v>
      </c>
    </row>
    <row r="170">
      <c r="A170" s="187" t="s">
        <v>1220</v>
      </c>
    </row>
    <row r="171">
      <c r="A171" s="187" t="s">
        <v>1221</v>
      </c>
    </row>
    <row r="172">
      <c r="A172" s="187" t="s">
        <v>1222</v>
      </c>
    </row>
    <row r="173">
      <c r="A173" s="187" t="s">
        <v>1223</v>
      </c>
    </row>
    <row r="174">
      <c r="A174" s="187" t="s">
        <v>1224</v>
      </c>
    </row>
    <row r="175">
      <c r="A175" s="187" t="s">
        <v>1225</v>
      </c>
    </row>
    <row r="176">
      <c r="A176" s="187" t="s">
        <v>1226</v>
      </c>
    </row>
    <row r="177">
      <c r="A177" s="187" t="s">
        <v>1227</v>
      </c>
    </row>
    <row r="178">
      <c r="A178" s="187" t="s">
        <v>1228</v>
      </c>
    </row>
    <row r="179">
      <c r="A179" s="187" t="s">
        <v>1229</v>
      </c>
    </row>
    <row r="180">
      <c r="A180" s="187" t="s">
        <v>1230</v>
      </c>
    </row>
    <row r="181">
      <c r="A181" s="187" t="s">
        <v>1231</v>
      </c>
    </row>
    <row r="182">
      <c r="A182" s="187" t="s">
        <v>1232</v>
      </c>
    </row>
    <row r="183">
      <c r="A183" s="187" t="s">
        <v>1233</v>
      </c>
    </row>
    <row r="184">
      <c r="A184" s="187" t="s">
        <v>1234</v>
      </c>
    </row>
    <row r="185">
      <c r="A185" s="187" t="s">
        <v>1235</v>
      </c>
    </row>
    <row r="186">
      <c r="A186" s="187" t="s">
        <v>1236</v>
      </c>
    </row>
    <row r="187">
      <c r="A187" s="187" t="s">
        <v>1237</v>
      </c>
    </row>
    <row r="188">
      <c r="A188" s="187" t="s">
        <v>1238</v>
      </c>
    </row>
    <row r="189">
      <c r="A189" s="187" t="s">
        <v>1239</v>
      </c>
    </row>
    <row r="190">
      <c r="A190" s="187" t="s">
        <v>1240</v>
      </c>
    </row>
    <row r="191">
      <c r="A191" s="187" t="s">
        <v>1241</v>
      </c>
    </row>
    <row r="192">
      <c r="A192" s="187" t="s">
        <v>1242</v>
      </c>
    </row>
    <row r="193">
      <c r="A193" s="187" t="s">
        <v>1243</v>
      </c>
    </row>
    <row r="194">
      <c r="A194" s="187" t="s">
        <v>1244</v>
      </c>
    </row>
    <row r="195">
      <c r="A195" s="187" t="s">
        <v>1245</v>
      </c>
    </row>
    <row r="196">
      <c r="A196" s="187" t="s">
        <v>1246</v>
      </c>
    </row>
    <row r="197">
      <c r="A197" s="187" t="s">
        <v>1247</v>
      </c>
    </row>
    <row r="198">
      <c r="A198" s="187" t="s">
        <v>1248</v>
      </c>
    </row>
    <row r="199">
      <c r="A199" s="187" t="s">
        <v>1249</v>
      </c>
    </row>
    <row r="200">
      <c r="A200" s="187" t="s">
        <v>1250</v>
      </c>
    </row>
    <row r="201">
      <c r="A201" s="187" t="s">
        <v>1251</v>
      </c>
    </row>
    <row r="202">
      <c r="A202" s="187" t="s">
        <v>1252</v>
      </c>
    </row>
    <row r="203">
      <c r="A203" s="187" t="s">
        <v>1253</v>
      </c>
    </row>
    <row r="204">
      <c r="A204" s="187" t="s">
        <v>1254</v>
      </c>
    </row>
    <row r="205">
      <c r="A205" s="187" t="s">
        <v>1255</v>
      </c>
    </row>
    <row r="206">
      <c r="A206" s="187" t="s">
        <v>1256</v>
      </c>
    </row>
    <row r="207">
      <c r="A207" s="187" t="s">
        <v>1257</v>
      </c>
    </row>
    <row r="208">
      <c r="A208" s="187" t="s">
        <v>1258</v>
      </c>
    </row>
    <row r="209">
      <c r="A209" s="187" t="s">
        <v>1259</v>
      </c>
    </row>
    <row r="210">
      <c r="A210" s="187" t="s">
        <v>1260</v>
      </c>
    </row>
    <row r="211">
      <c r="A211" s="187" t="s">
        <v>1261</v>
      </c>
    </row>
    <row r="212">
      <c r="A212" s="187" t="s">
        <v>1262</v>
      </c>
    </row>
    <row r="213">
      <c r="A213" s="187" t="s">
        <v>1263</v>
      </c>
    </row>
    <row r="214">
      <c r="A214" s="187" t="s">
        <v>1264</v>
      </c>
    </row>
    <row r="215">
      <c r="A215" s="187" t="s">
        <v>1265</v>
      </c>
    </row>
    <row r="216">
      <c r="A216" s="187" t="s">
        <v>1266</v>
      </c>
    </row>
    <row r="217">
      <c r="A217" s="187" t="s">
        <v>1267</v>
      </c>
    </row>
    <row r="218">
      <c r="A218" s="187" t="s">
        <v>1268</v>
      </c>
    </row>
    <row r="219">
      <c r="A219" s="187" t="s">
        <v>1269</v>
      </c>
    </row>
    <row r="220">
      <c r="A220" s="187" t="s">
        <v>1270</v>
      </c>
    </row>
    <row r="221">
      <c r="A221" s="187" t="s">
        <v>1271</v>
      </c>
    </row>
    <row r="222">
      <c r="A222" s="187" t="s">
        <v>1272</v>
      </c>
    </row>
    <row r="223">
      <c r="A223" s="187" t="s">
        <v>1273</v>
      </c>
    </row>
    <row r="224">
      <c r="A224" s="187" t="s">
        <v>1274</v>
      </c>
    </row>
    <row r="225">
      <c r="A225" s="187" t="s">
        <v>1275</v>
      </c>
    </row>
    <row r="226">
      <c r="A226" s="187" t="s">
        <v>1276</v>
      </c>
    </row>
    <row r="227">
      <c r="A227" s="187" t="s">
        <v>1277</v>
      </c>
    </row>
    <row r="228">
      <c r="A228" s="187" t="s">
        <v>1278</v>
      </c>
    </row>
    <row r="229">
      <c r="A229" s="187" t="s">
        <v>1279</v>
      </c>
    </row>
    <row r="230">
      <c r="A230" s="187" t="s">
        <v>1280</v>
      </c>
    </row>
    <row r="231">
      <c r="A231" s="187" t="s">
        <v>1281</v>
      </c>
    </row>
    <row r="232">
      <c r="A232" s="187" t="s">
        <v>1282</v>
      </c>
    </row>
    <row r="233">
      <c r="A233" s="187" t="s">
        <v>1283</v>
      </c>
    </row>
    <row r="234">
      <c r="A234" s="187" t="s">
        <v>1284</v>
      </c>
    </row>
    <row r="235">
      <c r="A235" s="187" t="s">
        <v>1285</v>
      </c>
    </row>
    <row r="236">
      <c r="A236" s="187" t="s">
        <v>1286</v>
      </c>
    </row>
    <row r="237">
      <c r="A237" s="187" t="s">
        <v>1287</v>
      </c>
    </row>
    <row r="238">
      <c r="A238" s="187" t="s">
        <v>1288</v>
      </c>
    </row>
    <row r="239">
      <c r="A239" s="187" t="s">
        <v>1289</v>
      </c>
    </row>
    <row r="240">
      <c r="A240" s="187" t="s">
        <v>1290</v>
      </c>
    </row>
    <row r="241">
      <c r="A241" s="187" t="s">
        <v>1291</v>
      </c>
    </row>
    <row r="242">
      <c r="A242" s="187" t="s">
        <v>1292</v>
      </c>
    </row>
    <row r="243">
      <c r="A243" s="187" t="s">
        <v>1293</v>
      </c>
    </row>
    <row r="244">
      <c r="A244" s="187" t="s">
        <v>1294</v>
      </c>
    </row>
    <row r="245">
      <c r="A245" s="187" t="s">
        <v>1295</v>
      </c>
    </row>
    <row r="246">
      <c r="A246" s="187" t="s">
        <v>1296</v>
      </c>
    </row>
    <row r="247">
      <c r="A247" s="187" t="s">
        <v>1297</v>
      </c>
    </row>
    <row r="248">
      <c r="A248" s="187" t="s">
        <v>1298</v>
      </c>
    </row>
    <row r="249">
      <c r="A249" s="187" t="s">
        <v>1299</v>
      </c>
    </row>
    <row r="250">
      <c r="A250" s="187" t="s">
        <v>1300</v>
      </c>
    </row>
    <row r="251">
      <c r="A251" s="187" t="s">
        <v>1301</v>
      </c>
    </row>
    <row r="252">
      <c r="A252" s="187" t="s">
        <v>1302</v>
      </c>
    </row>
    <row r="253">
      <c r="A253" s="187" t="s">
        <v>1303</v>
      </c>
    </row>
    <row r="254">
      <c r="A254" s="187" t="s">
        <v>1304</v>
      </c>
    </row>
    <row r="255">
      <c r="A255" s="187" t="s">
        <v>1305</v>
      </c>
    </row>
    <row r="256">
      <c r="A256" s="187" t="s">
        <v>1306</v>
      </c>
    </row>
    <row r="257">
      <c r="A257" s="187" t="s">
        <v>1307</v>
      </c>
    </row>
    <row r="258">
      <c r="A258" s="187" t="s">
        <v>1308</v>
      </c>
    </row>
    <row r="259">
      <c r="A259" s="187" t="s">
        <v>1309</v>
      </c>
    </row>
    <row r="260">
      <c r="A260" s="187" t="s">
        <v>1310</v>
      </c>
    </row>
    <row r="261">
      <c r="A261" s="187" t="s">
        <v>1311</v>
      </c>
    </row>
    <row r="262">
      <c r="A262" s="187" t="s">
        <v>1312</v>
      </c>
    </row>
    <row r="263">
      <c r="A263" s="187" t="s">
        <v>1313</v>
      </c>
    </row>
    <row r="264">
      <c r="A264" s="187" t="s">
        <v>1314</v>
      </c>
    </row>
    <row r="265">
      <c r="A265" s="187" t="s">
        <v>1315</v>
      </c>
    </row>
    <row r="266">
      <c r="A266" s="187" t="s">
        <v>1316</v>
      </c>
    </row>
    <row r="267">
      <c r="A267" s="187" t="s">
        <v>1317</v>
      </c>
    </row>
    <row r="268">
      <c r="A268" s="187" t="s">
        <v>1318</v>
      </c>
    </row>
    <row r="269">
      <c r="A269" s="187" t="s">
        <v>1319</v>
      </c>
    </row>
    <row r="270">
      <c r="A270" s="187" t="s">
        <v>1320</v>
      </c>
    </row>
    <row r="271">
      <c r="A271" s="187" t="s">
        <v>1321</v>
      </c>
    </row>
    <row r="272">
      <c r="A272" s="187" t="s">
        <v>1322</v>
      </c>
    </row>
    <row r="273">
      <c r="A273" s="187" t="s">
        <v>1323</v>
      </c>
    </row>
    <row r="274">
      <c r="A274" s="187" t="s">
        <v>1324</v>
      </c>
    </row>
    <row r="275">
      <c r="A275" s="187" t="s">
        <v>1325</v>
      </c>
    </row>
    <row r="276">
      <c r="A276" s="187" t="s">
        <v>1326</v>
      </c>
    </row>
    <row r="277">
      <c r="A277" s="187" t="s">
        <v>1327</v>
      </c>
    </row>
    <row r="278">
      <c r="A278" s="187" t="s">
        <v>1328</v>
      </c>
    </row>
    <row r="279">
      <c r="A279" s="187" t="s">
        <v>1329</v>
      </c>
    </row>
    <row r="280">
      <c r="A280" s="187" t="s">
        <v>1330</v>
      </c>
    </row>
    <row r="281">
      <c r="A281" s="187" t="s">
        <v>1331</v>
      </c>
    </row>
    <row r="282">
      <c r="A282" s="187" t="s">
        <v>1332</v>
      </c>
    </row>
    <row r="283">
      <c r="A283" s="187" t="s">
        <v>1333</v>
      </c>
    </row>
    <row r="284">
      <c r="A284" s="187" t="s">
        <v>1334</v>
      </c>
    </row>
    <row r="285">
      <c r="A285" s="187" t="s">
        <v>1335</v>
      </c>
    </row>
    <row r="286">
      <c r="A286" s="187" t="s">
        <v>1336</v>
      </c>
    </row>
    <row r="287">
      <c r="A287" s="187" t="s">
        <v>1337</v>
      </c>
    </row>
    <row r="288">
      <c r="A288" s="187" t="s">
        <v>1338</v>
      </c>
    </row>
    <row r="289">
      <c r="A289" s="187" t="s">
        <v>1339</v>
      </c>
    </row>
    <row r="290">
      <c r="A290" s="187" t="s">
        <v>1340</v>
      </c>
    </row>
    <row r="291">
      <c r="A291" s="187" t="s">
        <v>1341</v>
      </c>
    </row>
    <row r="292">
      <c r="A292" s="187" t="s">
        <v>1342</v>
      </c>
    </row>
    <row r="293">
      <c r="A293" s="187" t="s">
        <v>1343</v>
      </c>
    </row>
    <row r="294">
      <c r="A294" s="187" t="s">
        <v>1344</v>
      </c>
    </row>
    <row r="295">
      <c r="A295" s="187" t="s">
        <v>1345</v>
      </c>
    </row>
    <row r="296">
      <c r="A296" s="187" t="s">
        <v>1346</v>
      </c>
    </row>
    <row r="297">
      <c r="A297" s="187" t="s">
        <v>1347</v>
      </c>
    </row>
    <row r="298">
      <c r="A298" s="187" t="s">
        <v>1348</v>
      </c>
    </row>
    <row r="299">
      <c r="A299" s="187" t="s">
        <v>1349</v>
      </c>
    </row>
    <row r="300">
      <c r="A300" s="187" t="s">
        <v>1350</v>
      </c>
    </row>
    <row r="301">
      <c r="A301" s="187" t="s">
        <v>1351</v>
      </c>
    </row>
    <row r="302">
      <c r="A302" s="187" t="s">
        <v>1352</v>
      </c>
    </row>
    <row r="303">
      <c r="A303" s="187" t="s">
        <v>1353</v>
      </c>
    </row>
    <row r="304">
      <c r="A304" s="187" t="s">
        <v>1354</v>
      </c>
    </row>
    <row r="305">
      <c r="A305" s="187" t="s">
        <v>1355</v>
      </c>
    </row>
    <row r="306">
      <c r="A306" s="187" t="s">
        <v>1356</v>
      </c>
    </row>
    <row r="307">
      <c r="A307" s="187" t="s">
        <v>1357</v>
      </c>
    </row>
    <row r="308">
      <c r="A308" s="187" t="s">
        <v>1358</v>
      </c>
    </row>
    <row r="309">
      <c r="A309" s="187" t="s">
        <v>1359</v>
      </c>
    </row>
    <row r="310">
      <c r="A310" s="187" t="s">
        <v>1360</v>
      </c>
    </row>
    <row r="311">
      <c r="A311" s="187" t="s">
        <v>1361</v>
      </c>
    </row>
    <row r="312">
      <c r="A312" s="187" t="s">
        <v>1362</v>
      </c>
    </row>
    <row r="313">
      <c r="A313" s="187" t="s">
        <v>1363</v>
      </c>
    </row>
    <row r="314">
      <c r="A314" s="187" t="s">
        <v>1364</v>
      </c>
    </row>
    <row r="315">
      <c r="A315" s="187" t="s">
        <v>1365</v>
      </c>
    </row>
    <row r="316">
      <c r="A316" s="187" t="s">
        <v>1366</v>
      </c>
    </row>
    <row r="317">
      <c r="A317" s="187" t="s">
        <v>1367</v>
      </c>
    </row>
    <row r="318">
      <c r="A318" s="187" t="s">
        <v>1368</v>
      </c>
    </row>
    <row r="319">
      <c r="A319" s="187" t="s">
        <v>1369</v>
      </c>
    </row>
    <row r="320">
      <c r="A320" s="187" t="s">
        <v>1370</v>
      </c>
    </row>
    <row r="321">
      <c r="A321" s="187" t="s">
        <v>1371</v>
      </c>
    </row>
    <row r="322">
      <c r="A322" s="187" t="s">
        <v>1372</v>
      </c>
    </row>
    <row r="323">
      <c r="A323" s="187" t="s">
        <v>1373</v>
      </c>
    </row>
    <row r="324">
      <c r="A324" s="187" t="s">
        <v>1374</v>
      </c>
    </row>
    <row r="325">
      <c r="A325" s="187" t="s">
        <v>1375</v>
      </c>
    </row>
    <row r="326">
      <c r="A326" s="187" t="s">
        <v>1376</v>
      </c>
    </row>
    <row r="327">
      <c r="A327" s="187" t="s">
        <v>1377</v>
      </c>
    </row>
    <row r="328">
      <c r="A328" s="187" t="s">
        <v>1378</v>
      </c>
    </row>
    <row r="329">
      <c r="A329" s="187" t="s">
        <v>1379</v>
      </c>
    </row>
    <row r="330">
      <c r="A330" s="187" t="s">
        <v>1380</v>
      </c>
    </row>
    <row r="331">
      <c r="A331" s="187" t="s">
        <v>1381</v>
      </c>
    </row>
    <row r="332">
      <c r="A332" s="187" t="s">
        <v>1382</v>
      </c>
    </row>
    <row r="333">
      <c r="A333" s="187" t="s">
        <v>1383</v>
      </c>
    </row>
    <row r="334">
      <c r="A334" s="187" t="s">
        <v>1384</v>
      </c>
    </row>
    <row r="335">
      <c r="A335" s="187" t="s">
        <v>1385</v>
      </c>
    </row>
    <row r="336">
      <c r="A336" s="187" t="s">
        <v>1386</v>
      </c>
    </row>
    <row r="337">
      <c r="A337" s="187" t="s">
        <v>1387</v>
      </c>
    </row>
    <row r="338">
      <c r="A338" s="187" t="s">
        <v>1388</v>
      </c>
    </row>
    <row r="339">
      <c r="A339" s="187" t="s">
        <v>1389</v>
      </c>
    </row>
    <row r="340">
      <c r="A340" s="187" t="s">
        <v>1390</v>
      </c>
    </row>
    <row r="341">
      <c r="A341" s="187" t="s">
        <v>1391</v>
      </c>
    </row>
    <row r="342">
      <c r="A342" s="187" t="s">
        <v>1392</v>
      </c>
    </row>
    <row r="343">
      <c r="A343" s="187" t="s">
        <v>1393</v>
      </c>
    </row>
    <row r="344">
      <c r="A344" s="187" t="s">
        <v>1394</v>
      </c>
    </row>
    <row r="345">
      <c r="A345" s="187" t="s">
        <v>1395</v>
      </c>
    </row>
    <row r="346">
      <c r="A346" s="187" t="s">
        <v>1396</v>
      </c>
    </row>
    <row r="347">
      <c r="A347" s="187" t="s">
        <v>1397</v>
      </c>
    </row>
    <row r="348">
      <c r="A348" s="187" t="s">
        <v>1398</v>
      </c>
    </row>
    <row r="349">
      <c r="A349" s="187" t="s">
        <v>1399</v>
      </c>
    </row>
    <row r="350">
      <c r="A350" s="187" t="s">
        <v>1400</v>
      </c>
    </row>
    <row r="351">
      <c r="A351" s="187" t="s">
        <v>1401</v>
      </c>
    </row>
    <row r="352">
      <c r="A352" s="187" t="s">
        <v>1402</v>
      </c>
    </row>
    <row r="353">
      <c r="A353" s="187" t="s">
        <v>1403</v>
      </c>
    </row>
    <row r="354">
      <c r="A354" s="187" t="s">
        <v>1404</v>
      </c>
    </row>
    <row r="355">
      <c r="A355" s="187" t="s">
        <v>1405</v>
      </c>
    </row>
    <row r="356">
      <c r="A356" s="187" t="s">
        <v>1406</v>
      </c>
    </row>
    <row r="357">
      <c r="A357" s="187" t="s">
        <v>1407</v>
      </c>
    </row>
    <row r="358">
      <c r="A358" s="187" t="s">
        <v>1408</v>
      </c>
    </row>
    <row r="359">
      <c r="A359" s="187" t="s">
        <v>1409</v>
      </c>
    </row>
    <row r="360">
      <c r="A360" s="187" t="s">
        <v>1410</v>
      </c>
    </row>
    <row r="361">
      <c r="A361" s="187" t="s">
        <v>1411</v>
      </c>
    </row>
    <row r="362">
      <c r="A362" s="187" t="s">
        <v>1412</v>
      </c>
    </row>
    <row r="363">
      <c r="A363" s="187" t="s">
        <v>1413</v>
      </c>
    </row>
    <row r="364">
      <c r="A364" s="187" t="s">
        <v>1414</v>
      </c>
    </row>
    <row r="365">
      <c r="A365" s="187" t="s">
        <v>1415</v>
      </c>
    </row>
    <row r="366">
      <c r="A366" s="187" t="s">
        <v>1416</v>
      </c>
    </row>
    <row r="367">
      <c r="A367" s="187" t="s">
        <v>1417</v>
      </c>
    </row>
    <row r="368">
      <c r="A368" s="187" t="s">
        <v>1418</v>
      </c>
    </row>
    <row r="369">
      <c r="A369" s="187" t="s">
        <v>1419</v>
      </c>
    </row>
    <row r="370">
      <c r="A370" s="187" t="s">
        <v>1420</v>
      </c>
    </row>
    <row r="371">
      <c r="A371" s="187" t="s">
        <v>1421</v>
      </c>
    </row>
    <row r="372">
      <c r="A372" s="187" t="s">
        <v>1422</v>
      </c>
    </row>
    <row r="373">
      <c r="A373" s="187" t="s">
        <v>1423</v>
      </c>
    </row>
    <row r="374">
      <c r="A374" s="187" t="s">
        <v>1424</v>
      </c>
    </row>
    <row r="375">
      <c r="A375" s="187" t="s">
        <v>1425</v>
      </c>
    </row>
    <row r="376">
      <c r="A376" s="187" t="s">
        <v>1426</v>
      </c>
    </row>
    <row r="377">
      <c r="A377" s="187" t="s">
        <v>1427</v>
      </c>
    </row>
    <row r="378">
      <c r="A378" s="187" t="s">
        <v>1428</v>
      </c>
    </row>
    <row r="379">
      <c r="A379" s="187" t="s">
        <v>1429</v>
      </c>
    </row>
    <row r="380">
      <c r="A380" s="187" t="s">
        <v>1430</v>
      </c>
    </row>
    <row r="381">
      <c r="A381" s="187" t="s">
        <v>1431</v>
      </c>
    </row>
    <row r="382">
      <c r="A382" s="187" t="s">
        <v>1432</v>
      </c>
    </row>
    <row r="383">
      <c r="A383" s="187" t="s">
        <v>1433</v>
      </c>
    </row>
    <row r="384">
      <c r="A384" s="187" t="s">
        <v>1434</v>
      </c>
    </row>
    <row r="385">
      <c r="A385" s="187" t="s">
        <v>1435</v>
      </c>
    </row>
    <row r="386">
      <c r="A386" s="187" t="s">
        <v>1436</v>
      </c>
    </row>
    <row r="387">
      <c r="A387" s="187" t="s">
        <v>1437</v>
      </c>
    </row>
    <row r="388">
      <c r="A388" s="187" t="s">
        <v>1438</v>
      </c>
    </row>
    <row r="389">
      <c r="A389" s="187" t="s">
        <v>1439</v>
      </c>
    </row>
    <row r="390">
      <c r="A390" s="187" t="s">
        <v>1440</v>
      </c>
    </row>
    <row r="391">
      <c r="A391" s="187" t="s">
        <v>1441</v>
      </c>
    </row>
    <row r="392">
      <c r="A392" s="187" t="s">
        <v>1442</v>
      </c>
    </row>
    <row r="393">
      <c r="A393" s="187" t="s">
        <v>1443</v>
      </c>
    </row>
    <row r="394">
      <c r="A394" s="187" t="s">
        <v>1444</v>
      </c>
    </row>
    <row r="395">
      <c r="A395" s="187" t="s">
        <v>1445</v>
      </c>
    </row>
    <row r="396">
      <c r="A396" s="187" t="s">
        <v>1446</v>
      </c>
    </row>
    <row r="397">
      <c r="A397" s="187" t="s">
        <v>1447</v>
      </c>
    </row>
    <row r="398">
      <c r="A398" s="187" t="s">
        <v>1448</v>
      </c>
    </row>
    <row r="399">
      <c r="A399" s="187" t="s">
        <v>1449</v>
      </c>
    </row>
    <row r="400">
      <c r="A400" s="187" t="s">
        <v>1450</v>
      </c>
    </row>
    <row r="401">
      <c r="A401" s="187" t="s">
        <v>1451</v>
      </c>
    </row>
    <row r="402">
      <c r="A402" s="187" t="s">
        <v>1452</v>
      </c>
    </row>
    <row r="403">
      <c r="A403" s="187" t="s">
        <v>1453</v>
      </c>
    </row>
    <row r="404">
      <c r="A404" s="187" t="s">
        <v>1454</v>
      </c>
    </row>
    <row r="405">
      <c r="A405" s="187" t="s">
        <v>1455</v>
      </c>
    </row>
    <row r="406">
      <c r="A406" s="187" t="s">
        <v>1456</v>
      </c>
    </row>
    <row r="407">
      <c r="A407" s="187" t="s">
        <v>1457</v>
      </c>
    </row>
    <row r="408">
      <c r="A408" s="187" t="s">
        <v>1458</v>
      </c>
    </row>
    <row r="409">
      <c r="A409" s="187" t="s">
        <v>1459</v>
      </c>
    </row>
    <row r="410">
      <c r="A410" s="187" t="s">
        <v>1460</v>
      </c>
    </row>
    <row r="411">
      <c r="A411" s="187" t="s">
        <v>1461</v>
      </c>
    </row>
    <row r="412">
      <c r="A412" s="187" t="s">
        <v>1462</v>
      </c>
    </row>
    <row r="413">
      <c r="A413" s="187" t="s">
        <v>1463</v>
      </c>
    </row>
    <row r="414">
      <c r="A414" s="187" t="s">
        <v>1464</v>
      </c>
    </row>
    <row r="415">
      <c r="A415" s="187" t="s">
        <v>1465</v>
      </c>
    </row>
    <row r="416">
      <c r="A416" s="187" t="s">
        <v>1466</v>
      </c>
    </row>
    <row r="417">
      <c r="A417" s="187" t="s">
        <v>1467</v>
      </c>
    </row>
    <row r="418">
      <c r="A418" s="187" t="s">
        <v>1468</v>
      </c>
    </row>
    <row r="419">
      <c r="A419" s="187" t="s">
        <v>1469</v>
      </c>
    </row>
    <row r="420">
      <c r="A420" s="187" t="s">
        <v>1470</v>
      </c>
    </row>
    <row r="421">
      <c r="A421" s="187" t="s">
        <v>1471</v>
      </c>
    </row>
    <row r="422">
      <c r="A422" s="187" t="s">
        <v>1472</v>
      </c>
    </row>
    <row r="423">
      <c r="A423" s="187" t="s">
        <v>1473</v>
      </c>
    </row>
    <row r="424">
      <c r="A424" s="187" t="s">
        <v>1474</v>
      </c>
    </row>
    <row r="425">
      <c r="A425" s="187" t="s">
        <v>1475</v>
      </c>
    </row>
    <row r="426">
      <c r="A426" s="187" t="s">
        <v>1476</v>
      </c>
    </row>
    <row r="427">
      <c r="A427" s="187" t="s">
        <v>1477</v>
      </c>
    </row>
    <row r="428">
      <c r="A428" s="187" t="s">
        <v>1478</v>
      </c>
    </row>
    <row r="429">
      <c r="A429" s="187" t="s">
        <v>1479</v>
      </c>
    </row>
    <row r="430">
      <c r="A430" s="187" t="s">
        <v>1480</v>
      </c>
    </row>
    <row r="431">
      <c r="A431" s="187" t="s">
        <v>1481</v>
      </c>
    </row>
    <row r="432">
      <c r="A432" s="187" t="s">
        <v>1482</v>
      </c>
    </row>
    <row r="433">
      <c r="A433" s="187" t="s">
        <v>1483</v>
      </c>
    </row>
    <row r="434">
      <c r="A434" s="187" t="s">
        <v>1484</v>
      </c>
    </row>
    <row r="435">
      <c r="A435" s="187" t="s">
        <v>1485</v>
      </c>
    </row>
  </sheetData>
  <autoFilter ref="$A$1:$A$435">
    <sortState ref="A1:A435">
      <sortCondition ref="A1:A435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</hyperlinks>
  <drawing r:id="rId43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9" t="s">
        <v>1486</v>
      </c>
      <c r="B1" s="116" t="s">
        <v>1487</v>
      </c>
      <c r="C1" s="152" t="str">
        <f t="shared" ref="C1:C30" si="1">concat(A1,B1)</f>
        <v>/cruise-lines/virgin-voyages/resilient-lady/cruises</v>
      </c>
    </row>
    <row r="2">
      <c r="A2" s="50" t="s">
        <v>1488</v>
      </c>
      <c r="B2" s="116" t="s">
        <v>1487</v>
      </c>
      <c r="C2" s="152" t="str">
        <f t="shared" si="1"/>
        <v>/cruise-lines/virgin-voyages/scarlet-lady/cruises</v>
      </c>
    </row>
    <row r="3">
      <c r="A3" s="50" t="s">
        <v>1489</v>
      </c>
      <c r="B3" s="116" t="s">
        <v>1487</v>
      </c>
      <c r="C3" s="152" t="str">
        <f t="shared" si="1"/>
        <v>/cruise-lines/virgin-voyages/valiant-lady/cruises</v>
      </c>
    </row>
    <row r="4">
      <c r="A4" s="190" t="s">
        <v>1490</v>
      </c>
      <c r="B4" s="116" t="s">
        <v>1487</v>
      </c>
      <c r="C4" s="152" t="str">
        <f t="shared" si="1"/>
        <v>/cruise-lines/virgin-voyages/brilliant-lady/cruises</v>
      </c>
    </row>
    <row r="5">
      <c r="A5" s="50" t="s">
        <v>1491</v>
      </c>
      <c r="B5" s="116" t="s">
        <v>1487</v>
      </c>
      <c r="C5" s="152" t="str">
        <f t="shared" si="1"/>
        <v>/cruise-lines/seabourn/seabourn-sojourn/cruises</v>
      </c>
    </row>
    <row r="6">
      <c r="A6" s="190" t="s">
        <v>1492</v>
      </c>
      <c r="B6" s="116" t="s">
        <v>1487</v>
      </c>
      <c r="C6" s="152" t="str">
        <f t="shared" si="1"/>
        <v>/cruise-lines/seabourn/seabourn-venture/cruises</v>
      </c>
    </row>
    <row r="7">
      <c r="A7" s="50" t="s">
        <v>1493</v>
      </c>
      <c r="B7" s="116" t="s">
        <v>1487</v>
      </c>
      <c r="C7" s="152" t="str">
        <f t="shared" si="1"/>
        <v>/cruise-lines/royal-caribbean/freedom-of-the-seas/cruises</v>
      </c>
    </row>
    <row r="8">
      <c r="A8" s="50" t="s">
        <v>1494</v>
      </c>
      <c r="B8" s="116" t="s">
        <v>1487</v>
      </c>
      <c r="C8" s="152" t="str">
        <f t="shared" si="1"/>
        <v>/cruise-lines/royal-caribbean/grandeur-of-the-seas/cruises</v>
      </c>
    </row>
    <row r="9">
      <c r="A9" s="50" t="s">
        <v>1495</v>
      </c>
      <c r="B9" s="116" t="s">
        <v>1487</v>
      </c>
      <c r="C9" s="152" t="str">
        <f t="shared" si="1"/>
        <v>/cruise-lines/royal-caribbean/harmony-of-the-seas/cruises</v>
      </c>
    </row>
    <row r="10">
      <c r="A10" s="50" t="s">
        <v>1496</v>
      </c>
      <c r="B10" s="116" t="s">
        <v>1487</v>
      </c>
      <c r="C10" s="152" t="str">
        <f t="shared" si="1"/>
        <v>/cruise-lines/royal-caribbean/icon-of-the-seas/cruises</v>
      </c>
    </row>
    <row r="11">
      <c r="A11" s="50" t="s">
        <v>1497</v>
      </c>
      <c r="B11" s="116" t="s">
        <v>1487</v>
      </c>
      <c r="C11" s="152" t="str">
        <f t="shared" si="1"/>
        <v>/cruise-lines/royal-caribbean/independence-of-the-seas/cruises</v>
      </c>
    </row>
    <row r="12">
      <c r="A12" s="50" t="s">
        <v>1498</v>
      </c>
      <c r="B12" s="116" t="s">
        <v>1487</v>
      </c>
      <c r="C12" s="152" t="str">
        <f t="shared" si="1"/>
        <v>/cruise-lines/royal-caribbean/jewel-of-the-seas/cruises</v>
      </c>
    </row>
    <row r="13">
      <c r="A13" s="50" t="s">
        <v>1499</v>
      </c>
      <c r="B13" s="116" t="s">
        <v>1487</v>
      </c>
      <c r="C13" s="152" t="str">
        <f t="shared" si="1"/>
        <v>/cruise-lines/royal-caribbean/legend-of-the-seas/cruises</v>
      </c>
    </row>
    <row r="14">
      <c r="A14" s="50" t="s">
        <v>1500</v>
      </c>
      <c r="B14" s="116" t="s">
        <v>1487</v>
      </c>
      <c r="C14" s="152" t="str">
        <f t="shared" si="1"/>
        <v>/cruise-lines/royal-caribbean/liberty-of-the-seas/cruises</v>
      </c>
    </row>
    <row r="15">
      <c r="A15" s="50" t="s">
        <v>1501</v>
      </c>
      <c r="B15" s="116" t="s">
        <v>1487</v>
      </c>
      <c r="C15" s="152" t="str">
        <f t="shared" si="1"/>
        <v>/cruise-lines/royal-caribbean/mariner-of-the-seas/cruises</v>
      </c>
    </row>
    <row r="16">
      <c r="A16" s="50" t="s">
        <v>1502</v>
      </c>
      <c r="B16" s="116" t="s">
        <v>1487</v>
      </c>
      <c r="C16" s="152" t="str">
        <f t="shared" si="1"/>
        <v>/cruise-lines/royal-caribbean/navigator-of-the-seas/cruises</v>
      </c>
    </row>
    <row r="17">
      <c r="A17" s="50" t="s">
        <v>1503</v>
      </c>
      <c r="B17" s="116" t="s">
        <v>1487</v>
      </c>
      <c r="C17" s="152" t="str">
        <f t="shared" si="1"/>
        <v>/cruise-lines/royal-caribbean/oasis-of-the-seas/cruises</v>
      </c>
    </row>
    <row r="18">
      <c r="A18" s="50" t="s">
        <v>1504</v>
      </c>
      <c r="B18" s="116" t="s">
        <v>1487</v>
      </c>
      <c r="C18" s="152" t="str">
        <f t="shared" si="1"/>
        <v>/cruise-lines/royal-caribbean/odyssey-of-the-seas/cruises</v>
      </c>
    </row>
    <row r="19">
      <c r="A19" s="50" t="s">
        <v>1505</v>
      </c>
      <c r="B19" s="116" t="s">
        <v>1487</v>
      </c>
      <c r="C19" s="152" t="str">
        <f t="shared" si="1"/>
        <v>/cruise-lines/royal-caribbean/ovation-of-the-seas/cruises</v>
      </c>
    </row>
    <row r="20">
      <c r="A20" s="50" t="s">
        <v>1506</v>
      </c>
      <c r="B20" s="116" t="s">
        <v>1487</v>
      </c>
      <c r="C20" s="152" t="str">
        <f t="shared" si="1"/>
        <v>/cruise-lines/royal-caribbean/quantum-of-the-seas/cruises</v>
      </c>
    </row>
    <row r="21">
      <c r="A21" s="50" t="s">
        <v>1507</v>
      </c>
      <c r="B21" s="116" t="s">
        <v>1487</v>
      </c>
      <c r="C21" s="152" t="str">
        <f t="shared" si="1"/>
        <v>/cruise-lines/royal-caribbean/radiance-of-the-seas/cruises</v>
      </c>
    </row>
    <row r="22">
      <c r="A22" s="50" t="s">
        <v>1508</v>
      </c>
      <c r="B22" s="116" t="s">
        <v>1487</v>
      </c>
      <c r="C22" s="152" t="str">
        <f t="shared" si="1"/>
        <v>/cruise-lines/royal-caribbean/rhapsody-of-the-seas/cruises</v>
      </c>
    </row>
    <row r="23">
      <c r="A23" s="50" t="s">
        <v>1509</v>
      </c>
      <c r="B23" s="116" t="s">
        <v>1487</v>
      </c>
      <c r="C23" s="152" t="str">
        <f t="shared" si="1"/>
        <v>/cruise-lines/royal-caribbean/serenade-of-the-seas/cruises</v>
      </c>
    </row>
    <row r="24">
      <c r="A24" s="50" t="s">
        <v>1510</v>
      </c>
      <c r="B24" s="116" t="s">
        <v>1487</v>
      </c>
      <c r="C24" s="152" t="str">
        <f t="shared" si="1"/>
        <v>/cruise-lines/royal-caribbean/spectrum-of-the-seas/cruises</v>
      </c>
    </row>
    <row r="25">
      <c r="A25" s="50" t="s">
        <v>1511</v>
      </c>
      <c r="B25" s="116" t="s">
        <v>1487</v>
      </c>
      <c r="C25" s="152" t="str">
        <f t="shared" si="1"/>
        <v>/cruise-lines/royal-caribbean/star-of-the-seas/cruises</v>
      </c>
    </row>
    <row r="26">
      <c r="A26" s="50" t="s">
        <v>1512</v>
      </c>
      <c r="B26" s="116" t="s">
        <v>1487</v>
      </c>
      <c r="C26" s="152" t="str">
        <f t="shared" si="1"/>
        <v>/cruise-lines/royal-caribbean/symphony-of-the-seas/cruises</v>
      </c>
    </row>
    <row r="27">
      <c r="A27" s="50" t="s">
        <v>1513</v>
      </c>
      <c r="B27" s="116" t="s">
        <v>1487</v>
      </c>
      <c r="C27" s="152" t="str">
        <f t="shared" si="1"/>
        <v>/cruise-lines/royal-caribbean/utopia-of-the-seas/cruises</v>
      </c>
    </row>
    <row r="28">
      <c r="A28" s="50" t="s">
        <v>1514</v>
      </c>
      <c r="B28" s="116" t="s">
        <v>1487</v>
      </c>
      <c r="C28" s="152" t="str">
        <f t="shared" si="1"/>
        <v>/cruise-lines/royal-caribbean/vision-of-the-seas/cruises</v>
      </c>
    </row>
    <row r="29">
      <c r="A29" s="50" t="s">
        <v>1515</v>
      </c>
      <c r="B29" s="116" t="s">
        <v>1487</v>
      </c>
      <c r="C29" s="152" t="str">
        <f t="shared" si="1"/>
        <v>/cruise-lines/royal-caribbean/voyager-of-the-seas/cruises</v>
      </c>
    </row>
    <row r="30">
      <c r="A30" s="190" t="s">
        <v>1516</v>
      </c>
      <c r="B30" s="116" t="s">
        <v>1487</v>
      </c>
      <c r="C30" s="152" t="str">
        <f t="shared" si="1"/>
        <v>/cruise-lines/royal-caribbean/wonder-of-the-seas/cruises</v>
      </c>
    </row>
    <row r="38">
      <c r="A38" s="191" t="s">
        <v>1517</v>
      </c>
      <c r="B38" s="116" t="s">
        <v>1518</v>
      </c>
      <c r="C38" s="152" t="str">
        <f t="shared" ref="C38:C67" si="2">concat(A38,B38)</f>
        <v>Resilient Lady Cruises</v>
      </c>
    </row>
    <row r="39">
      <c r="A39" s="183" t="s">
        <v>1519</v>
      </c>
      <c r="B39" s="116" t="s">
        <v>1518</v>
      </c>
      <c r="C39" s="152" t="str">
        <f t="shared" si="2"/>
        <v>Scarlet Lady Cruises</v>
      </c>
    </row>
    <row r="40">
      <c r="A40" s="183" t="s">
        <v>1520</v>
      </c>
      <c r="B40" s="116" t="s">
        <v>1518</v>
      </c>
      <c r="C40" s="152" t="str">
        <f t="shared" si="2"/>
        <v>Valiant Lady Cruises</v>
      </c>
    </row>
    <row r="41">
      <c r="A41" s="192" t="s">
        <v>1521</v>
      </c>
      <c r="B41" s="116" t="s">
        <v>1518</v>
      </c>
      <c r="C41" s="152" t="str">
        <f t="shared" si="2"/>
        <v>Brilliant Lady Cruises</v>
      </c>
    </row>
    <row r="42">
      <c r="A42" s="183" t="s">
        <v>1522</v>
      </c>
      <c r="B42" s="116" t="s">
        <v>1518</v>
      </c>
      <c r="C42" s="152" t="str">
        <f t="shared" si="2"/>
        <v>Seabourn Sojourn Cruises</v>
      </c>
    </row>
    <row r="43">
      <c r="A43" s="192" t="s">
        <v>1523</v>
      </c>
      <c r="B43" s="116" t="s">
        <v>1518</v>
      </c>
      <c r="C43" s="152" t="str">
        <f t="shared" si="2"/>
        <v>Seabourn Venture Cruises</v>
      </c>
    </row>
    <row r="44">
      <c r="A44" s="183" t="s">
        <v>1524</v>
      </c>
      <c r="B44" s="116" t="s">
        <v>1518</v>
      </c>
      <c r="C44" s="152" t="str">
        <f t="shared" si="2"/>
        <v>Freedom Of The Seas Cruises</v>
      </c>
    </row>
    <row r="45">
      <c r="A45" s="183" t="s">
        <v>1525</v>
      </c>
      <c r="B45" s="116" t="s">
        <v>1518</v>
      </c>
      <c r="C45" s="152" t="str">
        <f t="shared" si="2"/>
        <v>Grandeur Of The Seas Cruises</v>
      </c>
    </row>
    <row r="46">
      <c r="A46" s="183" t="s">
        <v>1526</v>
      </c>
      <c r="B46" s="116" t="s">
        <v>1518</v>
      </c>
      <c r="C46" s="152" t="str">
        <f t="shared" si="2"/>
        <v>Harmony Of The Seas Cruises</v>
      </c>
    </row>
    <row r="47">
      <c r="A47" s="183" t="s">
        <v>1527</v>
      </c>
      <c r="B47" s="116" t="s">
        <v>1518</v>
      </c>
      <c r="C47" s="152" t="str">
        <f t="shared" si="2"/>
        <v>Icon Of The Seas Cruises</v>
      </c>
    </row>
    <row r="48">
      <c r="A48" s="183" t="s">
        <v>1528</v>
      </c>
      <c r="B48" s="116" t="s">
        <v>1518</v>
      </c>
      <c r="C48" s="152" t="str">
        <f t="shared" si="2"/>
        <v>Independence Of The Seas Cruises</v>
      </c>
    </row>
    <row r="49">
      <c r="A49" s="183" t="s">
        <v>1529</v>
      </c>
      <c r="B49" s="116" t="s">
        <v>1518</v>
      </c>
      <c r="C49" s="152" t="str">
        <f t="shared" si="2"/>
        <v>Jewel Of The Seas Cruises</v>
      </c>
    </row>
    <row r="50">
      <c r="A50" s="183" t="s">
        <v>1530</v>
      </c>
      <c r="B50" s="116" t="s">
        <v>1518</v>
      </c>
      <c r="C50" s="152" t="str">
        <f t="shared" si="2"/>
        <v>Legend Of The Seas Cruises</v>
      </c>
    </row>
    <row r="51">
      <c r="A51" s="183" t="s">
        <v>1531</v>
      </c>
      <c r="B51" s="116" t="s">
        <v>1518</v>
      </c>
      <c r="C51" s="152" t="str">
        <f t="shared" si="2"/>
        <v>Liberty Of The Seas Cruises</v>
      </c>
    </row>
    <row r="52">
      <c r="A52" s="183" t="s">
        <v>1532</v>
      </c>
      <c r="B52" s="116" t="s">
        <v>1518</v>
      </c>
      <c r="C52" s="152" t="str">
        <f t="shared" si="2"/>
        <v>Mariner Of The Seas Cruises</v>
      </c>
    </row>
    <row r="53">
      <c r="A53" s="183" t="s">
        <v>1533</v>
      </c>
      <c r="B53" s="116" t="s">
        <v>1518</v>
      </c>
      <c r="C53" s="152" t="str">
        <f t="shared" si="2"/>
        <v>Navigator Of The Seas Cruises</v>
      </c>
    </row>
    <row r="54">
      <c r="A54" s="183" t="s">
        <v>1534</v>
      </c>
      <c r="B54" s="116" t="s">
        <v>1518</v>
      </c>
      <c r="C54" s="152" t="str">
        <f t="shared" si="2"/>
        <v>Oasis Of The Seas Cruises</v>
      </c>
    </row>
    <row r="55">
      <c r="A55" s="183" t="s">
        <v>1535</v>
      </c>
      <c r="B55" s="116" t="s">
        <v>1518</v>
      </c>
      <c r="C55" s="152" t="str">
        <f t="shared" si="2"/>
        <v>Odyssey Of The Seas Cruises</v>
      </c>
    </row>
    <row r="56">
      <c r="A56" s="183" t="s">
        <v>1536</v>
      </c>
      <c r="B56" s="116" t="s">
        <v>1518</v>
      </c>
      <c r="C56" s="152" t="str">
        <f t="shared" si="2"/>
        <v>Ovation Of The Seas Cruises</v>
      </c>
    </row>
    <row r="57">
      <c r="A57" s="183" t="s">
        <v>1537</v>
      </c>
      <c r="B57" s="116" t="s">
        <v>1518</v>
      </c>
      <c r="C57" s="152" t="str">
        <f t="shared" si="2"/>
        <v>Quantum Of The Seas Cruises</v>
      </c>
    </row>
    <row r="58">
      <c r="A58" s="183" t="s">
        <v>1538</v>
      </c>
      <c r="B58" s="116" t="s">
        <v>1518</v>
      </c>
      <c r="C58" s="152" t="str">
        <f t="shared" si="2"/>
        <v>Radiance Of The Seas Cruises</v>
      </c>
    </row>
    <row r="59">
      <c r="A59" s="183" t="s">
        <v>1539</v>
      </c>
      <c r="B59" s="116" t="s">
        <v>1518</v>
      </c>
      <c r="C59" s="152" t="str">
        <f t="shared" si="2"/>
        <v>Rhapsody Of The Seas Cruises</v>
      </c>
    </row>
    <row r="60">
      <c r="A60" s="183" t="s">
        <v>1540</v>
      </c>
      <c r="B60" s="116" t="s">
        <v>1518</v>
      </c>
      <c r="C60" s="152" t="str">
        <f t="shared" si="2"/>
        <v>Serenade Of The Seas Cruises</v>
      </c>
    </row>
    <row r="61">
      <c r="A61" s="183" t="s">
        <v>1541</v>
      </c>
      <c r="B61" s="116" t="s">
        <v>1518</v>
      </c>
      <c r="C61" s="152" t="str">
        <f t="shared" si="2"/>
        <v>Spectrum Of The Seas Cruises</v>
      </c>
    </row>
    <row r="62">
      <c r="A62" s="183" t="s">
        <v>1542</v>
      </c>
      <c r="B62" s="116" t="s">
        <v>1518</v>
      </c>
      <c r="C62" s="152" t="str">
        <f t="shared" si="2"/>
        <v>Star Of The Seas Cruises</v>
      </c>
    </row>
    <row r="63">
      <c r="A63" s="183" t="s">
        <v>1543</v>
      </c>
      <c r="B63" s="116" t="s">
        <v>1518</v>
      </c>
      <c r="C63" s="152" t="str">
        <f t="shared" si="2"/>
        <v>Symphony Of The Seas Cruises</v>
      </c>
    </row>
    <row r="64">
      <c r="A64" s="183" t="s">
        <v>1544</v>
      </c>
      <c r="B64" s="116" t="s">
        <v>1518</v>
      </c>
      <c r="C64" s="152" t="str">
        <f t="shared" si="2"/>
        <v>Utopia Of The Seas Cruises</v>
      </c>
    </row>
    <row r="65">
      <c r="A65" s="183" t="s">
        <v>1545</v>
      </c>
      <c r="B65" s="116" t="s">
        <v>1518</v>
      </c>
      <c r="C65" s="152" t="str">
        <f t="shared" si="2"/>
        <v>Vision Of The Seas Cruises</v>
      </c>
    </row>
    <row r="66">
      <c r="A66" s="183" t="s">
        <v>1546</v>
      </c>
      <c r="B66" s="116" t="s">
        <v>1518</v>
      </c>
      <c r="C66" s="152" t="str">
        <f t="shared" si="2"/>
        <v>Voyager Of The Seas Cruises</v>
      </c>
    </row>
    <row r="67">
      <c r="A67" s="192" t="s">
        <v>1547</v>
      </c>
      <c r="B67" s="116" t="s">
        <v>1518</v>
      </c>
      <c r="C67" s="152" t="str">
        <f t="shared" si="2"/>
        <v>Wonder Of The Seas Cruises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88"/>
  </cols>
  <sheetData>
    <row r="1">
      <c r="A1" s="80" t="s">
        <v>1548</v>
      </c>
    </row>
    <row r="2">
      <c r="A2" s="152" t="s">
        <v>1486</v>
      </c>
      <c r="B2" s="152" t="str">
        <f>IFERROR(__xludf.DUMMYFUNCTION("REGEXREPLACE(A2, ""/cruise-lines/virgin-voyages/"", """")"),"resilient-lady")</f>
        <v>resilient-lady</v>
      </c>
      <c r="C2" s="152" t="s">
        <v>1549</v>
      </c>
      <c r="D2" s="152" t="str">
        <f>IFERROR(__xludf.DUMMYFUNCTION("REGEXREPLACE(C2, ""-"", "" "")"),"resilient lady")</f>
        <v>resilient lady</v>
      </c>
      <c r="E2" s="152" t="str">
        <f t="shared" ref="E2:E17" si="1">PROPER(D2)</f>
        <v>Resilient Lady</v>
      </c>
    </row>
    <row r="3">
      <c r="A3" s="152" t="s">
        <v>1488</v>
      </c>
      <c r="B3" s="152" t="str">
        <f>IFERROR(__xludf.DUMMYFUNCTION("REGEXREPLACE(A3, ""/cruise-lines/virgin-voyages/"", """")"),"scarlet-lady")</f>
        <v>scarlet-lady</v>
      </c>
      <c r="C3" s="152" t="s">
        <v>1550</v>
      </c>
      <c r="D3" s="152" t="str">
        <f>IFERROR(__xludf.DUMMYFUNCTION("REGEXREPLACE(C3, ""-"", "" "")"),"scarlet lady")</f>
        <v>scarlet lady</v>
      </c>
      <c r="E3" s="152" t="str">
        <f t="shared" si="1"/>
        <v>Scarlet Lady</v>
      </c>
    </row>
    <row r="4">
      <c r="A4" s="152" t="s">
        <v>1489</v>
      </c>
      <c r="B4" s="152" t="str">
        <f>IFERROR(__xludf.DUMMYFUNCTION("REGEXREPLACE(A4, ""/cruise-lines/virgin-voyages/"", """")"),"valiant-lady")</f>
        <v>valiant-lady</v>
      </c>
      <c r="C4" s="152" t="s">
        <v>1551</v>
      </c>
      <c r="D4" s="152" t="str">
        <f>IFERROR(__xludf.DUMMYFUNCTION("REGEXREPLACE(C4, ""-"", "" "")"),"valiant lady")</f>
        <v>valiant lady</v>
      </c>
      <c r="E4" s="152" t="str">
        <f t="shared" si="1"/>
        <v>Valiant Lady</v>
      </c>
    </row>
    <row r="5">
      <c r="A5" s="152" t="s">
        <v>1490</v>
      </c>
      <c r="B5" s="152" t="str">
        <f>IFERROR(__xludf.DUMMYFUNCTION("REGEXREPLACE(A5, ""/cruise-lines/virgin-voyages/"", """")"),"brilliant-lady")</f>
        <v>brilliant-lady</v>
      </c>
      <c r="C5" s="152" t="s">
        <v>1552</v>
      </c>
      <c r="D5" s="152" t="str">
        <f>IFERROR(__xludf.DUMMYFUNCTION("REGEXREPLACE(C5, ""-"", "" "")"),"brilliant lady")</f>
        <v>brilliant lady</v>
      </c>
      <c r="E5" s="152" t="str">
        <f t="shared" si="1"/>
        <v>Brilliant Lady</v>
      </c>
    </row>
    <row r="6">
      <c r="B6" s="152" t="str">
        <f>IFERROR(__xludf.DUMMYFUNCTION("REGEXREPLACE(A6, ""/cruise-lines/royal-caribbean/"", """")"),"")</f>
        <v/>
      </c>
      <c r="C6" s="152" t="s">
        <v>1553</v>
      </c>
      <c r="D6" s="152" t="str">
        <f>IFERROR(__xludf.DUMMYFUNCTION("REGEXREPLACE(C6, ""-"", "" "")"),"ovation of the seas")</f>
        <v>ovation of the seas</v>
      </c>
      <c r="E6" s="152" t="str">
        <f t="shared" si="1"/>
        <v>Ovation Of The Seas</v>
      </c>
    </row>
    <row r="7">
      <c r="B7" s="152" t="str">
        <f>IFERROR(__xludf.DUMMYFUNCTION("REGEXREPLACE(A7, ""/cruise-lines/royal-caribbean/"", """")"),"")</f>
        <v/>
      </c>
      <c r="C7" s="152" t="s">
        <v>1554</v>
      </c>
      <c r="D7" s="152" t="str">
        <f>IFERROR(__xludf.DUMMYFUNCTION("REGEXREPLACE(C7, ""-"", "" "")"),"quantum of the seas")</f>
        <v>quantum of the seas</v>
      </c>
      <c r="E7" s="152" t="str">
        <f t="shared" si="1"/>
        <v>Quantum Of The Seas</v>
      </c>
    </row>
    <row r="8">
      <c r="B8" s="152" t="str">
        <f>IFERROR(__xludf.DUMMYFUNCTION("REGEXREPLACE(A8, ""/cruise-lines/royal-caribbean/"", """")"),"")</f>
        <v/>
      </c>
      <c r="C8" s="152" t="s">
        <v>1555</v>
      </c>
      <c r="D8" s="152" t="str">
        <f>IFERROR(__xludf.DUMMYFUNCTION("REGEXREPLACE(C8, ""-"", "" "")"),"radiance of the seas")</f>
        <v>radiance of the seas</v>
      </c>
      <c r="E8" s="152" t="str">
        <f t="shared" si="1"/>
        <v>Radiance Of The Seas</v>
      </c>
    </row>
    <row r="9">
      <c r="B9" s="152" t="str">
        <f>IFERROR(__xludf.DUMMYFUNCTION("REGEXREPLACE(A9, ""/cruise-lines/royal-caribbean/"", """")"),"")</f>
        <v/>
      </c>
      <c r="C9" s="152" t="s">
        <v>1556</v>
      </c>
      <c r="D9" s="152" t="str">
        <f>IFERROR(__xludf.DUMMYFUNCTION("REGEXREPLACE(C9, ""-"", "" "")"),"rhapsody of the seas")</f>
        <v>rhapsody of the seas</v>
      </c>
      <c r="E9" s="152" t="str">
        <f t="shared" si="1"/>
        <v>Rhapsody Of The Seas</v>
      </c>
    </row>
    <row r="10">
      <c r="B10" s="152" t="str">
        <f>IFERROR(__xludf.DUMMYFUNCTION("REGEXREPLACE(A10, ""/cruise-lines/royal-caribbean/"", """")"),"")</f>
        <v/>
      </c>
      <c r="C10" s="152" t="s">
        <v>1557</v>
      </c>
      <c r="D10" s="152" t="str">
        <f>IFERROR(__xludf.DUMMYFUNCTION("REGEXREPLACE(C10, ""-"", "" "")"),"serenade of the seas")</f>
        <v>serenade of the seas</v>
      </c>
      <c r="E10" s="152" t="str">
        <f t="shared" si="1"/>
        <v>Serenade Of The Seas</v>
      </c>
    </row>
    <row r="11">
      <c r="B11" s="152" t="str">
        <f>IFERROR(__xludf.DUMMYFUNCTION("REGEXREPLACE(A11, ""/cruise-lines/royal-caribbean/"", """")"),"")</f>
        <v/>
      </c>
      <c r="C11" s="152" t="s">
        <v>1558</v>
      </c>
      <c r="D11" s="152" t="str">
        <f>IFERROR(__xludf.DUMMYFUNCTION("REGEXREPLACE(C11, ""-"", "" "")"),"spectrum of the seas")</f>
        <v>spectrum of the seas</v>
      </c>
      <c r="E11" s="152" t="str">
        <f t="shared" si="1"/>
        <v>Spectrum Of The Seas</v>
      </c>
    </row>
    <row r="12">
      <c r="B12" s="152" t="str">
        <f>IFERROR(__xludf.DUMMYFUNCTION("REGEXREPLACE(A12, ""/cruise-lines/royal-caribbean/"", """")"),"")</f>
        <v/>
      </c>
      <c r="C12" s="152" t="s">
        <v>1559</v>
      </c>
      <c r="D12" s="152" t="str">
        <f>IFERROR(__xludf.DUMMYFUNCTION("REGEXREPLACE(C12, ""-"", "" "")"),"star of the seas")</f>
        <v>star of the seas</v>
      </c>
      <c r="E12" s="152" t="str">
        <f t="shared" si="1"/>
        <v>Star Of The Seas</v>
      </c>
    </row>
    <row r="13">
      <c r="B13" s="152" t="str">
        <f>IFERROR(__xludf.DUMMYFUNCTION("REGEXREPLACE(A13, ""/cruise-lines/royal-caribbean/"", """")"),"")</f>
        <v/>
      </c>
      <c r="C13" s="152" t="s">
        <v>1560</v>
      </c>
      <c r="D13" s="152" t="str">
        <f>IFERROR(__xludf.DUMMYFUNCTION("REGEXREPLACE(C13, ""-"", "" "")"),"symphony of the seas")</f>
        <v>symphony of the seas</v>
      </c>
      <c r="E13" s="152" t="str">
        <f t="shared" si="1"/>
        <v>Symphony Of The Seas</v>
      </c>
    </row>
    <row r="14">
      <c r="B14" s="152" t="str">
        <f>IFERROR(__xludf.DUMMYFUNCTION("REGEXREPLACE(A14, ""/cruise-lines/royal-caribbean/"", """")"),"")</f>
        <v/>
      </c>
      <c r="C14" s="152" t="s">
        <v>1561</v>
      </c>
      <c r="D14" s="152" t="str">
        <f>IFERROR(__xludf.DUMMYFUNCTION("REGEXREPLACE(C14, ""-"", "" "")"),"utopia of the seas")</f>
        <v>utopia of the seas</v>
      </c>
      <c r="E14" s="152" t="str">
        <f t="shared" si="1"/>
        <v>Utopia Of The Seas</v>
      </c>
    </row>
    <row r="15">
      <c r="B15" s="152" t="str">
        <f>IFERROR(__xludf.DUMMYFUNCTION("REGEXREPLACE(A15, ""/cruise-lines/royal-caribbean/"", """")"),"")</f>
        <v/>
      </c>
      <c r="C15" s="152" t="s">
        <v>1562</v>
      </c>
      <c r="D15" s="152" t="str">
        <f>IFERROR(__xludf.DUMMYFUNCTION("REGEXREPLACE(C15, ""-"", "" "")"),"vision of the seas")</f>
        <v>vision of the seas</v>
      </c>
      <c r="E15" s="152" t="str">
        <f t="shared" si="1"/>
        <v>Vision Of The Seas</v>
      </c>
    </row>
    <row r="16">
      <c r="B16" s="152" t="str">
        <f>IFERROR(__xludf.DUMMYFUNCTION("REGEXREPLACE(A16, ""/cruise-lines/royal-caribbean/"", """")"),"")</f>
        <v/>
      </c>
      <c r="C16" s="152" t="s">
        <v>1563</v>
      </c>
      <c r="D16" s="152" t="str">
        <f>IFERROR(__xludf.DUMMYFUNCTION("REGEXREPLACE(C16, ""-"", "" "")"),"voyager of the seas")</f>
        <v>voyager of the seas</v>
      </c>
      <c r="E16" s="152" t="str">
        <f t="shared" si="1"/>
        <v>Voyager Of The Seas</v>
      </c>
    </row>
    <row r="17">
      <c r="B17" s="152" t="str">
        <f>IFERROR(__xludf.DUMMYFUNCTION("REGEXREPLACE(A17, ""/cruise-lines/royal-caribbean/"", """")"),"")</f>
        <v/>
      </c>
      <c r="C17" s="152" t="s">
        <v>1564</v>
      </c>
      <c r="D17" s="152" t="str">
        <f>IFERROR(__xludf.DUMMYFUNCTION("REGEXREPLACE(C17, ""-"", "" "")"),"wonder of the seas")</f>
        <v>wonder of the seas</v>
      </c>
      <c r="E17" s="152" t="str">
        <f t="shared" si="1"/>
        <v>Wonder Of The Seas</v>
      </c>
    </row>
  </sheetData>
  <autoFilter ref="$A$1:$A$17">
    <sortState ref="A1:A17">
      <sortCondition ref="A1:A17"/>
    </sortState>
  </autoFilter>
  <drawing r:id="rId1"/>
</worksheet>
</file>