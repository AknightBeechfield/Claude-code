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(Homepage Nav)" sheetId="1" r:id="rId5"/>
    <sheet state="visible" name="Featured" sheetId="2" r:id="rId6"/>
    <sheet state="visible" name="Type" sheetId="3" r:id="rId7"/>
    <sheet state="visible" name="Purpose" sheetId="4" r:id="rId8"/>
    <sheet state="visible" name="Colour" sheetId="5" r:id="rId9"/>
    <sheet state="visible" name="Decoration" sheetId="6" r:id="rId10"/>
    <sheet state="visible" name="LookbooksCollections" sheetId="7" r:id="rId11"/>
    <sheet state="visible" name="Decorator Academy" sheetId="8" r:id="rId12"/>
    <sheet state="visible" name="Resource Hub" sheetId="9" r:id="rId13"/>
    <sheet state="visible" name="About Us" sheetId="10" r:id="rId14"/>
    <sheet state="visible" name="Where to Buy" sheetId="11" r:id="rId15"/>
    <sheet state="visible" name="Footer" sheetId="12" r:id="rId16"/>
    <sheet state="hidden" name="Sheet3" sheetId="13" r:id="rId17"/>
    <sheet state="hidden" name="Copy of extracted_urls" sheetId="14" r:id="rId18"/>
    <sheet state="hidden" name="Sheet6" sheetId="15" r:id="rId19"/>
    <sheet state="hidden" name="Sheet4" sheetId="16" r:id="rId20"/>
  </sheets>
  <definedNames>
    <definedName hidden="1" localSheetId="3" name="_xlnm._FilterDatabase">Purpose!$B$23:$B$46</definedName>
    <definedName hidden="1" localSheetId="12" name="_xlnm._FilterDatabase">Sheet3!$A$1:$C$427</definedName>
    <definedName hidden="1" localSheetId="13" name="_xlnm._FilterDatabase">'Copy of extracted_urls'!$A$1:$A$435</definedName>
    <definedName hidden="1" localSheetId="15" name="_xlnm._FilterDatabase">Sheet4!$A$1:$A$17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tc={1799db1b-3783-4dcf-8a17-c1dab1947d2d}</author>
    <author>tc={20d89680-bb28-48a4-a803-f0e8baabe253}</author>
    <author>tc={254b60a7-b744-4084-8e63-fa06ef7d6b45}</author>
    <author>tc={4e5328e5-7a33-410c-a98a-aa5aed84d20e}</author>
    <author>tc={5b2cd3b3-d2c4-43a5-a3de-89acfa4cda2d}</author>
    <author>tc={63b2babf-5be8-4b4b-9bb9-4b66c4a9d70e}</author>
    <author>tc={67f5fefc-a1c9-431f-845c-bb9242b18c0b}</author>
    <author>tc={b6589e03-13b4-4ab5-9750-e9ce82ee0552}</author>
    <author>tc={c5d10179-4113-4ada-8147-32f82fd35c6f}</author>
    <author>tc={d5120eca-5437-49da-a0da-ff81531e1e13}</author>
    <author>tc={e3711531-3dd3-4a1c-8357-b837c39a299b}</author>
    <author>tc={ead2d036-a011-468a-bf35-3edf59c7d6e6}</author>
  </authors>
  <commentList>
    <comment authorId="0" xr:uid="{1799db1b-3783-4dcf-8a17-c1dab1947d2d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Non-Clickable.
</t>
      </text>
    </comment>
    <comment authorId="1" xr:uid="{20d89680-bb28-48a4-a803-f0e8baabe253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Non-Clickable.
</t>
      </text>
    </comment>
    <comment authorId="2" xr:uid="{254b60a7-b744-4084-8e63-fa06ef7d6b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Turn into Watch Page using YT videos.
</t>
      </text>
    </comment>
    <comment authorId="3" xr:uid="{4e5328e5-7a33-410c-a98a-aa5aed84d2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these relevant for Distributors as well as Decorators? Or just one of them?
</t>
      </text>
    </comment>
    <comment authorId="4" xr:uid="{5b2cd3b3-d2c4-43a5-a3de-89acfa4cda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would this actually appear on the page? lol
</t>
      </text>
    </comment>
    <comment authorId="5" xr:uid="{63b2babf-5be8-4b4b-9bb9-4b66c4a9d70e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link to Beechfield Brands.
</t>
      </text>
    </comment>
    <comment authorId="6" xr:uid="{67f5fefc-a1c9-431f-845c-bb9242b18c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Watch page using all the YT videos. Inspiration on how to decorate.
</t>
      </text>
    </comment>
    <comment authorId="7" xr:uid="{b6589e03-13b4-4ab5-9750-e9ce82ee05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SV for this page
Reply:
	Study
</t>
      </text>
    </comment>
    <comment authorId="8" xr:uid="{c5d10179-4113-4ada-8147-32f82fd35c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Non-Clickable.
</t>
      </text>
    </comment>
    <comment authorId="9" xr:uid="{d5120eca-5437-49da-a0da-ff81531e1e13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Split journey - Decorator/Distributor
</t>
      </text>
    </comment>
    <comment authorId="10" xr:uid="{e3711531-3dd3-4a1c-8357-b837c39a29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Watch page using all the YT videos. Inspiration on how to decorate.
</t>
      </text>
    </comment>
    <comment authorId="11" xr:uid="{ead2d036-a011-468a-bf35-3edf59c7d6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here.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tc={5d900ab9-cb2b-4360-8ded-59897db762ec}</author>
  </authors>
  <commentList>
    <comment authorId="0" xr:uid="{5d900ab9-cb2b-4360-8ded-59897db762ec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add an item for "Mini backpack" too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tc={16aa1bcf-0fd6-4fd1-9c12-52f911333473}</author>
    <author>tc={fbb03998-013d-44fa-8ff8-ba0b8052deb4}</author>
  </authors>
  <commentList>
    <comment authorId="0" xr:uid="{16aa1bcf-0fd6-4fd1-9c12-52f911333473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to Media Hub with copy explaining you can find Placement Templates, Campaign Assets, Product Assets, Printability Notes here.
</t>
      </text>
    </comment>
    <comment authorId="1" xr:uid="{fbb03998-013d-44fa-8ff8-ba0b8052deb4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Watch page using all the YT videos. Inspiration on how to decorate.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tc={310fa07d-6562-44a3-9033-8c3e1d745d28}</author>
  </authors>
  <commentList>
    <comment authorId="0" xr:uid="{310fa07d-6562-44a3-9033-8c3e1d745d28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these relevant for Distributors as well as Decorators? Or just one of them?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tc={f36ca5fd-8c08-4347-b6d4-5af77143f577}</author>
  </authors>
  <commentList>
    <comment authorId="0" xr:uid="{f36ca5fd-8c08-4347-b6d4-5af77143f577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information on 1% of the planet
</t>
      </text>
    </comment>
  </commentList>
</comments>
</file>

<file path=xl/sharedStrings.xml><?xml version="1.0" encoding="utf-8"?>
<sst xmlns="http://schemas.openxmlformats.org/spreadsheetml/2006/main" count="2047" uniqueCount="1668">
  <si>
    <t>Product Ranges</t>
  </si>
  <si>
    <t>Collections</t>
  </si>
  <si>
    <t>Lookbooks</t>
  </si>
  <si>
    <t>Decorator Academy</t>
  </si>
  <si>
    <t>Resources</t>
  </si>
  <si>
    <t>About Us</t>
  </si>
  <si>
    <t>Where to Buy</t>
  </si>
  <si>
    <t>My Account</t>
  </si>
  <si>
    <r>
      <rPr>
        <rFont val="DM Sans"/>
        <b/>
        <color theme="1"/>
      </rPr>
      <t xml:space="preserve">Featured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</si>
  <si>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Type </t>
    </r>
    <r>
      <rPr>
        <rFont val="DM Sans"/>
        <b val="0"/>
        <color theme="1"/>
      </rPr>
      <t>- non-clickable</t>
    </r>
  </si>
  <si>
    <r>
      <rPr>
        <rFont val="DM Sans"/>
        <b/>
        <color rgb="FF000000"/>
      </rPr>
      <t xml:space="preserve">Purpose </t>
    </r>
    <r>
      <rPr>
        <rFont val="DM Sans"/>
        <b val="0"/>
        <color rgb="FF000000"/>
      </rPr>
      <t>- non-clickable</t>
    </r>
  </si>
  <si>
    <r>
      <rPr>
        <rFont val="DM Sans"/>
        <b/>
        <color rgb="FF000000"/>
      </rPr>
      <t xml:space="preserve">Colour </t>
    </r>
    <r>
      <rPr>
        <rFont val="DM Sans"/>
        <b val="0"/>
        <color rgb="FF000000"/>
      </rPr>
      <t>- non-clickable</t>
    </r>
  </si>
  <si>
    <r>
      <rPr>
        <rFont val="DM Sans"/>
        <b/>
        <color theme="1"/>
      </rPr>
      <t xml:space="preserve">Decoration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</si>
  <si>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Collections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</si>
  <si>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Lookbooks - </t>
    </r>
    <r>
      <rPr>
        <rFont val="DM Sans"/>
        <b val="0"/>
        <color theme="1"/>
      </rPr>
      <t>/lookbooks</t>
    </r>
  </si>
  <si>
    <r>
      <rPr>
        <rFont val="DM Sans"/>
        <b/>
        <color theme="1"/>
      </rPr>
      <t xml:space="preserve">Decorator Academy </t>
    </r>
    <r>
      <rPr>
        <rFont val="DM Sans"/>
        <b val="0"/>
        <color theme="1"/>
      </rPr>
      <t>- /decorator-academy</t>
    </r>
  </si>
  <si>
    <r>
      <rPr>
        <rFont val="DM Sans"/>
        <b/>
        <color theme="1"/>
      </rPr>
      <t xml:space="preserve">Resources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</si>
  <si>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About Us </t>
    </r>
    <r>
      <rPr>
        <rFont val="DM Sans"/>
        <b val="0"/>
        <color theme="1"/>
      </rPr>
      <t>- /about-us</t>
    </r>
  </si>
  <si>
    <r>
      <rPr>
        <rFont val="DM Sans"/>
        <b/>
        <color theme="1"/>
      </rPr>
      <t>Where to Buy</t>
    </r>
    <r>
      <rPr>
        <rFont val="DM Sans"/>
        <b val="0"/>
        <color theme="1"/>
      </rPr>
      <t xml:space="preserve"> - non-clickable</t>
    </r>
  </si>
  <si>
    <t>New In</t>
  </si>
  <si>
    <t>Backpacks</t>
  </si>
  <si>
    <t>Work &amp; Commute</t>
  </si>
  <si>
    <t>Black</t>
  </si>
  <si>
    <t>Embroidery</t>
  </si>
  <si>
    <t>Sundae</t>
  </si>
  <si>
    <t>AW25</t>
  </si>
  <si>
    <t>Designed for Decoration</t>
  </si>
  <si>
    <t xml:space="preserve">Brochure </t>
  </si>
  <si>
    <t>Our Values</t>
  </si>
  <si>
    <t>How to Buy</t>
  </si>
  <si>
    <t>Best Sellers</t>
  </si>
  <si>
    <t>Holdalls &amp; Duffels</t>
  </si>
  <si>
    <t>Gifting</t>
  </si>
  <si>
    <t>Navy</t>
  </si>
  <si>
    <t>Patches</t>
  </si>
  <si>
    <t>Recycled</t>
  </si>
  <si>
    <t>SS26</t>
  </si>
  <si>
    <t>Logo Placement Tool</t>
  </si>
  <si>
    <t>Media Hub</t>
  </si>
  <si>
    <t>Sustainability</t>
  </si>
  <si>
    <t>Find a Distributor</t>
  </si>
  <si>
    <t xml:space="preserve">Trending Now </t>
  </si>
  <si>
    <t>Tote Bags &amp; Shoppers</t>
  </si>
  <si>
    <t>Kids &amp; School</t>
  </si>
  <si>
    <t>Red</t>
  </si>
  <si>
    <t>Transfer</t>
  </si>
  <si>
    <t>Simplicity</t>
  </si>
  <si>
    <t>Creator Spotlight</t>
  </si>
  <si>
    <t>Campaign Assets</t>
  </si>
  <si>
    <t>Inventory Finder</t>
  </si>
  <si>
    <t>Recommended</t>
  </si>
  <si>
    <t>Cross Body Bags</t>
  </si>
  <si>
    <t>Outdoors &amp; Adventure</t>
  </si>
  <si>
    <t>White</t>
  </si>
  <si>
    <t>Screen Print</t>
  </si>
  <si>
    <t>Training</t>
  </si>
  <si>
    <t>How to Videos</t>
  </si>
  <si>
    <t>Product Assets</t>
  </si>
  <si>
    <t xml:space="preserve">Eco Essentials </t>
  </si>
  <si>
    <t>Messenger &amp; Laptop Bags</t>
  </si>
  <si>
    <t>Promo &amp; Events</t>
  </si>
  <si>
    <t>Green</t>
  </si>
  <si>
    <t>DTG</t>
  </si>
  <si>
    <t>Matte PU</t>
  </si>
  <si>
    <t>Tools</t>
  </si>
  <si>
    <t>BagBase Blog</t>
  </si>
  <si>
    <t>All Products</t>
  </si>
  <si>
    <t>Gymsacs</t>
  </si>
  <si>
    <t>Sport &amp; Team</t>
  </si>
  <si>
    <t>Blue</t>
  </si>
  <si>
    <t>Sublimation</t>
  </si>
  <si>
    <t>Velvet</t>
  </si>
  <si>
    <t>Join the Community</t>
  </si>
  <si>
    <t>FAQs</t>
  </si>
  <si>
    <t>Travel &amp; Luggage</t>
  </si>
  <si>
    <t>Travel</t>
  </si>
  <si>
    <t>Pink</t>
  </si>
  <si>
    <t>Deboss/Foil Laser</t>
  </si>
  <si>
    <t>Boutique</t>
  </si>
  <si>
    <t>Contact Us</t>
  </si>
  <si>
    <t>Accessories</t>
  </si>
  <si>
    <t>Orange</t>
  </si>
  <si>
    <t>Premium Recycled</t>
  </si>
  <si>
    <t>Yellow</t>
  </si>
  <si>
    <t>Brown</t>
  </si>
  <si>
    <t>Grey</t>
  </si>
  <si>
    <t>Purple</t>
  </si>
  <si>
    <t>Pattern</t>
  </si>
  <si>
    <t>Neutral</t>
  </si>
  <si>
    <t>Footer</t>
  </si>
  <si>
    <t>More</t>
  </si>
  <si>
    <t>Legal</t>
  </si>
  <si>
    <t>Terms &amp; Conditions</t>
  </si>
  <si>
    <t>Modern Slavery Statement</t>
  </si>
  <si>
    <t>Privacy Statement</t>
  </si>
  <si>
    <t>Become a Distributor</t>
  </si>
  <si>
    <t>Featured</t>
  </si>
  <si>
    <t>Parent</t>
  </si>
  <si>
    <t>Anchor Text</t>
  </si>
  <si>
    <t>Proposed URL</t>
  </si>
  <si>
    <t>Top Keyword</t>
  </si>
  <si>
    <t>SV</t>
  </si>
  <si>
    <t>/new-products</t>
  </si>
  <si>
    <t>-</t>
  </si>
  <si>
    <t>/best-sellers</t>
  </si>
  <si>
    <t>/trending-now</t>
  </si>
  <si>
    <t>/recommended</t>
  </si>
  <si>
    <t>/eco-essentials</t>
  </si>
  <si>
    <t>/all-products</t>
  </si>
  <si>
    <t xml:space="preserve"> Type</t>
  </si>
  <si>
    <t>Subcategories</t>
  </si>
  <si>
    <t>/backpacks</t>
  </si>
  <si>
    <t>wholesale backpacks</t>
  </si>
  <si>
    <t>Roll Top Backpacks</t>
  </si>
  <si>
    <t>/backpacks/roll-top/</t>
  </si>
  <si>
    <t>roll top backpack wholesale</t>
  </si>
  <si>
    <t>0-10</t>
  </si>
  <si>
    <t>Laptop Backpacks</t>
  </si>
  <si>
    <t>/backpacks/laptop/</t>
  </si>
  <si>
    <t>wholesale laptop backpacks</t>
  </si>
  <si>
    <t>Kids Backpacks</t>
  </si>
  <si>
    <t>/backpacks/mini-kids/</t>
  </si>
  <si>
    <t>wholesale kids backpacks</t>
  </si>
  <si>
    <t>/holdalls-duffels/</t>
  </si>
  <si>
    <t>wholesale holdalls</t>
  </si>
  <si>
    <t>Weekend Bags</t>
  </si>
  <si>
    <t>/holdalls-duffels/weekend</t>
  </si>
  <si>
    <t>wholesale weekend bags</t>
  </si>
  <si>
    <t>Gym Holdalls</t>
  </si>
  <si>
    <t>/holdalls-duffels/gym-holdalls/</t>
  </si>
  <si>
    <t>blank gym bag</t>
  </si>
  <si>
    <t>/tote-bags-shoppers/</t>
  </si>
  <si>
    <t>Tote Bags</t>
  </si>
  <si>
    <t>/tote-bags-shoppers/totes</t>
  </si>
  <si>
    <t>blank tote bags</t>
  </si>
  <si>
    <t>Shopper Bags</t>
  </si>
  <si>
    <t>/tote-bags-shoppers/shoppers</t>
  </si>
  <si>
    <t>shopper bag wholesale</t>
  </si>
  <si>
    <t>/cross-body-bags</t>
  </si>
  <si>
    <t>blank cross body bag</t>
  </si>
  <si>
    <t>/messenger-laptop-bags/</t>
  </si>
  <si>
    <t>wholesale laptop bags</t>
  </si>
  <si>
    <t>Laptop Cases &amp; Sleeves</t>
  </si>
  <si>
    <t xml:space="preserve">/messenger-laptop-bags/cases-sleeves/ </t>
  </si>
  <si>
    <t>wholesale laptop case</t>
  </si>
  <si>
    <t>/gymsacs</t>
  </si>
  <si>
    <t>drawstring bag wholesale</t>
  </si>
  <si>
    <t>/travel-luggage/</t>
  </si>
  <si>
    <t>luggage bags wholesale</t>
  </si>
  <si>
    <t>Wheelie Bags</t>
  </si>
  <si>
    <t>/travel-luggage/wheelie-bags/</t>
  </si>
  <si>
    <t>custom wheeled duffel bags</t>
  </si>
  <si>
    <t>Packing Cubes</t>
  </si>
  <si>
    <t>/travel-luggage/packing-cubes/</t>
  </si>
  <si>
    <t>wholesale packing cubes</t>
  </si>
  <si>
    <t>Cooler Bags</t>
  </si>
  <si>
    <t>/travel-luggage/cooler-bags/</t>
  </si>
  <si>
    <t>wholesale cooler bags</t>
  </si>
  <si>
    <t>/accessories</t>
  </si>
  <si>
    <t>bag accessories wholesale</t>
  </si>
  <si>
    <t>Pouches &amp; Cases</t>
  </si>
  <si>
    <t>/accessories/pouches-cases/</t>
  </si>
  <si>
    <t>pouch bag wholesale</t>
  </si>
  <si>
    <t>Wallets &amp; Card Holders</t>
  </si>
  <si>
    <t>/accessories/wallets-card-holders/</t>
  </si>
  <si>
    <t>wholesale wallets</t>
  </si>
  <si>
    <t>Keyrings &amp; Clips</t>
  </si>
  <si>
    <t>/accessories/keyrings-clips/</t>
  </si>
  <si>
    <t>blank keyrings</t>
  </si>
  <si>
    <t>Gift Bags</t>
  </si>
  <si>
    <t>/accessories/gift-bags/</t>
  </si>
  <si>
    <t>gift bags wholesale</t>
  </si>
  <si>
    <t>/accessories/patches/</t>
  </si>
  <si>
    <t>wholesale patches</t>
  </si>
  <si>
    <t>Organisers</t>
  </si>
  <si>
    <t xml:space="preserve">/accessories/organisers/ </t>
  </si>
  <si>
    <t>custom organiser</t>
  </si>
  <si>
    <t>Shoe Bags</t>
  </si>
  <si>
    <t xml:space="preserve">/accessories/shoe-bags/ </t>
  </si>
  <si>
    <t>wholesale shoe bags</t>
  </si>
  <si>
    <t>Pencil Cases</t>
  </si>
  <si>
    <t>/accessories/pencil-cases/</t>
  </si>
  <si>
    <t>wholesale pencil cases</t>
  </si>
  <si>
    <t>Purpose</t>
  </si>
  <si>
    <t>/work-commute</t>
  </si>
  <si>
    <t>wholesale bags for business</t>
  </si>
  <si>
    <t>/gifting</t>
  </si>
  <si>
    <t>/kids-school</t>
  </si>
  <si>
    <t>school bags wholesale</t>
  </si>
  <si>
    <t>/outdoors-adventure</t>
  </si>
  <si>
    <t>custom outdoor backpacks</t>
  </si>
  <si>
    <t>/promo-events</t>
  </si>
  <si>
    <t>event custom promotional bags</t>
  </si>
  <si>
    <t>/sports-team</t>
  </si>
  <si>
    <t>wholesale sports bags</t>
  </si>
  <si>
    <t>/travel</t>
  </si>
  <si>
    <t>wholesale travel bags</t>
  </si>
  <si>
    <t>Could we test for SEO value of creating these:</t>
  </si>
  <si>
    <t>/use/work-commute/laptop-bags/</t>
  </si>
  <si>
    <t>/use/work-commute/roll-top-backpacks/</t>
  </si>
  <si>
    <t>/use/sport-team/team-holdalls/</t>
  </si>
  <si>
    <t>/use/sport-team/team-backpacks/</t>
  </si>
  <si>
    <t>/use/travel/wheelie-bags/</t>
  </si>
  <si>
    <t>/use/travel/wash-bags-organisers/</t>
  </si>
  <si>
    <t>/use/gifting/pouches-cases/</t>
  </si>
  <si>
    <t>/use/gifting/travel-accessories/</t>
  </si>
  <si>
    <t>Colour</t>
  </si>
  <si>
    <t>/black</t>
  </si>
  <si>
    <t>black tote bag wholesale</t>
  </si>
  <si>
    <t>/navy</t>
  </si>
  <si>
    <t>navy blue canvas tote bags wholesale</t>
  </si>
  <si>
    <t>/red</t>
  </si>
  <si>
    <t>red tote bags wholesale</t>
  </si>
  <si>
    <t>/white</t>
  </si>
  <si>
    <t>white cotton bags wholesale</t>
  </si>
  <si>
    <t>/green</t>
  </si>
  <si>
    <t>green tote bags wholesale</t>
  </si>
  <si>
    <t>/blue</t>
  </si>
  <si>
    <t>blank blue tote bag</t>
  </si>
  <si>
    <t>/pink</t>
  </si>
  <si>
    <t>pink tote bags wholesale</t>
  </si>
  <si>
    <t>/orange</t>
  </si>
  <si>
    <t>orange tote bag wholesale</t>
  </si>
  <si>
    <t>/yellow</t>
  </si>
  <si>
    <t>yellow gift bags wholesale</t>
  </si>
  <si>
    <t>/brown</t>
  </si>
  <si>
    <t>custom printed brown bags</t>
  </si>
  <si>
    <t>/grey</t>
  </si>
  <si>
    <t>/purple</t>
  </si>
  <si>
    <t>purple tote bags wholesale</t>
  </si>
  <si>
    <t>/pattern</t>
  </si>
  <si>
    <t>/neutral</t>
  </si>
  <si>
    <t>Decoration</t>
  </si>
  <si>
    <t>/embroidery</t>
  </si>
  <si>
    <t>bag embroidery printing</t>
  </si>
  <si>
    <t>/patches</t>
  </si>
  <si>
    <t>bags for patches</t>
  </si>
  <si>
    <t>/transfer</t>
  </si>
  <si>
    <t>/printing</t>
  </si>
  <si>
    <t>screen printing for bags</t>
  </si>
  <si>
    <t>/dtg</t>
  </si>
  <si>
    <t>/sublimation</t>
  </si>
  <si>
    <t>tote bags for sublimation</t>
  </si>
  <si>
    <t>/deboss-foil-laser</t>
  </si>
  <si>
    <t>Lookbooks/Collections</t>
  </si>
  <si>
    <t>Subcategory Lookbooks</t>
  </si>
  <si>
    <t>Subcategories - Visual Collections</t>
  </si>
  <si>
    <t>Current URL</t>
  </si>
  <si>
    <t>/lookbooks</t>
  </si>
  <si>
    <t>/lookbooks/aw25</t>
  </si>
  <si>
    <t>/sundae-collection</t>
  </si>
  <si>
    <t>/collections/sundae</t>
  </si>
  <si>
    <t>sundae bag</t>
  </si>
  <si>
    <t>NEW</t>
  </si>
  <si>
    <t>/collections/recycled</t>
  </si>
  <si>
    <t>recycled bags wholesale</t>
  </si>
  <si>
    <t>/bagbase-simplicity</t>
  </si>
  <si>
    <t>/collections/simplicity</t>
  </si>
  <si>
    <t>plain tote bags</t>
  </si>
  <si>
    <t>/collections/training</t>
  </si>
  <si>
    <t>/collections/matte-pu</t>
  </si>
  <si>
    <t>pu bags wholesale</t>
  </si>
  <si>
    <t>/bagbase-velvet</t>
  </si>
  <si>
    <t>/collections/velvet</t>
  </si>
  <si>
    <t>velvet gift bags wholesale</t>
  </si>
  <si>
    <t>/boutique-collection-bagbaser</t>
  </si>
  <si>
    <t>/collections/boutique</t>
  </si>
  <si>
    <t>boutique bags wholesale</t>
  </si>
  <si>
    <t>/bagbaser-premium-recycled-collection</t>
  </si>
  <si>
    <t>/collections/premium-recycled</t>
  </si>
  <si>
    <t>sustainable blank bags</t>
  </si>
  <si>
    <t xml:space="preserve"> </t>
  </si>
  <si>
    <t>/lookbooks/ss26</t>
  </si>
  <si>
    <t>Essential</t>
  </si>
  <si>
    <t>/collections/essential/</t>
  </si>
  <si>
    <t>Original</t>
  </si>
  <si>
    <t>/collections/original/</t>
  </si>
  <si>
    <t>Retro</t>
  </si>
  <si>
    <t>/collections/retro/</t>
  </si>
  <si>
    <t>Reflective</t>
  </si>
  <si>
    <t>/collections/reflective/</t>
  </si>
  <si>
    <t>/collections/recycled/</t>
  </si>
  <si>
    <t>Recycled Essentials</t>
  </si>
  <si>
    <t>/collections/recycled-essentials/</t>
  </si>
  <si>
    <t>Athleisure</t>
  </si>
  <si>
    <t>/collections/athleisure/</t>
  </si>
  <si>
    <t>Teamwear</t>
  </si>
  <si>
    <t>/collections/teamwear/</t>
  </si>
  <si>
    <t>Circuit</t>
  </si>
  <si>
    <t>/collections/circuit/</t>
  </si>
  <si>
    <t>Everyday Carry</t>
  </si>
  <si>
    <t>/collections/everyday-carry/</t>
  </si>
  <si>
    <t>Leopard Print</t>
  </si>
  <si>
    <t>/collections/leopard-print/</t>
  </si>
  <si>
    <t>Kids’ Adventure</t>
  </si>
  <si>
    <t>/collections/kids-adventure/</t>
  </si>
  <si>
    <t>Quilted</t>
  </si>
  <si>
    <t>/collections/quilted/</t>
  </si>
  <si>
    <t>Ramble</t>
  </si>
  <si>
    <t>/collections/ramble/</t>
  </si>
  <si>
    <t>Athlux</t>
  </si>
  <si>
    <t>/collections/athlux/</t>
  </si>
  <si>
    <t>MOLLE</t>
  </si>
  <si>
    <t>/collections/molle/</t>
  </si>
  <si>
    <t>Minimal Lifestyle</t>
  </si>
  <si>
    <t>/collections/minimal-lifestyle/</t>
  </si>
  <si>
    <t>Modulr</t>
  </si>
  <si>
    <t>/collections/modulr/</t>
  </si>
  <si>
    <t>Denim</t>
  </si>
  <si>
    <t>/collections/denim/</t>
  </si>
  <si>
    <t>Vintage</t>
  </si>
  <si>
    <t>/collections/vintage/</t>
  </si>
  <si>
    <t>Edit Canvas</t>
  </si>
  <si>
    <t>/collections/edit-canvas/</t>
  </si>
  <si>
    <t>Escape</t>
  </si>
  <si>
    <t>/collections/escape/</t>
  </si>
  <si>
    <t>/collections/sublimation/</t>
  </si>
  <si>
    <t>/decorator-academy</t>
  </si>
  <si>
    <t>/decorator-academy/designed-for-decoration</t>
  </si>
  <si>
    <t>TBC</t>
  </si>
  <si>
    <t>/decorator-academy/creator-spotlight</t>
  </si>
  <si>
    <t>https://bagbase.com/bagbase-inspiration-page</t>
  </si>
  <si>
    <t>/decorator-academy/how-to-videos</t>
  </si>
  <si>
    <t>Media Hub Link</t>
  </si>
  <si>
    <t>/decorator-academy/join-the-community</t>
  </si>
  <si>
    <t>Brochure</t>
  </si>
  <si>
    <t>/brochure</t>
  </si>
  <si>
    <t>https://mediahub.beechfieldbrands.com/login/redirectToken/3F8C914A-C169-4EFB-B5FE72805708526C/</t>
  </si>
  <si>
    <t>/blog</t>
  </si>
  <si>
    <t>/frequently-asked-questions</t>
  </si>
  <si>
    <t>/contact</t>
  </si>
  <si>
    <t>D</t>
  </si>
  <si>
    <t>Support Hub</t>
  </si>
  <si>
    <t>/about-us</t>
  </si>
  <si>
    <t>/about-us/our-values</t>
  </si>
  <si>
    <t>/sustainability</t>
  </si>
  <si>
    <t>/about-us/sustainability</t>
  </si>
  <si>
    <t>/how-to-buy</t>
  </si>
  <si>
    <t>/find-a-distributor</t>
  </si>
  <si>
    <t>/inventory-finder</t>
  </si>
  <si>
    <t>/login</t>
  </si>
  <si>
    <t>/distributors</t>
  </si>
  <si>
    <t>https://beechfieldbrands.com/</t>
  </si>
  <si>
    <t>/about-us/contact-us</t>
  </si>
  <si>
    <t>/terms-and-conditions</t>
  </si>
  <si>
    <t>/modern-slavery-statement</t>
  </si>
  <si>
    <t>/privacy-policy</t>
  </si>
  <si>
    <t>URL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</si>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</sst>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DM Sans"/>
    </font>
    <font>
      <b/>
      <sz val="11.0"/>
      <color rgb="FFFFFFFF"/>
      <name val="DM Sans"/>
    </font>
    <font>
      <b/>
      <color rgb="FFFFFFFF"/>
      <name val="DM Sans"/>
    </font>
    <font>
      <b/>
      <color theme="1"/>
      <name val="DM Sans"/>
    </font>
    <font>
      <b/>
      <color rgb="FF000000"/>
      <name val="DM Sans"/>
    </font>
    <font/>
    <font>
      <color theme="1"/>
      <name val="Arial"/>
    </font>
    <font>
      <b/>
      <sz val="11.0"/>
      <color rgb="FFFFFFFF"/>
      <name val="&quot;DM Sans&quot;"/>
    </font>
    <font>
      <b/>
      <sz val="10.0"/>
      <color theme="1"/>
      <name val="Arial"/>
      <scheme val="minor"/>
    </font>
    <font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DM Sans"/>
    </font>
    <font>
      <u/>
      <color rgb="FF0000FF"/>
      <name val="DM Sans"/>
    </font>
    <font>
      <u/>
      <color rgb="FF1155CC"/>
      <name val="DM Sans"/>
    </font>
    <font>
      <color rgb="FF000000"/>
      <name val="Arial"/>
    </font>
    <font>
      <color rgb="FF000000"/>
      <name val="Monospace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top style="thin">
        <color rgb="FF000000"/>
      </top>
    </border>
    <border>
      <right style="thin">
        <color rgb="FF000000"/>
      </right>
      <top style="thick">
        <color rgb="FF000000"/>
      </top>
      <bottom style="thick">
        <color rgb="FFFFFFFF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3" fontId="1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0" fillId="2" fontId="2" numFmtId="0" xfId="0" applyAlignment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0"/>
    </xf>
    <xf borderId="9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10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 readingOrder="0" vertical="center"/>
    </xf>
    <xf borderId="10" fillId="2" fontId="1" numFmtId="3" xfId="0" applyAlignment="1" applyBorder="1" applyFont="1" applyNumberFormat="1">
      <alignment horizontal="center" readingOrder="0" shrinkToFit="0" wrapText="0"/>
    </xf>
    <xf borderId="8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shrinkToFit="0" vertical="center" wrapText="0"/>
    </xf>
    <xf borderId="8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10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vertical="center"/>
    </xf>
    <xf borderId="10" fillId="2" fontId="1" numFmtId="3" xfId="0" applyAlignment="1" applyBorder="1" applyFont="1" applyNumberFormat="1">
      <alignment horizontal="center"/>
    </xf>
    <xf borderId="10" fillId="2" fontId="1" numFmtId="0" xfId="0" applyAlignment="1" applyBorder="1" applyFont="1">
      <alignment horizontal="center" readingOrder="0" shrinkToFit="0" wrapText="0"/>
    </xf>
    <xf borderId="10" fillId="2" fontId="1" numFmtId="0" xfId="0" applyAlignment="1" applyBorder="1" applyFont="1">
      <alignment horizontal="center" readingOrder="0" shrinkToFit="0" wrapText="1"/>
    </xf>
    <xf borderId="0" fillId="2" fontId="1" numFmtId="3" xfId="0" applyAlignment="1" applyFont="1" applyNumberFormat="1">
      <alignment horizontal="center" vertical="center"/>
    </xf>
    <xf borderId="13" fillId="2" fontId="1" numFmtId="0" xfId="0" applyAlignment="1" applyBorder="1" applyFont="1">
      <alignment horizontal="center" readingOrder="0" vertical="center"/>
    </xf>
    <xf borderId="13" fillId="2" fontId="1" numFmtId="3" xfId="0" applyAlignment="1" applyBorder="1" applyFont="1" applyNumberFormat="1">
      <alignment horizontal="center" readingOrder="0" vertical="center"/>
    </xf>
    <xf borderId="14" fillId="2" fontId="1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vertical="center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3" fillId="2" fontId="1" numFmtId="3" xfId="0" applyAlignment="1" applyBorder="1" applyFont="1" applyNumberForma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vertical="center"/>
    </xf>
    <xf borderId="0" fillId="2" fontId="4" numFmtId="0" xfId="0" applyAlignment="1" applyFont="1">
      <alignment horizontal="center" readingOrder="0" vertical="center"/>
    </xf>
    <xf borderId="10" fillId="2" fontId="1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16" fillId="0" fontId="6" numFmtId="0" xfId="0" applyBorder="1" applyFont="1"/>
    <xf borderId="17" fillId="0" fontId="6" numFmtId="0" xfId="0" applyBorder="1" applyFont="1"/>
    <xf borderId="5" fillId="2" fontId="1" numFmtId="0" xfId="0" applyAlignment="1" applyBorder="1" applyFont="1">
      <alignment horizontal="center" readingOrder="0" vertical="center"/>
    </xf>
    <xf borderId="0" fillId="2" fontId="7" numFmtId="0" xfId="0" applyAlignment="1" applyFont="1">
      <alignment vertical="bottom"/>
    </xf>
    <xf borderId="0" fillId="2" fontId="7" numFmtId="0" xfId="0" applyFont="1"/>
    <xf borderId="0" fillId="2" fontId="1" numFmtId="3" xfId="0" applyAlignment="1" applyFont="1" applyNumberFormat="1">
      <alignment horizontal="center" readingOrder="0" vertical="center"/>
    </xf>
    <xf borderId="18" fillId="3" fontId="7" numFmtId="0" xfId="0" applyAlignment="1" applyBorder="1" applyFont="1">
      <alignment vertical="bottom"/>
    </xf>
    <xf borderId="19" fillId="0" fontId="6" numFmtId="0" xfId="0" applyBorder="1" applyFont="1"/>
    <xf borderId="19" fillId="3" fontId="7" numFmtId="0" xfId="0" applyBorder="1" applyFont="1"/>
    <xf borderId="11" fillId="4" fontId="8" numFmtId="0" xfId="0" applyAlignment="1" applyBorder="1" applyFont="1">
      <alignment horizontal="center" readingOrder="0"/>
    </xf>
    <xf borderId="8" fillId="0" fontId="6" numFmtId="0" xfId="0" applyBorder="1" applyFont="1"/>
    <xf borderId="11" fillId="3" fontId="3" numFmtId="0" xfId="0" applyAlignment="1" applyBorder="1" applyFont="1">
      <alignment horizontal="center" readingOrder="0" shrinkToFit="0" vertical="center" wrapText="1"/>
    </xf>
    <xf borderId="11" fillId="5" fontId="4" numFmtId="0" xfId="0" applyAlignment="1" applyBorder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5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top"/>
    </xf>
    <xf borderId="0" fillId="2" fontId="7" numFmtId="0" xfId="0" applyAlignment="1" applyFont="1">
      <alignment vertical="top"/>
    </xf>
    <xf borderId="0" fillId="2" fontId="7" numFmtId="0" xfId="0" applyAlignment="1" applyFont="1">
      <alignment vertical="top"/>
    </xf>
    <xf borderId="0" fillId="2" fontId="1" numFmtId="3" xfId="0" applyAlignment="1" applyFont="1" applyNumberFormat="1">
      <alignment horizontal="center" readingOrder="0" vertical="top"/>
    </xf>
    <xf borderId="18" fillId="3" fontId="7" numFmtId="0" xfId="0" applyAlignment="1" applyBorder="1" applyFont="1">
      <alignment vertical="top"/>
    </xf>
    <xf borderId="11" fillId="4" fontId="8" numFmtId="0" xfId="0" applyAlignment="1" applyBorder="1" applyFont="1">
      <alignment horizontal="center" readingOrder="0" vertical="top"/>
    </xf>
    <xf borderId="11" fillId="3" fontId="3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horizontal="center" vertical="top"/>
    </xf>
    <xf borderId="11" fillId="5" fontId="4" numFmtId="0" xfId="0" applyAlignment="1" applyBorder="1" applyFont="1">
      <alignment horizontal="center" shrinkToFit="0" vertical="top" wrapText="1"/>
    </xf>
    <xf borderId="0" fillId="5" fontId="4" numFmtId="0" xfId="0" applyAlignment="1" applyFont="1">
      <alignment horizontal="center" readingOrder="0" shrinkToFit="0" vertical="top" wrapText="1"/>
    </xf>
    <xf borderId="0" fillId="5" fontId="4" numFmtId="0" xfId="0" applyAlignment="1" applyFont="1">
      <alignment horizontal="center" shrinkToFit="0" vertical="top" wrapText="1"/>
    </xf>
    <xf borderId="8" fillId="5" fontId="4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center" readingOrder="0" vertical="top"/>
    </xf>
    <xf borderId="20" fillId="2" fontId="1" numFmtId="0" xfId="0" applyAlignment="1" applyBorder="1" applyFont="1">
      <alignment horizontal="center" readingOrder="0" vertical="top"/>
    </xf>
    <xf borderId="20" fillId="2" fontId="1" numFmtId="0" xfId="0" applyAlignment="1" applyBorder="1" applyFont="1">
      <alignment horizontal="center" readingOrder="0" vertical="top"/>
    </xf>
    <xf borderId="9" fillId="2" fontId="1" numFmtId="0" xfId="0" applyAlignment="1" applyBorder="1" applyFont="1">
      <alignment horizontal="center" readingOrder="0" vertical="top"/>
    </xf>
    <xf borderId="11" fillId="0" fontId="6" numFmtId="0" xfId="0" applyBorder="1" applyFont="1"/>
    <xf borderId="11" fillId="2" fontId="1" numFmtId="0" xfId="0" applyAlignment="1" applyBorder="1" applyFont="1">
      <alignment horizontal="center" readingOrder="0" vertical="top"/>
    </xf>
    <xf borderId="0" fillId="2" fontId="1" numFmtId="0" xfId="0" applyAlignment="1" applyFont="1">
      <alignment horizontal="center" readingOrder="0" vertical="top"/>
    </xf>
    <xf borderId="8" fillId="2" fontId="1" numFmtId="0" xfId="0" applyAlignment="1" applyBorder="1" applyFont="1">
      <alignment horizontal="center" readingOrder="0" vertical="top"/>
    </xf>
    <xf borderId="14" fillId="0" fontId="6" numFmtId="0" xfId="0" applyBorder="1" applyFont="1"/>
    <xf borderId="12" fillId="0" fontId="6" numFmtId="0" xfId="0" applyBorder="1" applyFont="1"/>
    <xf borderId="15" fillId="0" fontId="6" numFmtId="0" xfId="0" applyBorder="1" applyFont="1"/>
    <xf borderId="14" fillId="2" fontId="1" numFmtId="0" xfId="0" applyAlignment="1" applyBorder="1" applyFont="1">
      <alignment horizontal="center" readingOrder="0" vertical="top"/>
    </xf>
    <xf borderId="12" fillId="2" fontId="1" numFmtId="0" xfId="0" applyAlignment="1" applyBorder="1" applyFont="1">
      <alignment horizontal="center" readingOrder="0" vertical="top"/>
    </xf>
    <xf borderId="12" fillId="2" fontId="1" numFmtId="0" xfId="0" applyAlignment="1" applyBorder="1" applyFont="1">
      <alignment horizontal="center" readingOrder="0" vertical="top"/>
    </xf>
    <xf borderId="15" fillId="2" fontId="1" numFmtId="0" xfId="0" applyAlignment="1" applyBorder="1" applyFont="1">
      <alignment horizontal="center" readingOrder="0" vertical="top"/>
    </xf>
    <xf borderId="9" fillId="0" fontId="6" numFmtId="0" xfId="0" applyBorder="1" applyFont="1"/>
    <xf borderId="9" fillId="2" fontId="1" numFmtId="3" xfId="0" applyAlignment="1" applyBorder="1" applyFont="1" applyNumberFormat="1">
      <alignment horizontal="center" readingOrder="0" vertical="top"/>
    </xf>
    <xf borderId="15" fillId="2" fontId="1" numFmtId="3" xfId="0" applyAlignment="1" applyBorder="1" applyFont="1" applyNumberFormat="1">
      <alignment horizontal="center" readingOrder="0" vertical="top"/>
    </xf>
    <xf borderId="6" fillId="2" fontId="1" numFmtId="0" xfId="0" applyAlignment="1" applyBorder="1" applyFont="1">
      <alignment horizontal="center" readingOrder="0" vertical="top"/>
    </xf>
    <xf borderId="16" fillId="2" fontId="1" numFmtId="0" xfId="0" applyAlignment="1" applyBorder="1" applyFont="1">
      <alignment horizontal="center" readingOrder="0" vertical="top"/>
    </xf>
    <xf borderId="16" fillId="2" fontId="1" numFmtId="0" xfId="0" applyAlignment="1" applyBorder="1" applyFont="1">
      <alignment horizontal="center" readingOrder="0" vertical="top"/>
    </xf>
    <xf borderId="17" fillId="2" fontId="1" numFmtId="0" xfId="0" applyAlignment="1" applyBorder="1" applyFont="1">
      <alignment horizontal="center" readingOrder="0" vertical="top"/>
    </xf>
    <xf borderId="8" fillId="2" fontId="1" numFmtId="3" xfId="0" applyAlignment="1" applyBorder="1" applyFont="1" applyNumberFormat="1">
      <alignment horizontal="center" readingOrder="0" vertical="top"/>
    </xf>
    <xf borderId="0" fillId="2" fontId="1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readingOrder="0" vertical="top"/>
    </xf>
    <xf borderId="0" fillId="2" fontId="1" numFmtId="0" xfId="0" applyAlignment="1" applyFont="1">
      <alignment horizontal="left" readingOrder="0" vertical="top"/>
    </xf>
    <xf borderId="0" fillId="2" fontId="1" numFmtId="0" xfId="0" applyAlignment="1" applyFont="1">
      <alignment horizontal="left" readingOrder="0" shrinkToFit="0" vertical="top" wrapText="0"/>
    </xf>
    <xf borderId="0" fillId="2" fontId="7" numFmtId="0" xfId="0" applyFont="1"/>
    <xf borderId="21" fillId="3" fontId="10" numFmtId="0" xfId="0" applyAlignment="1" applyBorder="1" applyFont="1">
      <alignment readingOrder="0"/>
    </xf>
    <xf borderId="0" fillId="3" fontId="3" numFmtId="0" xfId="0" applyAlignment="1" applyFont="1">
      <alignment horizontal="center" readingOrder="0" shrinkToFit="0" wrapText="1"/>
    </xf>
    <xf borderId="11" fillId="5" fontId="4" numFmtId="0" xfId="0" applyAlignment="1" applyBorder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8" fillId="5" fontId="4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readingOrder="0" shrinkToFit="0" wrapText="0"/>
    </xf>
    <xf borderId="20" fillId="2" fontId="1" numFmtId="0" xfId="0" applyAlignment="1" applyBorder="1" applyFont="1">
      <alignment horizontal="center" readingOrder="0" shrinkToFit="0" wrapText="0"/>
    </xf>
    <xf borderId="20" fillId="2" fontId="1" numFmtId="0" xfId="0" applyAlignment="1" applyBorder="1" applyFont="1">
      <alignment horizontal="center" readingOrder="0"/>
    </xf>
    <xf borderId="9" fillId="2" fontId="1" numFmtId="3" xfId="0" applyAlignment="1" applyBorder="1" applyFont="1" applyNumberFormat="1">
      <alignment horizontal="center" readingOrder="0"/>
    </xf>
    <xf borderId="11" fillId="2" fontId="1" numFmtId="0" xfId="0" applyAlignment="1" applyBorder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8" fillId="2" fontId="1" numFmtId="3" xfId="0" applyAlignment="1" applyBorder="1" applyFont="1" applyNumberFormat="1">
      <alignment horizontal="center" readingOrder="0"/>
    </xf>
    <xf borderId="14" fillId="2" fontId="1" numFmtId="0" xfId="0" applyAlignment="1" applyBorder="1" applyFont="1">
      <alignment horizontal="center" readingOrder="0" shrinkToFit="0" wrapText="0"/>
    </xf>
    <xf borderId="12" fillId="2" fontId="1" numFmtId="0" xfId="0" applyAlignment="1" applyBorder="1" applyFont="1">
      <alignment horizontal="center" readingOrder="0" shrinkToFit="0" wrapText="0"/>
    </xf>
    <xf borderId="12" fillId="2" fontId="1" numFmtId="0" xfId="0" applyAlignment="1" applyBorder="1" applyFont="1">
      <alignment horizontal="center" readingOrder="0"/>
    </xf>
    <xf borderId="15" fillId="2" fontId="1" numFmtId="3" xfId="0" applyAlignment="1" applyBorder="1" applyFont="1" applyNumberFormat="1">
      <alignment horizontal="center" readingOrder="0"/>
    </xf>
    <xf borderId="0" fillId="2" fontId="1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2" fontId="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11" fillId="4" fontId="2" numFmtId="0" xfId="0" applyAlignment="1" applyBorder="1" applyFont="1">
      <alignment horizontal="center" readingOrder="0" vertical="bottom"/>
    </xf>
    <xf borderId="0" fillId="4" fontId="8" numFmtId="0" xfId="0" applyAlignment="1" applyFont="1">
      <alignment horizontal="center" readingOrder="0"/>
    </xf>
    <xf borderId="11" fillId="3" fontId="3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20" fillId="2" fontId="1" numFmtId="3" xfId="0" applyAlignment="1" applyBorder="1" applyFont="1" applyNumberFormat="1">
      <alignment horizontal="center" readingOrder="0"/>
    </xf>
    <xf borderId="0" fillId="2" fontId="1" numFmtId="3" xfId="0" applyAlignment="1" applyFont="1" applyNumberFormat="1">
      <alignment horizontal="center" readingOrder="0"/>
    </xf>
    <xf borderId="12" fillId="2" fontId="1" numFmtId="3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shrinkToFit="0" wrapText="0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8" fillId="5" fontId="4" numFmtId="0" xfId="0" applyAlignment="1" applyBorder="1" applyFont="1">
      <alignment horizontal="center" readingOrder="0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2" fillId="5" fontId="4" numFmtId="0" xfId="0" applyAlignment="1" applyBorder="1" applyFont="1">
      <alignment horizontal="center" readingOrder="0" shrinkToFit="0" vertical="center" wrapText="1"/>
    </xf>
    <xf borderId="16" fillId="5" fontId="4" numFmtId="0" xfId="0" applyAlignment="1" applyBorder="1" applyFont="1">
      <alignment horizontal="center" readingOrder="0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17" fillId="5" fontId="4" numFmtId="0" xfId="0" applyAlignment="1" applyBorder="1" applyFont="1">
      <alignment horizontal="center" shrinkToFit="0" vertical="center" wrapText="1"/>
    </xf>
    <xf borderId="9" fillId="2" fontId="1" numFmtId="3" xfId="0" applyAlignment="1" applyBorder="1" applyFont="1" applyNumberFormat="1">
      <alignment horizontal="center" readingOrder="0" vertical="center"/>
    </xf>
    <xf borderId="7" fillId="2" fontId="1" numFmtId="0" xfId="0" applyAlignment="1" applyBorder="1" applyFont="1">
      <alignment horizontal="center" readingOrder="0" shrinkToFit="0" vertical="center" wrapText="0"/>
    </xf>
    <xf borderId="9" fillId="2" fontId="1" numFmtId="0" xfId="0" applyAlignment="1" applyBorder="1" applyFont="1">
      <alignment horizontal="center" readingOrder="0" shrinkToFit="0" vertical="center" wrapText="0"/>
    </xf>
    <xf borderId="7" fillId="2" fontId="1" numFmtId="0" xfId="0" applyAlignment="1" applyBorder="1" applyFont="1">
      <alignment horizontal="center" shrinkToFit="0" wrapText="0"/>
    </xf>
    <xf borderId="20" fillId="2" fontId="1" numFmtId="0" xfId="0" applyAlignment="1" applyBorder="1" applyFont="1">
      <alignment horizontal="center" shrinkToFit="0" wrapText="0"/>
    </xf>
    <xf borderId="11" fillId="2" fontId="1" numFmtId="0" xfId="0" applyAlignment="1" applyBorder="1" applyFont="1">
      <alignment horizontal="center" shrinkToFit="0" wrapText="0"/>
    </xf>
    <xf borderId="11" fillId="2" fontId="1" numFmtId="3" xfId="0" applyAlignment="1" applyBorder="1" applyFont="1" applyNumberFormat="1">
      <alignment horizontal="center" shrinkToFit="0" wrapText="0"/>
    </xf>
    <xf borderId="0" fillId="2" fontId="1" numFmtId="3" xfId="0" applyAlignment="1" applyFont="1" applyNumberFormat="1">
      <alignment horizontal="center" shrinkToFit="0" wrapText="0"/>
    </xf>
    <xf borderId="11" fillId="2" fontId="1" numFmtId="3" xfId="0" applyAlignment="1" applyBorder="1" applyFont="1" applyNumberFormat="1">
      <alignment horizontal="center"/>
    </xf>
    <xf borderId="0" fillId="2" fontId="1" numFmtId="3" xfId="0" applyAlignment="1" applyFont="1" applyNumberFormat="1">
      <alignment horizontal="center"/>
    </xf>
    <xf borderId="6" fillId="2" fontId="1" numFmtId="0" xfId="0" applyAlignment="1" applyBorder="1" applyFont="1">
      <alignment horizontal="center" readingOrder="0" shrinkToFit="0" vertical="center" wrapText="0"/>
    </xf>
    <xf borderId="17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wrapText="0"/>
    </xf>
    <xf borderId="16" fillId="2" fontId="1" numFmtId="0" xfId="0" applyAlignment="1" applyBorder="1" applyFont="1">
      <alignment horizontal="center" shrinkToFit="0" wrapText="0"/>
    </xf>
    <xf borderId="16" fillId="2" fontId="1" numFmtId="0" xfId="0" applyAlignment="1" applyBorder="1" applyFont="1">
      <alignment horizontal="center"/>
    </xf>
    <xf borderId="17" fillId="2" fontId="1" numFmtId="3" xfId="0" applyAlignment="1" applyBorder="1" applyFont="1" applyNumberFormat="1">
      <alignment horizontal="center"/>
    </xf>
    <xf borderId="14" fillId="2" fontId="1" numFmtId="3" xfId="0" applyAlignment="1" applyBorder="1" applyFont="1" applyNumberFormat="1">
      <alignment horizontal="center" readingOrder="0" vertical="center"/>
    </xf>
    <xf borderId="15" fillId="2" fontId="1" numFmtId="3" xfId="0" applyAlignment="1" applyBorder="1" applyFont="1" applyNumberFormat="1">
      <alignment horizontal="center" readingOrder="0" vertical="center"/>
    </xf>
    <xf borderId="14" fillId="2" fontId="1" numFmtId="0" xfId="0" applyAlignment="1" applyBorder="1" applyFont="1">
      <alignment horizontal="center" readingOrder="0" shrinkToFit="0" vertical="center" wrapText="0"/>
    </xf>
    <xf borderId="16" fillId="2" fontId="13" numFmtId="3" xfId="0" applyAlignment="1" applyBorder="1" applyFont="1" applyNumberFormat="1">
      <alignment horizontal="center" readingOrder="0" vertical="center"/>
    </xf>
    <xf borderId="16" fillId="2" fontId="1" numFmtId="3" xfId="0" applyAlignment="1" applyBorder="1" applyFont="1" applyNumberFormat="1">
      <alignment horizontal="center" readingOrder="0" vertical="center"/>
    </xf>
    <xf borderId="17" fillId="2" fontId="1" numFmtId="3" xfId="0" applyAlignment="1" applyBorder="1" applyFont="1" applyNumberFormat="1">
      <alignment horizontal="center" readingOrder="0" vertical="center"/>
    </xf>
    <xf borderId="16" fillId="2" fontId="1" numFmtId="0" xfId="0" applyAlignment="1" applyBorder="1" applyFont="1">
      <alignment horizontal="center" readingOrder="0" vertical="center"/>
    </xf>
    <xf borderId="6" fillId="2" fontId="1" numFmtId="3" xfId="0" applyAlignment="1" applyBorder="1" applyFont="1" applyNumberFormat="1">
      <alignment horizontal="center" readingOrder="0" vertical="center"/>
    </xf>
    <xf borderId="20" fillId="2" fontId="1" numFmtId="0" xfId="0" applyAlignment="1" applyBorder="1" applyFont="1">
      <alignment horizontal="center" readingOrder="0" shrinkToFit="0" vertical="center" wrapText="0"/>
    </xf>
    <xf borderId="11" fillId="2" fontId="1" numFmtId="0" xfId="0" applyAlignment="1" applyBorder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19" fillId="3" fontId="10" numFmtId="0" xfId="0" applyAlignment="1" applyBorder="1" applyFont="1">
      <alignment readingOrder="0"/>
    </xf>
    <xf borderId="21" fillId="0" fontId="6" numFmtId="0" xfId="0" applyBorder="1" applyFont="1"/>
    <xf borderId="0" fillId="2" fontId="7" numFmtId="0" xfId="0" applyAlignment="1" applyFont="1">
      <alignment vertical="center"/>
    </xf>
    <xf borderId="11" fillId="4" fontId="2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vertical="center"/>
    </xf>
    <xf borderId="9" fillId="2" fontId="1" numFmtId="3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center" shrinkToFit="0" vertical="center" wrapText="0"/>
    </xf>
    <xf borderId="14" fillId="2" fontId="1" numFmtId="0" xfId="0" applyAlignment="1" applyBorder="1" applyFont="1">
      <alignment horizontal="center" shrinkToFit="0" vertical="center" wrapText="0"/>
    </xf>
    <xf borderId="19" fillId="3" fontId="7" numFmtId="0" xfId="0" applyAlignment="1" applyBorder="1" applyFont="1">
      <alignment vertical="bottom"/>
    </xf>
    <xf borderId="7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8" fillId="2" fontId="7" numFmtId="0" xfId="0" applyBorder="1" applyFont="1"/>
    <xf borderId="0" fillId="2" fontId="15" numFmtId="0" xfId="0" applyAlignment="1" applyFont="1">
      <alignment horizontal="center"/>
    </xf>
    <xf borderId="8" fillId="2" fontId="1" numFmtId="3" xfId="0" applyAlignment="1" applyBorder="1" applyFont="1" applyNumberFormat="1">
      <alignment horizontal="center"/>
    </xf>
    <xf borderId="14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5" fillId="2" fontId="1" numFmtId="3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1" numFmtId="0" xfId="0" applyFont="1"/>
    <xf borderId="0" fillId="0" fontId="18" numFmtId="0" xfId="0" applyFont="1"/>
    <xf borderId="0" fillId="0" fontId="17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12" numFmtId="0" xfId="0" applyFont="1"/>
    <xf borderId="0" fillId="6" fontId="20" numFmtId="0" xfId="0" applyAlignment="1" applyFill="1" applyFont="1">
      <alignment readingOrder="0"/>
    </xf>
    <xf borderId="0" fillId="7" fontId="21" numFmtId="0" xfId="0" applyAlignment="1" applyFill="1" applyFont="1">
      <alignment readingOrder="0"/>
    </xf>
    <xf borderId="20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575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38475" cy="895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400300" cy="704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90775" cy="704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3830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Knight" id="{c160b50c-b538-4a5e-b412-dc50c69afc28}" providerId="google-sheets"/>
  <x18tc:person displayName="Bethany Howard" id="{26cbb841-0150-4a1f-b7c9-aea0b5f59556}" providerId="google-sheets"/>
  <x18tc:person displayName="Julia Ward" id="{98179ccc-3a2a-447d-8ff0-1db4dc169c3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0" dT="2026-01-28T11:19:57.00" personId="{98179ccc-3a2a-447d-8ff0-1db4dc169c3e}" id="{63b2babf-5be8-4b4b-9bb9-4b66c4a9d70e}" done="0">
    <x18tc:text xml:space="preserve">This will link to Beechfield Brands.</x18tc:text>
  </x18tc:threadedComment>
  <x18tc:threadedComment ref="A1" dT="2026-01-16T15:31:35.00" personId="{26cbb841-0150-4a1f-b7c9-aea0b5f59556}" id="{67f5fefc-a1c9-431f-845c-bb9242b18c0b}" done="1">
    <x18tc:text xml:space="preserve">Watch page using all the YT videos. Inspiration on how to decorate.</x18tc:text>
  </x18tc:threadedComment>
  <x18tc:threadedComment ref="A1" dT="2026-01-16T10:46:51.00" personId="{98179ccc-3a2a-447d-8ff0-1db4dc169c3e}" id="{e3711531-3dd3-4a1c-8357-b837c39a299b}" done="1">
    <x18tc:text xml:space="preserve">Watch page using all the YT videos. Inspiration on how to decorate.</x18tc:text>
  </x18tc:threadedComment>
  <x18tc:threadedComment ref="A1" dT="2026-01-16T11:37:30.00" personId="{98179ccc-3a2a-447d-8ff0-1db4dc169c3e}" id="{ead2d036-a011-468a-bf35-3edf59c7d6e6}" done="0">
    <x18tc:text xml:space="preserve">Same here.</x18tc:text>
  </x18tc:threadedComment>
  <x18tc:threadedComment ref="I5" dT="2026-01-16T11:43:18.00" personId="{98179ccc-3a2a-447d-8ff0-1db4dc169c3e}" id="{20d89680-bb28-48a4-a803-f0e8baabe253}" done="1">
    <x18tc:text xml:space="preserve">Non-Clickable.</x18tc:text>
  </x18tc:threadedComment>
  <x18tc:threadedComment ref="A1" dT="2026-01-16T10:26:30.00" personId="{98179ccc-3a2a-447d-8ff0-1db4dc169c3e}" id="{254b60a7-b744-4084-8e63-fa06ef7d6b45}" done="0">
    <x18tc:text xml:space="preserve">Turn into Watch Page using YT videos.</x18tc:text>
  </x18tc:threadedComment>
  <x18tc:threadedComment ref="A1" dT="2026-01-16T11:43:07.00" personId="{98179ccc-3a2a-447d-8ff0-1db4dc169c3e}" id="{c5d10179-4113-4ada-8147-32f82fd35c6f}" done="1">
    <x18tc:text xml:space="preserve">Non-Clickable.</x18tc:text>
  </x18tc:threadedComment>
  <x18tc:threadedComment ref="A1" dT="2026-01-15T12:24:10.00" personId="{98179ccc-3a2a-447d-8ff0-1db4dc169c3e}" id="{4e5328e5-7a33-410c-a98a-aa5aed84d20e}" done="0">
    <x18tc:text xml:space="preserve">Are these relevant for Distributors as well as Decorators? Or just one of them?</x18tc:text>
  </x18tc:threadedComment>
  <x18tc:threadedComment ref="J5" dT="2026-01-16T11:43:11.00" personId="{98179ccc-3a2a-447d-8ff0-1db4dc169c3e}" id="{1799db1b-3783-4dcf-8a17-c1dab1947d2d}" done="1">
    <x18tc:text xml:space="preserve">Non-Clickable.</x18tc:text>
  </x18tc:threadedComment>
  <x18tc:threadedComment ref="A1" dT="2026-01-25T21:52:10.00" personId="{c160b50c-b538-4a5e-b412-dc50c69afc28}" id="{5b2cd3b3-d2c4-43a5-a3de-89acfa4cda2d}" done="1">
    <x18tc:text xml:space="preserve">would this actually appear on the page? lol</x18tc:text>
  </x18tc:threadedComment>
  <x18tc:threadedComment ref="M5" dT="2026-01-28T11:40:42.00" personId="{98179ccc-3a2a-447d-8ff0-1db4dc169c3e}" id="{d5120eca-5437-49da-a0da-ff81531e1e13}" done="0">
    <x18tc:text xml:space="preserve">Split journey - Decorator/Distributor</x18tc:text>
  </x18tc:threadedComment>
  <x18tc:threadedComment ref="A1" dT="2026-01-06T16:36:37.00" personId="{26cbb841-0150-4a1f-b7c9-aea0b5f59556}" id="{b6589e03-13b4-4ab5-9750-e9ce82ee0552}" done="0">
    <x18tc:text xml:space="preserve">No SV for this page</x18tc:text>
  </x18tc:threadedComment>
  <x18tc:threadedComment ref="A1" dT="2026-01-12T13:48:50.00" personId="{26cbb841-0150-4a1f-b7c9-aea0b5f59556}" id="{98cc79fe-87c2-4039-9560-8085ea0d2f80}" parentId="{b6589e03-13b4-4ab5-9750-e9ce82ee0552}">
    <x18tc:text xml:space="preserve">Study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6-02-03T16:17:48.00" personId="{c160b50c-b538-4a5e-b412-dc50c69afc28}" id="{5d900ab9-cb2b-4360-8ded-59897db762ec}" done="0">
    <x18tc:text xml:space="preserve">Need to add an item for "Mini backpack" too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1-29T16:39:06.00" personId="{98179ccc-3a2a-447d-8ff0-1db4dc169c3e}" id="{16aa1bcf-0fd6-4fd1-9c12-52f911333473}" done="0">
    <x18tc:text xml:space="preserve">Link to Media Hub with copy explaining you can find Placement Templates, Campaign Assets, Product Assets, Printability Notes here.</x18tc:text>
  </x18tc:threadedComment>
  <x18tc:threadedComment ref="G9" dT="2026-01-27T14:12:20.00" personId="{98179ccc-3a2a-447d-8ff0-1db4dc169c3e}" id="{fbb03998-013d-44fa-8ff8-ba0b8052deb4}" done="0">
    <x18tc:text xml:space="preserve">Watch page using all the YT videos. Inspiration on how to decorate.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1-16T11:42:25.00" personId="{98179ccc-3a2a-447d-8ff0-1db4dc169c3e}" id="{310fa07d-6562-44a3-9033-8c3e1d745d28}" done="1">
    <x18tc:text xml:space="preserve">Are these relevant for Distributors as well as Decorators? Or just one of them?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7" dT="2026-01-30T10:19:21.00" personId="{26cbb841-0150-4a1f-b7c9-aea0b5f59556}" id="{f36ca5fd-8c08-4347-b6d4-5af77143f577}" done="0">
    <x18tc:text xml:space="preserve">Include information on 1% of the planet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bagbase.com/bagbase-inspiration-page" TargetMode="Externa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mediahub.beechfieldbrands.com/login/redirectToken/3F8C914A-C169-4EFB-B5FE72805708526C/" TargetMode="External"/><Relationship Id="rId5" Type="http://schemas.openxmlformats.org/officeDocument/2006/relationships/hyperlink" Target="https://mediahub.beechfieldbrands.com/login/redirectToken/3F8C914A-C169-4EFB-B5FE72805708526C/" TargetMode="External"/><Relationship Id="rId6" Type="http://schemas.openxmlformats.org/officeDocument/2006/relationships/hyperlink" Target="https://mediahub.beechfieldbrands.com/login/redirectToken/3F8C914A-C169-4EFB-B5FE72805708526C/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beechfieldbrands.com/" TargetMode="External"/><Relationship Id="rId2" Type="http://schemas.openxmlformats.org/officeDocument/2006/relationships/hyperlink" Target="https://beechfieldbrands.com/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odysia-cruise-uk.client.prod.eu-west.dreamlake.io/cruise-lines/norwegian-cruise-line/norwegian-aqu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390" Type="http://schemas.openxmlformats.org/officeDocument/2006/relationships/hyperlink" Target="https://odysia-cruise-uk.client.prod.eu-west.dreamlake.io/cruise-lines/virgin-voyages" TargetMode="External"/><Relationship Id="rId1" Type="http://schemas.openxmlformats.org/officeDocument/2006/relationships/hyperlink" Target="https://odysia-cruise-uk.client.prod.eu-west.dreamlake.io/" TargetMode="External"/><Relationship Id="rId2" Type="http://schemas.openxmlformats.org/officeDocument/2006/relationships/hyperlink" Target="https://odysia-cruise-uk.client.prod.eu-west.dreamlake.io/about-us" TargetMode="External"/><Relationship Id="rId3" Type="http://schemas.openxmlformats.org/officeDocument/2006/relationships/hyperlink" Target="https://odysia-cruise-uk.client.prod.eu-west.dreamlake.io/cruise-calendar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4" Type="http://schemas.openxmlformats.org/officeDocument/2006/relationships/hyperlink" Target="https://odysia-cruise-uk.client.prod.eu-west.dreamlake.io/cruise-deal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9" Type="http://schemas.openxmlformats.org/officeDocument/2006/relationships/hyperlink" Target="https://odysia-cruise-uk.client.prod.eu-west.dreamlake.io/cruise-deals/cruises-from-dover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264" Type="http://schemas.openxmlformats.org/officeDocument/2006/relationships/hyperlink" Target="https://odysia-cruise-uk.client.prod.eu-west.dreamlake.io/cruise-lines/po-cruises/ventura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261" Type="http://schemas.openxmlformats.org/officeDocument/2006/relationships/hyperlink" Target="https://odysia-cruise-uk.client.prod.eu-west.dreamlake.io/cruise-lines/po-cruises/cruises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5" Type="http://schemas.openxmlformats.org/officeDocument/2006/relationships/hyperlink" Target="https://odysia-cruise-uk.client.prod.eu-west.dreamlake.io/cruise-deals/2025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6" Type="http://schemas.openxmlformats.org/officeDocument/2006/relationships/hyperlink" Target="https://odysia-cruise-uk.client.prod.eu-west.dreamlake.io/cruise-deals/2026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7" Type="http://schemas.openxmlformats.org/officeDocument/2006/relationships/hyperlink" Target="https://odysia-cruise-uk.client.prod.eu-west.dreamlake.io/cruise-deals/2027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253" Type="http://schemas.openxmlformats.org/officeDocument/2006/relationships/hyperlink" Target="https://odysia-cruise-uk.client.prod.eu-west.dreamlake.io/cruise-lines/po-cruises/arvia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251" Type="http://schemas.openxmlformats.org/officeDocument/2006/relationships/hyperlink" Target="https://odysia-cruise-uk.client.prod.eu-west.dreamlake.io/cruise-lines/po-cruises/arcadia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250" Type="http://schemas.openxmlformats.org/officeDocument/2006/relationships/hyperlink" Target="https://odysia-cruise-uk.client.prod.eu-west.dreamlake.io/cruise-lines/po-cruises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257" Type="http://schemas.openxmlformats.org/officeDocument/2006/relationships/hyperlink" Target="https://odysia-cruise-uk.client.prod.eu-west.dreamlake.io/cruise-lines/po-cruises/azur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377" Type="http://schemas.openxmlformats.org/officeDocument/2006/relationships/hyperlink" Target="https://odysia-cruise-uk.client.prod.eu-west.dreamlake.io/cruise-lines/seabourn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255" Type="http://schemas.openxmlformats.org/officeDocument/2006/relationships/hyperlink" Target="https://odysia-cruise-uk.client.prod.eu-west.dreamlake.io/cruise-lines/po-cruises/aurora" TargetMode="External"/><Relationship Id="rId376" Type="http://schemas.openxmlformats.org/officeDocument/2006/relationships/hyperlink" Target="https://odysia-cruise-uk.client.prod.eu-west.dreamlake.io/cruise-lines/seabourn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30" Type="http://schemas.openxmlformats.org/officeDocument/2006/relationships/hyperlink" Target="https://odysia-cruise-uk.client.prod.eu-west.dreamlake.io/cruise-lines/azamara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39" Type="http://schemas.openxmlformats.org/officeDocument/2006/relationships/hyperlink" Target="https://odysia-cruise-uk.client.prod.eu-west.dreamlake.io/cruise-lines/celebrity-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21" Type="http://schemas.openxmlformats.org/officeDocument/2006/relationships/hyperlink" Target="https://odysia-cruise-uk.client.prod.eu-west.dreamlake.io/cruise-line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409" Type="http://schemas.openxmlformats.org/officeDocument/2006/relationships/hyperlink" Target="https://odysia-cruise-uk.client.prod.eu-west.dreamlake.io/destinations/canary-islands" TargetMode="External"/><Relationship Id="rId404" Type="http://schemas.openxmlformats.org/officeDocument/2006/relationships/hyperlink" Target="https://odysia-cruise-uk.client.prod.eu-west.dreamlake.io/destinations/australasia" TargetMode="External"/><Relationship Id="rId403" Type="http://schemas.openxmlformats.org/officeDocument/2006/relationships/hyperlink" Target="https://odysia-cruise-uk.client.prod.eu-west.dreamlake.io/destinations/africa/cruises" TargetMode="External"/><Relationship Id="rId402" Type="http://schemas.openxmlformats.org/officeDocument/2006/relationships/hyperlink" Target="https://odysia-cruise-uk.client.prod.eu-west.dreamlake.io/destinations/africa" TargetMode="External"/><Relationship Id="rId401" Type="http://schemas.openxmlformats.org/officeDocument/2006/relationships/hyperlink" Target="https://odysia-cruise-uk.client.prod.eu-west.dreamlake.io/destinations" TargetMode="External"/><Relationship Id="rId408" Type="http://schemas.openxmlformats.org/officeDocument/2006/relationships/hyperlink" Target="https://odysia-cruise-uk.client.prod.eu-west.dreamlake.io/destinations/canada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400" Type="http://schemas.openxmlformats.org/officeDocument/2006/relationships/hyperlink" Target="https://odysia-cruise-uk.client.prod.eu-west.dreamlake.io/cruise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5" Type="http://schemas.openxmlformats.org/officeDocument/2006/relationships/hyperlink" Target="https://odysia-cruise-uk.client.prod.eu-west.dreamlake.io/cruise-deals/cruises-from-the-uk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17" Type="http://schemas.openxmlformats.org/officeDocument/2006/relationships/hyperlink" Target="https://odysia-cruise-uk.client.prod.eu-west.dreamlake.io/cruise-deals/family-cruise-deals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19" Type="http://schemas.openxmlformats.org/officeDocument/2006/relationships/hyperlink" Target="https://odysia-cruise-uk.client.prod.eu-west.dreamlake.io/cruise-deals/last-minute-cruises" TargetMode="External"/><Relationship Id="rId18" Type="http://schemas.openxmlformats.org/officeDocument/2006/relationships/hyperlink" Target="https://odysia-cruise-uk.client.prod.eu-west.dreamlake.io/cruise-deals/fly-cruise-deals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71" Type="http://schemas.openxmlformats.org/officeDocument/2006/relationships/hyperlink" Target="https://odysia-cruise-uk.client.prod.eu-west.dreamlake.io/cruise-lines/costa-cruises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109" Type="http://schemas.openxmlformats.org/officeDocument/2006/relationships/hyperlink" Target="https://odysia-cruise-uk.client.prod.eu-west.dreamlake.io/cruise-lines/fred-olsen-cruises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101" Type="http://schemas.openxmlformats.org/officeDocument/2006/relationships/hyperlink" Target="https://odysia-cruise-uk.client.prod.eu-west.dreamlake.io/cruise-lines/explora-journey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91" Type="http://schemas.openxmlformats.org/officeDocument/2006/relationships/hyperlink" Target="https://odysia-cruise-uk.client.prod.eu-west.dreamlake.io/cruise-lines/cunard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93" Type="http://schemas.openxmlformats.org/officeDocument/2006/relationships/hyperlink" Target="https://odysia-cruise-uk.client.prod.eu-west.dreamlake.io/cruise-lines/cunard/queen-anne" TargetMode="External"/><Relationship Id="rId92" Type="http://schemas.openxmlformats.org/officeDocument/2006/relationships/hyperlink" Target="https://odysia-cruise-uk.client.prod.eu-west.dreamlake.io/cruise-lines/cunard/cruises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117" Type="http://schemas.openxmlformats.org/officeDocument/2006/relationships/hyperlink" Target="https://odysia-cruise-uk.client.prod.eu-west.dreamlake.io/cruise-lines/holland-america-line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233" Type="http://schemas.openxmlformats.org/officeDocument/2006/relationships/hyperlink" Target="https://odysia-cruise-uk.client.prod.eu-west.dreamlake.io/cruise-lines/oceania-cruises/cruise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232" Type="http://schemas.openxmlformats.org/officeDocument/2006/relationships/hyperlink" Target="https://odysia-cruise-uk.client.prod.eu-west.dreamlake.io/cruise-lines/oceania-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423" Type="http://schemas.openxmlformats.org/officeDocument/2006/relationships/hyperlink" Target="https://odysia-cruise-uk.client.prod.eu-west.dreamlake.io/destinations/northern-europe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421" Type="http://schemas.openxmlformats.org/officeDocument/2006/relationships/hyperlink" Target="https://odysia-cruise-uk.client.prod.eu-west.dreamlake.io/destinations/north-americ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415" Type="http://schemas.openxmlformats.org/officeDocument/2006/relationships/hyperlink" Target="https://odysia-cruise-uk.client.prod.eu-west.dreamlake.io/destinations/far-east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412" Type="http://schemas.openxmlformats.org/officeDocument/2006/relationships/hyperlink" Target="https://odysia-cruise-uk.client.prod.eu-west.dreamlake.io/destinations/caribbean/cruises" TargetMode="External"/><Relationship Id="rId419" Type="http://schemas.openxmlformats.org/officeDocument/2006/relationships/hyperlink" Target="https://odysia-cruise-uk.client.prod.eu-west.dreamlake.io/destinations/middle-east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417" Type="http://schemas.openxmlformats.org/officeDocument/2006/relationships/hyperlink" Target="https://odysia-cruise-uk.client.prod.eu-west.dreamlake.io/destinations/mediterranean" TargetMode="External"/><Relationship Id="rId416" Type="http://schemas.openxmlformats.org/officeDocument/2006/relationships/hyperlink" Target="https://odysia-cruise-uk.client.prod.eu-west.dreamlake.io/destinations/far-east/cruises" TargetMode="External"/><Relationship Id="rId411" Type="http://schemas.openxmlformats.org/officeDocument/2006/relationships/hyperlink" Target="https://odysia-cruise-uk.client.prod.eu-west.dreamlake.io/destinations/caribbean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315" Type="http://schemas.openxmlformats.org/officeDocument/2006/relationships/hyperlink" Target="https://odysia-cruise-uk.client.prod.eu-west.dreamlake.io/cruise-lines/royal-caribbean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435" Type="http://schemas.openxmlformats.org/officeDocument/2006/relationships/drawing" Target="../drawings/drawing14.xm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434" Type="http://schemas.openxmlformats.org/officeDocument/2006/relationships/hyperlink" Target="https://odysia-cruise-uk.client.prod.eu-west.dreamlake.io/destinations/world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433" Type="http://schemas.openxmlformats.org/officeDocument/2006/relationships/hyperlink" Target="https://odysia-cruise-uk.client.prod.eu-west.dreamlake.io/destinations/world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431" Type="http://schemas.openxmlformats.org/officeDocument/2006/relationships/hyperlink" Target="https://odysia-cruise-uk.client.prod.eu-west.dreamlake.io/destinations/transatlantic" TargetMode="External"/><Relationship Id="rId430" Type="http://schemas.openxmlformats.org/officeDocument/2006/relationships/hyperlink" Target="https://odysia-cruise-uk.client.prod.eu-west.dreamlake.io/destinations/scandinavia-baltic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40.13"/>
    <col customWidth="1" min="4" max="5" width="40.75"/>
    <col customWidth="1" min="6" max="8" width="34.0"/>
    <col customWidth="1" min="9" max="10" width="36.13"/>
    <col customWidth="1" min="11" max="13" width="3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73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4"/>
      <c r="L2" s="4"/>
      <c r="M2" s="4"/>
    </row>
    <row r="3" ht="16.5" customHeight="1">
      <c r="A3" s="5"/>
      <c r="B3" s="6"/>
      <c r="K3" s="7"/>
      <c r="L3" s="7"/>
      <c r="M3" s="7"/>
    </row>
    <row r="4">
      <c r="A4" s="8"/>
      <c r="B4" s="9" t="s">
        <v>0</v>
      </c>
      <c r="G4" s="10" t="s">
        <v>1</v>
      </c>
      <c r="H4" s="11" t="s">
        <v>2</v>
      </c>
      <c r="I4" s="11" t="s">
        <v>3</v>
      </c>
      <c r="J4" s="11" t="s">
        <v>4</v>
      </c>
      <c r="K4" s="11" t="s">
        <v>5</v>
      </c>
      <c r="L4" s="11" t="s">
        <v>6</v>
      </c>
      <c r="M4" s="11" t="s">
        <v>7</v>
      </c>
    </row>
    <row r="5">
      <c r="A5" s="12"/>
      <c r="B5" s="13" t="s">
        <v>8</v>
      </c>
      <c r="C5" s="13" t="s">
        <v>9</v>
      </c>
      <c r="D5" s="14" t="s">
        <v>10</v>
      </c>
      <c r="E5" s="14" t="s">
        <v>11</v>
      </c>
      <c r="F5" s="15" t="s">
        <v>12</v>
      </c>
      <c r="G5" s="16" t="s">
        <v>13</v>
      </c>
      <c r="H5" s="15" t="s">
        <v>14</v>
      </c>
      <c r="I5" s="13" t="s">
        <v>15</v>
      </c>
      <c r="J5" s="17" t="s">
        <v>16</v>
      </c>
      <c r="K5" s="15" t="s">
        <v>17</v>
      </c>
      <c r="L5" s="15" t="s">
        <v>18</v>
      </c>
      <c r="M5" s="15" t="s">
        <v>7</v>
      </c>
    </row>
    <row r="6">
      <c r="A6" s="12"/>
      <c r="B6" s="18" t="s">
        <v>19</v>
      </c>
      <c r="C6" s="19" t="s">
        <v>20</v>
      </c>
      <c r="D6" s="19" t="s">
        <v>21</v>
      </c>
      <c r="E6" s="20" t="s">
        <v>22</v>
      </c>
      <c r="F6" s="21" t="s">
        <v>23</v>
      </c>
      <c r="G6" s="22" t="s">
        <v>24</v>
      </c>
      <c r="H6" s="12" t="s">
        <v>25</v>
      </c>
      <c r="I6" s="23" t="s">
        <v>26</v>
      </c>
      <c r="J6" s="24" t="s">
        <v>27</v>
      </c>
      <c r="K6" s="25" t="s">
        <v>28</v>
      </c>
      <c r="L6" s="26" t="s">
        <v>29</v>
      </c>
      <c r="M6" s="27"/>
    </row>
    <row r="7">
      <c r="A7" s="12"/>
      <c r="B7" s="28" t="s">
        <v>30</v>
      </c>
      <c r="C7" s="29" t="s">
        <v>31</v>
      </c>
      <c r="D7" s="29" t="s">
        <v>32</v>
      </c>
      <c r="E7" s="26" t="s">
        <v>33</v>
      </c>
      <c r="F7" s="21" t="s">
        <v>34</v>
      </c>
      <c r="G7" s="30" t="s">
        <v>35</v>
      </c>
      <c r="H7" s="31" t="s">
        <v>36</v>
      </c>
      <c r="I7" s="32" t="s">
        <v>37</v>
      </c>
      <c r="J7" s="33" t="s">
        <v>38</v>
      </c>
      <c r="K7" s="34" t="s">
        <v>39</v>
      </c>
      <c r="L7" s="28" t="s">
        <v>40</v>
      </c>
      <c r="M7" s="27"/>
    </row>
    <row r="8">
      <c r="A8" s="12"/>
      <c r="B8" s="28" t="s">
        <v>41</v>
      </c>
      <c r="C8" s="29" t="s">
        <v>42</v>
      </c>
      <c r="D8" s="29" t="s">
        <v>43</v>
      </c>
      <c r="E8" s="26" t="s">
        <v>44</v>
      </c>
      <c r="F8" s="35" t="s">
        <v>45</v>
      </c>
      <c r="G8" s="30" t="s">
        <v>46</v>
      </c>
      <c r="H8" s="36"/>
      <c r="I8" s="37" t="s">
        <v>47</v>
      </c>
      <c r="J8" s="33" t="s">
        <v>48</v>
      </c>
      <c r="K8" s="12"/>
      <c r="L8" s="38" t="s">
        <v>49</v>
      </c>
      <c r="M8" s="27"/>
    </row>
    <row r="9">
      <c r="A9" s="12"/>
      <c r="B9" s="26" t="s">
        <v>50</v>
      </c>
      <c r="C9" s="29" t="s">
        <v>51</v>
      </c>
      <c r="D9" s="29" t="s">
        <v>52</v>
      </c>
      <c r="E9" s="26" t="s">
        <v>53</v>
      </c>
      <c r="F9" s="21" t="s">
        <v>54</v>
      </c>
      <c r="G9" s="39" t="s">
        <v>55</v>
      </c>
      <c r="H9" s="36"/>
      <c r="I9" s="40" t="s">
        <v>56</v>
      </c>
      <c r="J9" s="33" t="s">
        <v>57</v>
      </c>
      <c r="K9" s="12"/>
      <c r="L9" s="27"/>
      <c r="M9" s="27"/>
    </row>
    <row r="10">
      <c r="A10" s="12"/>
      <c r="B10" s="26" t="s">
        <v>58</v>
      </c>
      <c r="C10" s="29" t="s">
        <v>59</v>
      </c>
      <c r="D10" s="29" t="s">
        <v>60</v>
      </c>
      <c r="E10" s="26" t="s">
        <v>61</v>
      </c>
      <c r="F10" s="21" t="s">
        <v>62</v>
      </c>
      <c r="G10" s="39" t="s">
        <v>63</v>
      </c>
      <c r="H10" s="36"/>
      <c r="I10" s="41" t="s">
        <v>64</v>
      </c>
      <c r="J10" s="33" t="s">
        <v>65</v>
      </c>
      <c r="K10" s="12"/>
      <c r="L10" s="42"/>
      <c r="M10" s="42"/>
    </row>
    <row r="11">
      <c r="A11" s="12"/>
      <c r="B11" s="43" t="s">
        <v>66</v>
      </c>
      <c r="C11" s="29" t="s">
        <v>67</v>
      </c>
      <c r="D11" s="29" t="s">
        <v>68</v>
      </c>
      <c r="E11" s="26" t="s">
        <v>69</v>
      </c>
      <c r="F11" s="21" t="s">
        <v>70</v>
      </c>
      <c r="G11" s="39" t="s">
        <v>71</v>
      </c>
      <c r="H11" s="36"/>
      <c r="I11" s="44" t="s">
        <v>72</v>
      </c>
      <c r="J11" s="21" t="s">
        <v>73</v>
      </c>
      <c r="K11" s="12"/>
      <c r="L11" s="12"/>
      <c r="M11" s="12"/>
    </row>
    <row r="12">
      <c r="A12" s="12"/>
      <c r="B12" s="27"/>
      <c r="C12" s="29" t="s">
        <v>74</v>
      </c>
      <c r="D12" s="45" t="s">
        <v>75</v>
      </c>
      <c r="E12" s="26" t="s">
        <v>76</v>
      </c>
      <c r="F12" s="46" t="s">
        <v>77</v>
      </c>
      <c r="G12" s="39" t="s">
        <v>78</v>
      </c>
      <c r="H12" s="36"/>
      <c r="I12" s="12"/>
      <c r="J12" s="43" t="s">
        <v>79</v>
      </c>
      <c r="K12" s="47"/>
      <c r="L12" s="48"/>
      <c r="M12" s="12"/>
    </row>
    <row r="13">
      <c r="A13" s="12"/>
      <c r="B13" s="27"/>
      <c r="C13" s="43" t="s">
        <v>80</v>
      </c>
      <c r="D13" s="12"/>
      <c r="E13" s="26" t="s">
        <v>81</v>
      </c>
      <c r="F13" s="12"/>
      <c r="G13" s="49" t="s">
        <v>82</v>
      </c>
      <c r="H13" s="36"/>
      <c r="I13" s="12"/>
      <c r="J13" s="50"/>
      <c r="K13" s="47"/>
      <c r="L13" s="51"/>
      <c r="M13" s="12"/>
    </row>
    <row r="14">
      <c r="A14" s="12"/>
      <c r="B14" s="27"/>
      <c r="C14" s="12"/>
      <c r="D14" s="12"/>
      <c r="E14" s="26" t="s">
        <v>83</v>
      </c>
      <c r="F14" s="12"/>
      <c r="G14" s="12"/>
      <c r="H14" s="12"/>
      <c r="I14" s="12"/>
      <c r="J14" s="12"/>
      <c r="K14" s="47"/>
      <c r="L14" s="51"/>
      <c r="M14" s="12"/>
    </row>
    <row r="15">
      <c r="A15" s="12"/>
      <c r="B15" s="27"/>
      <c r="C15" s="12"/>
      <c r="D15" s="12"/>
      <c r="E15" s="26" t="s">
        <v>84</v>
      </c>
      <c r="F15" s="52"/>
      <c r="G15" s="12"/>
      <c r="H15" s="12"/>
      <c r="I15" s="12"/>
      <c r="J15" s="50"/>
      <c r="K15" s="47"/>
      <c r="L15" s="51"/>
      <c r="M15" s="12"/>
    </row>
    <row r="16">
      <c r="A16" s="12"/>
      <c r="B16" s="27"/>
      <c r="C16" s="12"/>
      <c r="D16" s="12"/>
      <c r="E16" s="26" t="s">
        <v>85</v>
      </c>
      <c r="F16" s="52"/>
      <c r="G16" s="12"/>
      <c r="H16" s="12"/>
      <c r="I16" s="12"/>
      <c r="J16" s="50"/>
      <c r="K16" s="12"/>
      <c r="L16" s="51"/>
      <c r="M16" s="12"/>
    </row>
    <row r="17">
      <c r="A17" s="12"/>
      <c r="B17" s="27"/>
      <c r="C17" s="36"/>
      <c r="D17" s="12"/>
      <c r="E17" s="53" t="s">
        <v>86</v>
      </c>
      <c r="F17" s="52"/>
      <c r="G17" s="12"/>
      <c r="H17" s="12"/>
      <c r="I17" s="12"/>
      <c r="J17" s="12"/>
      <c r="K17" s="12"/>
      <c r="L17" s="51"/>
      <c r="M17" s="12"/>
    </row>
    <row r="18">
      <c r="A18" s="12"/>
      <c r="B18" s="27"/>
      <c r="C18" s="36"/>
      <c r="D18" s="12"/>
      <c r="E18" s="26" t="s">
        <v>87</v>
      </c>
      <c r="F18" s="52"/>
      <c r="G18" s="12"/>
      <c r="H18" s="12"/>
      <c r="I18" s="12"/>
      <c r="J18" s="12"/>
      <c r="K18" s="12"/>
      <c r="L18" s="12"/>
      <c r="M18" s="12"/>
    </row>
    <row r="19">
      <c r="A19" s="12"/>
      <c r="B19" s="27"/>
      <c r="C19" s="12"/>
      <c r="D19" s="12"/>
      <c r="E19" s="43" t="s">
        <v>88</v>
      </c>
      <c r="F19" s="52"/>
      <c r="G19" s="12"/>
      <c r="H19" s="12"/>
      <c r="I19" s="12"/>
      <c r="J19" s="12"/>
      <c r="K19" s="12"/>
      <c r="L19" s="12"/>
      <c r="M19" s="12"/>
    </row>
    <row r="20">
      <c r="A20" s="12"/>
      <c r="B20" s="27"/>
      <c r="C20" s="36"/>
      <c r="D20" s="12"/>
      <c r="E20" s="12"/>
      <c r="F20" s="52"/>
      <c r="G20" s="12"/>
      <c r="H20" s="12"/>
      <c r="I20" s="12"/>
      <c r="J20" s="12"/>
      <c r="K20" s="12"/>
      <c r="L20" s="12"/>
      <c r="M20" s="12"/>
    </row>
    <row r="21">
      <c r="A21" s="12"/>
      <c r="B21" s="27"/>
      <c r="C21" s="36"/>
      <c r="D21" s="12"/>
      <c r="E21" s="12"/>
      <c r="F21" s="52"/>
      <c r="G21" s="12"/>
      <c r="H21" s="12"/>
      <c r="I21" s="12"/>
      <c r="J21" s="12"/>
      <c r="K21" s="12"/>
      <c r="L21" s="12"/>
      <c r="M21" s="12"/>
    </row>
    <row r="22">
      <c r="A22" s="12"/>
      <c r="B22" s="27"/>
      <c r="C22" s="36"/>
      <c r="D22" s="12"/>
      <c r="E22" s="12"/>
      <c r="F22" s="52"/>
      <c r="G22" s="12"/>
      <c r="H22" s="12"/>
      <c r="I22" s="12"/>
      <c r="J22" s="12"/>
      <c r="K22" s="12"/>
      <c r="L22" s="12"/>
      <c r="M22" s="12"/>
    </row>
    <row r="23">
      <c r="A23" s="12"/>
      <c r="B23" s="27"/>
      <c r="C23" s="36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>
      <c r="A24" s="12"/>
      <c r="B24" s="27"/>
      <c r="C24" s="36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>
      <c r="A25" s="12"/>
      <c r="B25" s="27"/>
      <c r="C25" s="36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>
      <c r="A26" s="12"/>
      <c r="B26" s="54"/>
      <c r="C26" s="36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>
      <c r="A30" s="12"/>
      <c r="B30" s="5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>
      <c r="A32" s="12"/>
      <c r="B32" s="55" t="s">
        <v>89</v>
      </c>
      <c r="C32" s="56"/>
      <c r="D32" s="57"/>
      <c r="E32" s="12"/>
      <c r="F32" s="12"/>
      <c r="G32" s="12"/>
      <c r="H32" s="12"/>
      <c r="I32" s="12"/>
      <c r="J32" s="12"/>
      <c r="K32" s="12"/>
      <c r="L32" s="12"/>
      <c r="M32" s="12"/>
    </row>
    <row r="33">
      <c r="A33" s="12"/>
      <c r="B33" s="20" t="s">
        <v>90</v>
      </c>
      <c r="C33" s="21"/>
      <c r="D33" s="58" t="s">
        <v>91</v>
      </c>
      <c r="E33" s="12"/>
      <c r="F33" s="12"/>
      <c r="G33" s="12"/>
      <c r="H33" s="12"/>
      <c r="I33" s="12"/>
      <c r="J33" s="12"/>
      <c r="K33" s="12"/>
      <c r="L33" s="12"/>
      <c r="M33" s="12"/>
    </row>
    <row r="34">
      <c r="A34" s="12"/>
      <c r="B34" s="20" t="s">
        <v>5</v>
      </c>
      <c r="C34" s="21"/>
      <c r="D34" s="20" t="s">
        <v>92</v>
      </c>
      <c r="E34" s="12"/>
      <c r="F34" s="12"/>
      <c r="G34" s="12"/>
      <c r="H34" s="12"/>
      <c r="I34" s="12"/>
      <c r="J34" s="12"/>
      <c r="K34" s="12"/>
      <c r="L34" s="12"/>
      <c r="M34" s="12"/>
    </row>
    <row r="35">
      <c r="A35" s="36"/>
      <c r="B35" s="26" t="s">
        <v>73</v>
      </c>
      <c r="C35" s="21"/>
      <c r="D35" s="26" t="s">
        <v>93</v>
      </c>
      <c r="E35" s="12"/>
      <c r="F35" s="12"/>
      <c r="G35" s="12"/>
      <c r="H35" s="12"/>
      <c r="I35" s="12"/>
      <c r="J35" s="12"/>
      <c r="K35" s="12"/>
      <c r="L35" s="12"/>
      <c r="M35" s="12"/>
    </row>
    <row r="36">
      <c r="A36" s="36"/>
      <c r="B36" s="26" t="s">
        <v>7</v>
      </c>
      <c r="C36" s="21"/>
      <c r="D36" s="43" t="s">
        <v>94</v>
      </c>
      <c r="E36" s="12"/>
      <c r="F36" s="12"/>
      <c r="G36" s="12"/>
      <c r="H36" s="12"/>
      <c r="I36" s="12"/>
      <c r="J36" s="12"/>
      <c r="K36" s="12"/>
      <c r="L36" s="12"/>
      <c r="M36" s="12"/>
    </row>
    <row r="37">
      <c r="A37" s="36"/>
      <c r="B37" s="26" t="s">
        <v>49</v>
      </c>
      <c r="C37" s="27"/>
      <c r="D37" s="36"/>
      <c r="E37" s="12"/>
      <c r="F37" s="12"/>
      <c r="G37" s="12"/>
      <c r="H37" s="12"/>
      <c r="I37" s="12"/>
      <c r="J37" s="12"/>
      <c r="K37" s="12"/>
      <c r="L37" s="12"/>
      <c r="M37" s="12"/>
    </row>
    <row r="38">
      <c r="A38" s="36"/>
      <c r="B38" s="28" t="s">
        <v>40</v>
      </c>
      <c r="C38" s="27"/>
      <c r="D38" s="36"/>
      <c r="E38" s="12"/>
      <c r="F38" s="12"/>
      <c r="G38" s="12"/>
      <c r="H38" s="12"/>
      <c r="I38" s="12"/>
      <c r="J38" s="12"/>
      <c r="K38" s="12"/>
      <c r="L38" s="12"/>
      <c r="M38" s="12"/>
    </row>
    <row r="39">
      <c r="A39" s="36"/>
      <c r="B39" s="26" t="s">
        <v>72</v>
      </c>
      <c r="C39" s="27"/>
      <c r="D39" s="36"/>
      <c r="E39" s="12"/>
      <c r="F39" s="12"/>
      <c r="G39" s="12"/>
      <c r="H39" s="12"/>
      <c r="I39" s="12"/>
      <c r="J39" s="12"/>
      <c r="K39" s="12"/>
      <c r="L39" s="12"/>
      <c r="M39" s="12"/>
    </row>
    <row r="40">
      <c r="A40" s="36"/>
      <c r="B40" s="26" t="s">
        <v>95</v>
      </c>
      <c r="C40" s="27"/>
      <c r="D40" s="36"/>
      <c r="E40" s="12"/>
      <c r="F40" s="12"/>
      <c r="G40" s="12"/>
      <c r="H40" s="12"/>
      <c r="I40" s="12"/>
      <c r="J40" s="12"/>
      <c r="K40" s="12"/>
      <c r="L40" s="12"/>
      <c r="M40" s="12"/>
    </row>
    <row r="41">
      <c r="A41" s="36"/>
      <c r="B41" s="43" t="s">
        <v>79</v>
      </c>
      <c r="C41" s="27"/>
      <c r="D41" s="36"/>
      <c r="E41" s="12"/>
      <c r="F41" s="12"/>
      <c r="G41" s="12"/>
      <c r="H41" s="12"/>
      <c r="I41" s="12"/>
      <c r="J41" s="12"/>
      <c r="K41" s="12"/>
      <c r="L41" s="12"/>
      <c r="M41" s="12"/>
    </row>
    <row r="42">
      <c r="A42" s="36"/>
      <c r="B42" s="12"/>
      <c r="C42" s="36"/>
      <c r="D42" s="36"/>
      <c r="E42" s="12"/>
      <c r="F42" s="12"/>
      <c r="G42" s="12"/>
      <c r="H42" s="12"/>
      <c r="I42" s="12"/>
      <c r="J42" s="12"/>
      <c r="K42" s="12"/>
      <c r="L42" s="12"/>
      <c r="M42" s="12"/>
    </row>
    <row r="43">
      <c r="A43" s="36"/>
      <c r="B43" s="12"/>
      <c r="C43" s="36"/>
      <c r="D43" s="36"/>
      <c r="E43" s="12"/>
      <c r="F43" s="12"/>
      <c r="G43" s="12"/>
      <c r="H43" s="12"/>
      <c r="I43" s="12"/>
      <c r="J43" s="12"/>
      <c r="K43" s="12"/>
      <c r="L43" s="12"/>
      <c r="M43" s="12"/>
    </row>
    <row r="44">
      <c r="A44" s="36"/>
      <c r="B44" s="12"/>
      <c r="C44" s="36"/>
      <c r="D44" s="36"/>
      <c r="E44" s="12"/>
      <c r="F44" s="12"/>
      <c r="G44" s="12"/>
      <c r="H44" s="12"/>
      <c r="I44" s="12"/>
      <c r="J44" s="12"/>
      <c r="K44" s="12"/>
      <c r="L44" s="12"/>
      <c r="M44" s="12"/>
    </row>
    <row r="45">
      <c r="A45" s="36"/>
      <c r="B45" s="12"/>
      <c r="C45" s="48"/>
      <c r="D45" s="36"/>
      <c r="E45" s="12"/>
      <c r="F45" s="12"/>
      <c r="G45" s="12"/>
      <c r="H45" s="12"/>
      <c r="I45" s="12"/>
      <c r="J45" s="12"/>
      <c r="K45" s="12"/>
      <c r="L45" s="12"/>
      <c r="M45" s="12"/>
    </row>
    <row r="46">
      <c r="A46" s="36"/>
      <c r="B46" s="12"/>
      <c r="C46" s="36"/>
      <c r="D46" s="48"/>
      <c r="E46" s="12"/>
      <c r="F46" s="12"/>
      <c r="G46" s="12"/>
      <c r="H46" s="12"/>
      <c r="I46" s="12"/>
      <c r="J46" s="12"/>
      <c r="K46" s="12"/>
      <c r="L46" s="12"/>
      <c r="M46" s="12"/>
    </row>
    <row r="47">
      <c r="A47" s="36"/>
      <c r="B47" s="12"/>
      <c r="C47" s="36"/>
      <c r="D47" s="48"/>
      <c r="E47" s="12"/>
      <c r="F47" s="12"/>
      <c r="G47" s="12"/>
      <c r="H47" s="12"/>
      <c r="I47" s="12"/>
      <c r="J47" s="12"/>
      <c r="K47" s="12"/>
      <c r="L47" s="12"/>
      <c r="M47" s="12"/>
    </row>
    <row r="48">
      <c r="A48" s="36"/>
      <c r="B48" s="12"/>
      <c r="C48" s="36"/>
      <c r="D48" s="48"/>
      <c r="E48" s="12"/>
      <c r="F48" s="12"/>
      <c r="G48" s="12"/>
      <c r="H48" s="12"/>
      <c r="I48" s="12"/>
      <c r="J48" s="12"/>
      <c r="K48" s="12"/>
      <c r="L48" s="12"/>
      <c r="M48" s="12"/>
    </row>
    <row r="49">
      <c r="A49" s="36"/>
      <c r="B49" s="12"/>
      <c r="C49" s="36"/>
      <c r="D49" s="48"/>
      <c r="E49" s="12"/>
      <c r="F49" s="12"/>
      <c r="G49" s="12"/>
      <c r="H49" s="12"/>
      <c r="I49" s="12"/>
      <c r="J49" s="12"/>
      <c r="K49" s="12"/>
      <c r="L49" s="12"/>
      <c r="M49" s="12"/>
    </row>
    <row r="50">
      <c r="A50" s="36"/>
      <c r="B50" s="12"/>
      <c r="C50" s="36"/>
      <c r="D50" s="48"/>
      <c r="E50" s="12"/>
      <c r="F50" s="12"/>
      <c r="G50" s="12"/>
      <c r="H50" s="12"/>
      <c r="I50" s="12"/>
      <c r="J50" s="12"/>
      <c r="K50" s="12"/>
      <c r="L50" s="12"/>
      <c r="M50" s="12"/>
    </row>
  </sheetData>
  <mergeCells count="3">
    <mergeCell ref="B3:J3"/>
    <mergeCell ref="B4:F4"/>
    <mergeCell ref="B32:D3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3.88"/>
    <col customWidth="1" min="6" max="6" width="5.0"/>
  </cols>
  <sheetData>
    <row r="1" ht="15.0" customHeight="1">
      <c r="A1" s="12"/>
      <c r="B1" s="59"/>
      <c r="C1" s="59"/>
      <c r="D1" s="60"/>
      <c r="E1" s="60"/>
      <c r="F1" s="61"/>
    </row>
    <row r="2" ht="73.5" customHeight="1">
      <c r="A2" s="12"/>
      <c r="B2" s="62"/>
      <c r="C2" s="63"/>
      <c r="D2" s="64"/>
      <c r="E2" s="64"/>
      <c r="F2" s="61"/>
    </row>
    <row r="3">
      <c r="A3" s="12"/>
      <c r="B3" s="65" t="s">
        <v>96</v>
      </c>
      <c r="E3" s="66"/>
      <c r="F3" s="61"/>
    </row>
    <row r="4">
      <c r="A4" s="12"/>
      <c r="B4" s="67" t="s">
        <v>97</v>
      </c>
      <c r="E4" s="66"/>
      <c r="F4" s="61"/>
    </row>
    <row r="5">
      <c r="A5" s="12"/>
      <c r="B5" s="68" t="s">
        <v>98</v>
      </c>
      <c r="C5" s="69" t="s">
        <v>99</v>
      </c>
      <c r="D5" s="70" t="s">
        <v>100</v>
      </c>
      <c r="E5" s="71" t="s">
        <v>101</v>
      </c>
      <c r="F5" s="61"/>
    </row>
    <row r="6">
      <c r="A6" s="12"/>
      <c r="B6" s="72" t="s">
        <v>19</v>
      </c>
      <c r="C6" s="73" t="s">
        <v>102</v>
      </c>
      <c r="D6" s="74" t="s">
        <v>103</v>
      </c>
      <c r="E6" s="24" t="s">
        <v>103</v>
      </c>
      <c r="F6" s="61"/>
    </row>
    <row r="7">
      <c r="A7" s="12"/>
      <c r="B7" s="75" t="s">
        <v>30</v>
      </c>
      <c r="C7" s="76" t="s">
        <v>104</v>
      </c>
      <c r="D7" s="12" t="s">
        <v>103</v>
      </c>
      <c r="E7" s="33" t="s">
        <v>103</v>
      </c>
      <c r="F7" s="61"/>
    </row>
    <row r="8">
      <c r="A8" s="12"/>
      <c r="B8" s="75" t="s">
        <v>41</v>
      </c>
      <c r="C8" s="76" t="s">
        <v>105</v>
      </c>
      <c r="D8" s="12" t="s">
        <v>103</v>
      </c>
      <c r="E8" s="33" t="s">
        <v>103</v>
      </c>
      <c r="F8" s="61"/>
    </row>
    <row r="9">
      <c r="A9" s="12"/>
      <c r="B9" s="29" t="s">
        <v>50</v>
      </c>
      <c r="C9" s="12" t="s">
        <v>106</v>
      </c>
      <c r="D9" s="12" t="s">
        <v>103</v>
      </c>
      <c r="E9" s="33" t="s">
        <v>103</v>
      </c>
      <c r="F9" s="12"/>
    </row>
    <row r="10">
      <c r="A10" s="12"/>
      <c r="B10" s="29" t="s">
        <v>58</v>
      </c>
      <c r="C10" s="12" t="s">
        <v>107</v>
      </c>
      <c r="D10" s="12" t="s">
        <v>103</v>
      </c>
      <c r="E10" s="33" t="s">
        <v>103</v>
      </c>
      <c r="F10" s="61"/>
    </row>
    <row r="11">
      <c r="A11" s="12"/>
      <c r="B11" s="77" t="s">
        <v>66</v>
      </c>
      <c r="C11" s="31" t="s">
        <v>108</v>
      </c>
      <c r="D11" s="31" t="s">
        <v>103</v>
      </c>
      <c r="E11" s="78" t="s">
        <v>103</v>
      </c>
      <c r="F11" s="61"/>
    </row>
    <row r="12">
      <c r="A12" s="12"/>
      <c r="B12" s="12"/>
      <c r="C12" s="12"/>
      <c r="D12" s="12"/>
      <c r="E12" s="61"/>
      <c r="F12" s="61"/>
    </row>
    <row r="13">
      <c r="A13" s="12"/>
      <c r="B13" s="12"/>
      <c r="C13" s="12"/>
      <c r="D13" s="12"/>
      <c r="E13" s="61"/>
      <c r="F13" s="61"/>
    </row>
    <row r="14">
      <c r="A14" s="12"/>
      <c r="B14" s="12"/>
      <c r="C14" s="12"/>
      <c r="D14" s="12"/>
      <c r="E14" s="61"/>
      <c r="F14" s="61"/>
    </row>
    <row r="15">
      <c r="A15" s="12"/>
      <c r="B15" s="12"/>
      <c r="C15" s="12"/>
      <c r="D15" s="12"/>
      <c r="E15" s="61"/>
      <c r="F15" s="61"/>
    </row>
    <row r="16">
      <c r="A16" s="12"/>
      <c r="B16" s="12"/>
      <c r="C16" s="12"/>
      <c r="D16" s="12"/>
      <c r="E16" s="61"/>
      <c r="F16" s="61"/>
    </row>
    <row r="17">
      <c r="A17" s="12"/>
      <c r="B17" s="12"/>
      <c r="C17" s="12"/>
      <c r="D17" s="12"/>
      <c r="E17" s="61"/>
      <c r="F17" s="61"/>
    </row>
    <row r="18">
      <c r="A18" s="12"/>
      <c r="B18" s="12"/>
      <c r="C18" s="12"/>
      <c r="D18" s="12"/>
      <c r="E18" s="61"/>
      <c r="F18" s="61"/>
    </row>
    <row r="19">
      <c r="A19" s="12"/>
      <c r="B19" s="12"/>
      <c r="C19" s="12"/>
      <c r="D19" s="12"/>
      <c r="E19" s="61"/>
      <c r="F19" s="61"/>
    </row>
  </sheetData>
  <mergeCells count="3">
    <mergeCell ref="B2:C2"/>
    <mergeCell ref="B3:E3"/>
    <mergeCell ref="B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9.88"/>
    <col customWidth="1" min="3" max="3" width="40.13"/>
    <col customWidth="1" min="4" max="4" width="27.88"/>
    <col customWidth="1" min="6" max="6" width="3.5"/>
    <col customWidth="1" min="7" max="7" width="29.5"/>
    <col customWidth="1" min="8" max="8" width="33.25"/>
    <col customWidth="1" min="9" max="9" width="23.75"/>
    <col customWidth="1" min="10" max="10" width="13.63"/>
  </cols>
  <sheetData>
    <row r="1" ht="15.0" customHeight="1">
      <c r="A1" s="79"/>
      <c r="B1" s="80"/>
      <c r="C1" s="80"/>
      <c r="D1" s="80"/>
      <c r="E1" s="80"/>
      <c r="F1" s="81"/>
      <c r="G1" s="82"/>
      <c r="H1" s="82"/>
      <c r="I1" s="82"/>
      <c r="J1" s="82"/>
    </row>
    <row r="2" ht="73.5" customHeight="1">
      <c r="A2" s="79"/>
      <c r="B2" s="83"/>
      <c r="C2" s="63"/>
      <c r="D2" s="63"/>
      <c r="E2" s="63"/>
      <c r="F2" s="63"/>
      <c r="G2" s="63"/>
      <c r="H2" s="63"/>
      <c r="I2" s="63"/>
      <c r="J2" s="63"/>
    </row>
    <row r="3">
      <c r="A3" s="79"/>
      <c r="B3" s="84" t="s">
        <v>109</v>
      </c>
      <c r="J3" s="66"/>
    </row>
    <row r="4">
      <c r="A4" s="79"/>
      <c r="B4" s="85" t="s">
        <v>97</v>
      </c>
      <c r="E4" s="66"/>
      <c r="F4" s="86"/>
      <c r="G4" s="85" t="s">
        <v>110</v>
      </c>
      <c r="J4" s="66"/>
    </row>
    <row r="5">
      <c r="A5" s="79"/>
      <c r="B5" s="87" t="s">
        <v>98</v>
      </c>
      <c r="C5" s="88" t="s">
        <v>99</v>
      </c>
      <c r="D5" s="89" t="s">
        <v>100</v>
      </c>
      <c r="E5" s="90" t="s">
        <v>101</v>
      </c>
      <c r="F5" s="86"/>
      <c r="G5" s="87" t="s">
        <v>98</v>
      </c>
      <c r="H5" s="88" t="s">
        <v>99</v>
      </c>
      <c r="I5" s="89" t="s">
        <v>100</v>
      </c>
      <c r="J5" s="90" t="s">
        <v>101</v>
      </c>
    </row>
    <row r="6">
      <c r="A6" s="79"/>
      <c r="B6" s="19" t="s">
        <v>20</v>
      </c>
      <c r="C6" s="73" t="s">
        <v>111</v>
      </c>
      <c r="D6" s="74" t="s">
        <v>112</v>
      </c>
      <c r="E6" s="24">
        <v>80.0</v>
      </c>
      <c r="F6" s="86"/>
      <c r="G6" s="91" t="s">
        <v>113</v>
      </c>
      <c r="H6" s="92" t="s">
        <v>114</v>
      </c>
      <c r="I6" s="93" t="s">
        <v>115</v>
      </c>
      <c r="J6" s="94" t="s">
        <v>116</v>
      </c>
    </row>
    <row r="7">
      <c r="A7" s="79"/>
      <c r="B7" s="95"/>
      <c r="E7" s="66"/>
      <c r="F7" s="86"/>
      <c r="G7" s="96" t="s">
        <v>117</v>
      </c>
      <c r="H7" s="97" t="s">
        <v>118</v>
      </c>
      <c r="I7" s="79" t="s">
        <v>119</v>
      </c>
      <c r="J7" s="98">
        <v>10.0</v>
      </c>
    </row>
    <row r="8">
      <c r="A8" s="79"/>
      <c r="B8" s="99"/>
      <c r="C8" s="100"/>
      <c r="D8" s="100"/>
      <c r="E8" s="101"/>
      <c r="F8" s="86"/>
      <c r="G8" s="102" t="s">
        <v>120</v>
      </c>
      <c r="H8" s="103" t="s">
        <v>121</v>
      </c>
      <c r="I8" s="104" t="s">
        <v>122</v>
      </c>
      <c r="J8" s="105">
        <v>40.0</v>
      </c>
    </row>
    <row r="9">
      <c r="A9" s="79"/>
      <c r="B9" s="19" t="s">
        <v>31</v>
      </c>
      <c r="C9" s="73" t="s">
        <v>123</v>
      </c>
      <c r="D9" s="74" t="s">
        <v>124</v>
      </c>
      <c r="E9" s="24" t="s">
        <v>116</v>
      </c>
      <c r="F9" s="86"/>
      <c r="G9" s="91" t="s">
        <v>125</v>
      </c>
      <c r="H9" s="92" t="s">
        <v>126</v>
      </c>
      <c r="I9" s="93" t="s">
        <v>127</v>
      </c>
      <c r="J9" s="94" t="s">
        <v>116</v>
      </c>
    </row>
    <row r="10">
      <c r="A10" s="79"/>
      <c r="B10" s="99"/>
      <c r="C10" s="100"/>
      <c r="D10" s="100"/>
      <c r="E10" s="101"/>
      <c r="F10" s="86"/>
      <c r="G10" s="102" t="s">
        <v>128</v>
      </c>
      <c r="H10" s="104" t="s">
        <v>129</v>
      </c>
      <c r="I10" s="104" t="s">
        <v>130</v>
      </c>
      <c r="J10" s="105" t="s">
        <v>116</v>
      </c>
    </row>
    <row r="11">
      <c r="A11" s="79"/>
      <c r="B11" s="19" t="s">
        <v>42</v>
      </c>
      <c r="C11" s="73" t="s">
        <v>131</v>
      </c>
      <c r="D11" s="74" t="s">
        <v>103</v>
      </c>
      <c r="E11" s="106"/>
      <c r="F11" s="86"/>
      <c r="G11" s="91" t="s">
        <v>132</v>
      </c>
      <c r="H11" s="92" t="s">
        <v>133</v>
      </c>
      <c r="I11" s="93" t="s">
        <v>134</v>
      </c>
      <c r="J11" s="107">
        <v>300.0</v>
      </c>
    </row>
    <row r="12">
      <c r="A12" s="79"/>
      <c r="B12" s="99"/>
      <c r="C12" s="100"/>
      <c r="D12" s="100"/>
      <c r="E12" s="101"/>
      <c r="F12" s="86"/>
      <c r="G12" s="102" t="s">
        <v>135</v>
      </c>
      <c r="H12" s="103" t="s">
        <v>136</v>
      </c>
      <c r="I12" s="104" t="s">
        <v>137</v>
      </c>
      <c r="J12" s="108">
        <v>10.0</v>
      </c>
    </row>
    <row r="13">
      <c r="A13" s="79"/>
      <c r="B13" s="109" t="s">
        <v>51</v>
      </c>
      <c r="C13" s="110" t="s">
        <v>138</v>
      </c>
      <c r="D13" s="111" t="s">
        <v>139</v>
      </c>
      <c r="E13" s="112" t="s">
        <v>116</v>
      </c>
      <c r="F13" s="86"/>
      <c r="G13" s="109" t="s">
        <v>103</v>
      </c>
      <c r="H13" s="56"/>
      <c r="I13" s="56"/>
      <c r="J13" s="57"/>
    </row>
    <row r="14">
      <c r="A14" s="79"/>
      <c r="B14" s="109" t="s">
        <v>59</v>
      </c>
      <c r="C14" s="110" t="s">
        <v>140</v>
      </c>
      <c r="D14" s="111" t="s">
        <v>141</v>
      </c>
      <c r="E14" s="112">
        <v>20.0</v>
      </c>
      <c r="F14" s="86"/>
      <c r="G14" s="109" t="s">
        <v>142</v>
      </c>
      <c r="H14" s="110" t="s">
        <v>143</v>
      </c>
      <c r="I14" s="111" t="s">
        <v>144</v>
      </c>
      <c r="J14" s="112" t="s">
        <v>116</v>
      </c>
    </row>
    <row r="15">
      <c r="A15" s="79"/>
      <c r="B15" s="109" t="s">
        <v>67</v>
      </c>
      <c r="C15" s="110" t="s">
        <v>145</v>
      </c>
      <c r="D15" s="111" t="s">
        <v>146</v>
      </c>
      <c r="E15" s="112">
        <v>20.0</v>
      </c>
      <c r="F15" s="86"/>
      <c r="G15" s="109" t="s">
        <v>103</v>
      </c>
      <c r="H15" s="56"/>
      <c r="I15" s="56"/>
      <c r="J15" s="57"/>
    </row>
    <row r="16">
      <c r="A16" s="79"/>
      <c r="B16" s="19" t="s">
        <v>74</v>
      </c>
      <c r="C16" s="73" t="s">
        <v>147</v>
      </c>
      <c r="D16" s="74" t="s">
        <v>148</v>
      </c>
      <c r="E16" s="24">
        <v>10.0</v>
      </c>
      <c r="F16" s="86"/>
      <c r="G16" s="91" t="s">
        <v>149</v>
      </c>
      <c r="H16" s="92" t="s">
        <v>150</v>
      </c>
      <c r="I16" s="93" t="s">
        <v>151</v>
      </c>
      <c r="J16" s="94" t="s">
        <v>116</v>
      </c>
    </row>
    <row r="17">
      <c r="A17" s="79"/>
      <c r="B17" s="95"/>
      <c r="E17" s="66"/>
      <c r="F17" s="86"/>
      <c r="G17" s="96" t="s">
        <v>152</v>
      </c>
      <c r="H17" s="97" t="s">
        <v>153</v>
      </c>
      <c r="I17" s="79" t="s">
        <v>154</v>
      </c>
      <c r="J17" s="98" t="s">
        <v>116</v>
      </c>
    </row>
    <row r="18">
      <c r="A18" s="79"/>
      <c r="B18" s="99"/>
      <c r="C18" s="100"/>
      <c r="D18" s="100"/>
      <c r="E18" s="101"/>
      <c r="F18" s="86"/>
      <c r="G18" s="102" t="s">
        <v>155</v>
      </c>
      <c r="H18" s="103" t="s">
        <v>156</v>
      </c>
      <c r="I18" s="104" t="s">
        <v>157</v>
      </c>
      <c r="J18" s="105">
        <v>30.0</v>
      </c>
    </row>
    <row r="19">
      <c r="A19" s="79"/>
      <c r="B19" s="19" t="s">
        <v>80</v>
      </c>
      <c r="C19" s="73" t="s">
        <v>158</v>
      </c>
      <c r="D19" s="74" t="s">
        <v>159</v>
      </c>
      <c r="E19" s="24" t="s">
        <v>116</v>
      </c>
      <c r="F19" s="86"/>
      <c r="G19" s="91" t="s">
        <v>160</v>
      </c>
      <c r="H19" s="92" t="s">
        <v>161</v>
      </c>
      <c r="I19" s="93" t="s">
        <v>162</v>
      </c>
      <c r="J19" s="94" t="s">
        <v>116</v>
      </c>
    </row>
    <row r="20">
      <c r="A20" s="79"/>
      <c r="B20" s="95"/>
      <c r="E20" s="66"/>
      <c r="F20" s="86"/>
      <c r="G20" s="96" t="s">
        <v>163</v>
      </c>
      <c r="H20" s="97" t="s">
        <v>164</v>
      </c>
      <c r="I20" s="79" t="s">
        <v>165</v>
      </c>
      <c r="J20" s="113">
        <v>40.0</v>
      </c>
    </row>
    <row r="21">
      <c r="A21" s="79"/>
      <c r="B21" s="95"/>
      <c r="E21" s="66"/>
      <c r="F21" s="86"/>
      <c r="G21" s="96" t="s">
        <v>166</v>
      </c>
      <c r="H21" s="97" t="s">
        <v>167</v>
      </c>
      <c r="I21" s="79" t="s">
        <v>168</v>
      </c>
      <c r="J21" s="98">
        <v>300.0</v>
      </c>
    </row>
    <row r="22">
      <c r="A22" s="79"/>
      <c r="B22" s="95"/>
      <c r="E22" s="66"/>
      <c r="F22" s="86"/>
      <c r="G22" s="96" t="s">
        <v>169</v>
      </c>
      <c r="H22" s="97" t="s">
        <v>170</v>
      </c>
      <c r="I22" s="79" t="s">
        <v>171</v>
      </c>
      <c r="J22" s="98">
        <v>150.0</v>
      </c>
    </row>
    <row r="23">
      <c r="A23" s="79"/>
      <c r="B23" s="95"/>
      <c r="E23" s="66"/>
      <c r="F23" s="86"/>
      <c r="G23" s="96" t="s">
        <v>34</v>
      </c>
      <c r="H23" s="97" t="s">
        <v>172</v>
      </c>
      <c r="I23" s="79" t="s">
        <v>173</v>
      </c>
      <c r="J23" s="98">
        <v>30.0</v>
      </c>
    </row>
    <row r="24">
      <c r="A24" s="79"/>
      <c r="B24" s="95"/>
      <c r="E24" s="66"/>
      <c r="F24" s="86"/>
      <c r="G24" s="96" t="s">
        <v>174</v>
      </c>
      <c r="H24" s="97" t="s">
        <v>175</v>
      </c>
      <c r="I24" s="79" t="s">
        <v>176</v>
      </c>
      <c r="J24" s="98" t="s">
        <v>116</v>
      </c>
    </row>
    <row r="25">
      <c r="A25" s="79"/>
      <c r="B25" s="95"/>
      <c r="E25" s="66"/>
      <c r="F25" s="86"/>
      <c r="G25" s="96" t="s">
        <v>177</v>
      </c>
      <c r="H25" s="97" t="s">
        <v>178</v>
      </c>
      <c r="I25" s="79" t="s">
        <v>179</v>
      </c>
      <c r="J25" s="98" t="s">
        <v>116</v>
      </c>
    </row>
    <row r="26">
      <c r="A26" s="79"/>
      <c r="B26" s="99"/>
      <c r="C26" s="100"/>
      <c r="D26" s="100"/>
      <c r="E26" s="101"/>
      <c r="F26" s="86"/>
      <c r="G26" s="102" t="s">
        <v>180</v>
      </c>
      <c r="H26" s="103" t="s">
        <v>181</v>
      </c>
      <c r="I26" s="104" t="s">
        <v>182</v>
      </c>
      <c r="J26" s="105">
        <v>10.0</v>
      </c>
    </row>
    <row r="27">
      <c r="A27" s="79"/>
      <c r="B27" s="114"/>
      <c r="F27" s="86"/>
      <c r="G27" s="82"/>
      <c r="H27" s="82"/>
      <c r="I27" s="82"/>
      <c r="J27" s="82"/>
    </row>
    <row r="28">
      <c r="A28" s="79"/>
      <c r="B28" s="115"/>
      <c r="C28" s="79"/>
      <c r="D28" s="79"/>
      <c r="E28" s="82"/>
      <c r="F28" s="86"/>
      <c r="G28" s="82"/>
      <c r="H28" s="82"/>
      <c r="I28" s="82"/>
      <c r="J28" s="82"/>
    </row>
    <row r="29">
      <c r="A29" s="12"/>
      <c r="B29" s="115"/>
      <c r="C29" s="12"/>
      <c r="D29" s="12"/>
      <c r="E29" s="61"/>
      <c r="F29" s="36"/>
      <c r="G29" s="61"/>
      <c r="H29" s="61"/>
      <c r="I29" s="61"/>
      <c r="J29" s="61"/>
    </row>
    <row r="30">
      <c r="A30" s="79"/>
      <c r="B30" s="115"/>
      <c r="C30" s="79"/>
      <c r="D30" s="79"/>
      <c r="E30" s="82"/>
      <c r="F30" s="86"/>
      <c r="G30" s="82"/>
      <c r="H30" s="82"/>
      <c r="I30" s="82"/>
      <c r="J30" s="82"/>
    </row>
    <row r="31">
      <c r="A31" s="79"/>
      <c r="B31" s="115"/>
      <c r="C31" s="116"/>
      <c r="D31" s="79"/>
      <c r="E31" s="82"/>
      <c r="F31" s="86"/>
      <c r="G31" s="82"/>
      <c r="H31" s="82"/>
      <c r="I31" s="82"/>
      <c r="J31" s="82"/>
    </row>
    <row r="32">
      <c r="A32" s="79"/>
      <c r="B32" s="115"/>
      <c r="C32" s="79"/>
      <c r="D32" s="79"/>
      <c r="E32" s="82"/>
      <c r="F32" s="86"/>
      <c r="G32" s="82"/>
      <c r="H32" s="82"/>
      <c r="I32" s="82"/>
      <c r="J32" s="82"/>
    </row>
    <row r="33">
      <c r="A33" s="12"/>
      <c r="B33" s="115"/>
      <c r="C33" s="12"/>
      <c r="D33" s="12"/>
      <c r="E33" s="61"/>
      <c r="F33" s="36"/>
      <c r="G33" s="61"/>
      <c r="H33" s="61"/>
      <c r="I33" s="61"/>
      <c r="J33" s="61"/>
    </row>
    <row r="34">
      <c r="A34" s="79"/>
      <c r="B34" s="115"/>
      <c r="C34" s="79"/>
      <c r="D34" s="79"/>
      <c r="E34" s="82"/>
      <c r="F34" s="86"/>
      <c r="G34" s="82"/>
      <c r="H34" s="82"/>
      <c r="I34" s="82"/>
      <c r="J34" s="82"/>
    </row>
    <row r="35">
      <c r="A35" s="12"/>
      <c r="B35" s="115"/>
      <c r="C35" s="12"/>
      <c r="D35" s="12"/>
      <c r="E35" s="61"/>
      <c r="F35" s="36"/>
      <c r="G35" s="61"/>
      <c r="H35" s="61"/>
      <c r="I35" s="61"/>
      <c r="J35" s="61"/>
    </row>
    <row r="36">
      <c r="A36" s="12"/>
      <c r="B36" s="115"/>
      <c r="C36" s="12"/>
      <c r="D36" s="12"/>
      <c r="E36" s="61"/>
      <c r="F36" s="36"/>
      <c r="G36" s="61"/>
      <c r="H36" s="61"/>
      <c r="I36" s="61"/>
      <c r="J36" s="61"/>
    </row>
    <row r="37">
      <c r="A37" s="12"/>
      <c r="B37" s="115"/>
      <c r="C37" s="12"/>
      <c r="D37" s="12"/>
      <c r="E37" s="61"/>
      <c r="F37" s="36"/>
      <c r="G37" s="61"/>
      <c r="H37" s="61"/>
      <c r="I37" s="61"/>
      <c r="J37" s="61"/>
    </row>
    <row r="38">
      <c r="A38" s="79"/>
      <c r="B38" s="115"/>
      <c r="C38" s="79"/>
      <c r="D38" s="79"/>
      <c r="E38" s="82"/>
      <c r="F38" s="86"/>
      <c r="G38" s="82"/>
      <c r="H38" s="82"/>
      <c r="I38" s="82"/>
      <c r="J38" s="82"/>
    </row>
    <row r="39">
      <c r="A39" s="12"/>
      <c r="B39" s="115"/>
      <c r="C39" s="12"/>
      <c r="D39" s="12"/>
      <c r="E39" s="61"/>
      <c r="F39" s="36"/>
      <c r="G39" s="61"/>
      <c r="H39" s="61"/>
      <c r="I39" s="61"/>
      <c r="J39" s="61"/>
    </row>
    <row r="40">
      <c r="A40" s="12"/>
      <c r="B40" s="115"/>
      <c r="C40" s="12"/>
      <c r="D40" s="12"/>
      <c r="E40" s="61"/>
      <c r="F40" s="36"/>
      <c r="G40" s="61"/>
      <c r="H40" s="61"/>
      <c r="I40" s="61"/>
      <c r="J40" s="61"/>
    </row>
    <row r="41">
      <c r="A41" s="12"/>
      <c r="B41" s="115"/>
      <c r="C41" s="12"/>
      <c r="D41" s="12"/>
      <c r="E41" s="61"/>
      <c r="F41" s="36"/>
      <c r="G41" s="61"/>
      <c r="H41" s="61"/>
      <c r="I41" s="61"/>
      <c r="J41" s="61"/>
    </row>
    <row r="42">
      <c r="A42" s="79"/>
      <c r="B42" s="115"/>
      <c r="C42" s="79"/>
      <c r="D42" s="79"/>
      <c r="E42" s="82"/>
      <c r="F42" s="86"/>
      <c r="G42" s="82"/>
      <c r="H42" s="82"/>
      <c r="I42" s="82"/>
      <c r="J42" s="82"/>
    </row>
    <row r="43">
      <c r="A43" s="12"/>
      <c r="B43" s="115"/>
      <c r="C43" s="12"/>
      <c r="D43" s="12"/>
      <c r="E43" s="61"/>
      <c r="F43" s="36"/>
      <c r="G43" s="61"/>
      <c r="H43" s="61"/>
      <c r="I43" s="61"/>
      <c r="J43" s="61"/>
    </row>
    <row r="44">
      <c r="A44" s="79"/>
      <c r="B44" s="115"/>
      <c r="C44" s="79"/>
      <c r="D44" s="79"/>
      <c r="E44" s="82"/>
      <c r="F44" s="86"/>
      <c r="G44" s="82"/>
      <c r="H44" s="82"/>
      <c r="I44" s="82"/>
      <c r="J44" s="82"/>
    </row>
    <row r="45">
      <c r="A45" s="12"/>
      <c r="B45" s="115"/>
      <c r="C45" s="12"/>
      <c r="D45" s="12"/>
      <c r="E45" s="61"/>
      <c r="F45" s="36"/>
      <c r="G45" s="61"/>
      <c r="H45" s="61"/>
      <c r="I45" s="61"/>
      <c r="J45" s="61"/>
    </row>
    <row r="46">
      <c r="A46" s="79"/>
      <c r="B46" s="115"/>
      <c r="C46" s="79"/>
      <c r="D46" s="79"/>
      <c r="E46" s="82"/>
      <c r="F46" s="86"/>
      <c r="G46" s="82"/>
      <c r="H46" s="82"/>
      <c r="I46" s="82"/>
      <c r="J46" s="82"/>
    </row>
    <row r="47">
      <c r="A47" s="12"/>
      <c r="B47" s="115"/>
      <c r="C47" s="12"/>
      <c r="D47" s="12"/>
      <c r="E47" s="61"/>
      <c r="F47" s="36"/>
      <c r="G47" s="61"/>
      <c r="H47" s="61"/>
      <c r="I47" s="61"/>
      <c r="J47" s="61"/>
    </row>
    <row r="48">
      <c r="A48" s="12"/>
      <c r="B48" s="115"/>
      <c r="C48" s="12"/>
      <c r="D48" s="12"/>
      <c r="E48" s="61"/>
      <c r="F48" s="36"/>
      <c r="G48" s="61"/>
      <c r="H48" s="61"/>
      <c r="I48" s="61"/>
      <c r="J48" s="61"/>
    </row>
    <row r="49">
      <c r="A49" s="12"/>
      <c r="B49" s="115"/>
      <c r="C49" s="12"/>
      <c r="D49" s="12"/>
      <c r="E49" s="61"/>
      <c r="F49" s="36"/>
      <c r="G49" s="61"/>
      <c r="H49" s="61"/>
      <c r="I49" s="61"/>
      <c r="J49" s="61"/>
    </row>
    <row r="50">
      <c r="A50" s="79"/>
      <c r="B50" s="115"/>
      <c r="C50" s="79"/>
      <c r="D50" s="79"/>
      <c r="E50" s="82"/>
      <c r="F50" s="86"/>
      <c r="G50" s="82"/>
      <c r="H50" s="82"/>
      <c r="I50" s="82"/>
      <c r="J50" s="82"/>
    </row>
    <row r="51">
      <c r="A51" s="12"/>
      <c r="B51" s="115"/>
      <c r="C51" s="12"/>
      <c r="D51" s="12"/>
      <c r="E51" s="61"/>
      <c r="F51" s="36"/>
      <c r="G51" s="61"/>
      <c r="H51" s="61"/>
      <c r="I51" s="61"/>
      <c r="J51" s="61"/>
    </row>
    <row r="52">
      <c r="A52" s="12"/>
      <c r="B52" s="115"/>
      <c r="C52" s="12"/>
      <c r="D52" s="12"/>
      <c r="E52" s="61"/>
      <c r="F52" s="36"/>
      <c r="G52" s="61"/>
      <c r="H52" s="61"/>
      <c r="I52" s="61"/>
      <c r="J52" s="61"/>
    </row>
    <row r="53">
      <c r="A53" s="12"/>
      <c r="B53" s="115"/>
      <c r="C53" s="12"/>
      <c r="D53" s="12"/>
      <c r="E53" s="61"/>
      <c r="F53" s="36"/>
      <c r="G53" s="61"/>
      <c r="H53" s="61"/>
      <c r="I53" s="61"/>
      <c r="J53" s="61"/>
    </row>
    <row r="54">
      <c r="A54" s="79"/>
      <c r="B54" s="115"/>
      <c r="C54" s="117"/>
      <c r="D54" s="79"/>
      <c r="E54" s="82"/>
      <c r="F54" s="86"/>
      <c r="G54" s="82"/>
      <c r="H54" s="82"/>
      <c r="I54" s="82"/>
      <c r="J54" s="82"/>
    </row>
    <row r="55">
      <c r="A55" s="12"/>
      <c r="B55" s="115"/>
      <c r="C55" s="12"/>
      <c r="D55" s="12"/>
      <c r="E55" s="61"/>
      <c r="F55" s="36"/>
      <c r="G55" s="61"/>
      <c r="H55" s="61"/>
      <c r="I55" s="61"/>
      <c r="J55" s="61"/>
    </row>
    <row r="56">
      <c r="A56" s="79"/>
      <c r="B56" s="115"/>
      <c r="C56" s="79"/>
      <c r="D56" s="79"/>
      <c r="E56" s="82"/>
      <c r="F56" s="86"/>
      <c r="G56" s="82"/>
      <c r="H56" s="82"/>
      <c r="I56" s="82"/>
      <c r="J56" s="82"/>
    </row>
    <row r="57">
      <c r="A57" s="12"/>
      <c r="B57" s="115"/>
      <c r="C57" s="12"/>
      <c r="D57" s="12"/>
      <c r="E57" s="61"/>
      <c r="F57" s="36"/>
      <c r="G57" s="61"/>
      <c r="H57" s="61"/>
      <c r="I57" s="61"/>
      <c r="J57" s="61"/>
    </row>
    <row r="58">
      <c r="A58" s="79"/>
      <c r="B58" s="115"/>
      <c r="C58" s="79"/>
      <c r="D58" s="79"/>
      <c r="E58" s="82"/>
      <c r="F58" s="86"/>
      <c r="G58" s="82"/>
      <c r="H58" s="82"/>
      <c r="I58" s="82"/>
      <c r="J58" s="82"/>
    </row>
    <row r="59">
      <c r="A59" s="12"/>
      <c r="B59" s="115"/>
      <c r="C59" s="12"/>
      <c r="D59" s="12"/>
      <c r="E59" s="61"/>
      <c r="F59" s="36"/>
      <c r="G59" s="61"/>
      <c r="H59" s="61"/>
      <c r="I59" s="61"/>
      <c r="J59" s="61"/>
    </row>
    <row r="60">
      <c r="A60" s="12"/>
      <c r="B60" s="115"/>
      <c r="C60" s="12"/>
      <c r="D60" s="12"/>
      <c r="E60" s="61"/>
      <c r="F60" s="36"/>
      <c r="G60" s="61"/>
      <c r="H60" s="61"/>
      <c r="I60" s="61"/>
      <c r="J60" s="61"/>
    </row>
    <row r="61">
      <c r="A61" s="12"/>
      <c r="B61" s="115"/>
      <c r="C61" s="12"/>
      <c r="D61" s="12"/>
      <c r="E61" s="61"/>
      <c r="F61" s="36"/>
      <c r="G61" s="61"/>
      <c r="H61" s="61"/>
      <c r="I61" s="61"/>
      <c r="J61" s="61"/>
    </row>
    <row r="62">
      <c r="A62" s="79"/>
      <c r="B62" s="115"/>
      <c r="C62" s="79"/>
      <c r="D62" s="79"/>
      <c r="E62" s="82"/>
      <c r="F62" s="86"/>
      <c r="G62" s="82"/>
      <c r="H62" s="82"/>
      <c r="I62" s="82"/>
      <c r="J62" s="82"/>
    </row>
    <row r="63">
      <c r="A63" s="12"/>
      <c r="B63" s="115"/>
      <c r="C63" s="12"/>
      <c r="D63" s="12"/>
      <c r="E63" s="61"/>
      <c r="F63" s="36"/>
      <c r="G63" s="61"/>
      <c r="H63" s="61"/>
      <c r="I63" s="61"/>
      <c r="J63" s="61"/>
    </row>
    <row r="64">
      <c r="A64" s="12"/>
      <c r="B64" s="115"/>
      <c r="C64" s="12"/>
      <c r="D64" s="12"/>
      <c r="E64" s="61"/>
      <c r="F64" s="36"/>
      <c r="G64" s="61"/>
      <c r="H64" s="61"/>
      <c r="I64" s="61"/>
      <c r="J64" s="61"/>
    </row>
    <row r="65">
      <c r="A65" s="12"/>
      <c r="B65" s="115"/>
      <c r="C65" s="12"/>
      <c r="D65" s="12"/>
      <c r="E65" s="61"/>
      <c r="F65" s="36"/>
      <c r="G65" s="61"/>
      <c r="H65" s="61"/>
      <c r="I65" s="61"/>
      <c r="J65" s="61"/>
    </row>
    <row r="66">
      <c r="A66" s="79"/>
      <c r="B66" s="115"/>
      <c r="C66" s="79"/>
      <c r="D66" s="79"/>
      <c r="E66" s="82"/>
      <c r="F66" s="86"/>
      <c r="G66" s="82"/>
      <c r="H66" s="82"/>
      <c r="I66" s="82"/>
      <c r="J66" s="82"/>
    </row>
    <row r="67">
      <c r="A67" s="12"/>
      <c r="B67" s="115"/>
      <c r="C67" s="12"/>
      <c r="D67" s="12"/>
      <c r="E67" s="61"/>
      <c r="F67" s="36"/>
      <c r="G67" s="61"/>
      <c r="H67" s="61"/>
      <c r="I67" s="61"/>
      <c r="J67" s="61"/>
    </row>
    <row r="68">
      <c r="A68" s="12"/>
      <c r="B68" s="115"/>
      <c r="C68" s="12"/>
      <c r="D68" s="12"/>
      <c r="E68" s="61"/>
      <c r="F68" s="36"/>
      <c r="G68" s="61"/>
      <c r="H68" s="61"/>
      <c r="I68" s="61"/>
      <c r="J68" s="61"/>
    </row>
    <row r="69">
      <c r="A69" s="12"/>
      <c r="B69" s="115"/>
      <c r="C69" s="12"/>
      <c r="D69" s="12"/>
      <c r="E69" s="61"/>
      <c r="F69" s="36"/>
      <c r="G69" s="61"/>
      <c r="H69" s="61"/>
      <c r="I69" s="61"/>
      <c r="J69" s="61"/>
    </row>
    <row r="70">
      <c r="A70" s="79"/>
      <c r="B70" s="115"/>
      <c r="C70" s="79"/>
      <c r="D70" s="79"/>
      <c r="E70" s="82"/>
      <c r="F70" s="86"/>
      <c r="G70" s="82"/>
      <c r="H70" s="82"/>
      <c r="I70" s="82"/>
      <c r="J70" s="82"/>
    </row>
    <row r="71">
      <c r="A71" s="12"/>
      <c r="B71" s="115"/>
      <c r="C71" s="12"/>
      <c r="D71" s="12"/>
      <c r="E71" s="61"/>
      <c r="F71" s="36"/>
      <c r="G71" s="61"/>
      <c r="H71" s="61"/>
      <c r="I71" s="61"/>
      <c r="J71" s="61"/>
    </row>
    <row r="72">
      <c r="A72" s="12"/>
      <c r="B72" s="115"/>
      <c r="C72" s="12"/>
      <c r="D72" s="12"/>
      <c r="E72" s="61"/>
      <c r="F72" s="36"/>
      <c r="G72" s="61"/>
      <c r="H72" s="61"/>
      <c r="I72" s="61"/>
      <c r="J72" s="61"/>
    </row>
    <row r="73">
      <c r="A73" s="12"/>
      <c r="B73" s="115"/>
      <c r="C73" s="12"/>
      <c r="D73" s="12"/>
      <c r="E73" s="61"/>
      <c r="F73" s="36"/>
      <c r="G73" s="61"/>
      <c r="H73" s="61"/>
      <c r="I73" s="61"/>
      <c r="J73" s="61"/>
    </row>
    <row r="74">
      <c r="A74" s="79"/>
      <c r="B74" s="115"/>
      <c r="C74" s="79"/>
      <c r="D74" s="79"/>
      <c r="E74" s="82"/>
      <c r="F74" s="86"/>
      <c r="G74" s="82"/>
      <c r="H74" s="82"/>
      <c r="I74" s="82"/>
      <c r="J74" s="82"/>
    </row>
    <row r="75">
      <c r="A75" s="12"/>
      <c r="B75" s="115"/>
      <c r="C75" s="12"/>
      <c r="D75" s="12"/>
      <c r="E75" s="61"/>
      <c r="F75" s="36"/>
      <c r="G75" s="61"/>
      <c r="H75" s="61"/>
      <c r="I75" s="61"/>
      <c r="J75" s="61"/>
    </row>
    <row r="76">
      <c r="A76" s="79"/>
      <c r="B76" s="115"/>
      <c r="C76" s="79"/>
      <c r="D76" s="79"/>
      <c r="E76" s="82"/>
      <c r="F76" s="86"/>
      <c r="G76" s="82"/>
      <c r="H76" s="82"/>
      <c r="I76" s="82"/>
      <c r="J76" s="82"/>
    </row>
    <row r="77">
      <c r="A77" s="12"/>
      <c r="B77" s="115"/>
      <c r="C77" s="12"/>
      <c r="D77" s="12"/>
      <c r="E77" s="61"/>
      <c r="F77" s="36"/>
      <c r="G77" s="61"/>
      <c r="H77" s="61"/>
      <c r="I77" s="61"/>
      <c r="J77" s="61"/>
    </row>
    <row r="78">
      <c r="A78" s="12"/>
      <c r="B78" s="115"/>
      <c r="C78" s="12"/>
      <c r="D78" s="12"/>
      <c r="E78" s="61"/>
      <c r="F78" s="36"/>
      <c r="G78" s="61"/>
      <c r="H78" s="61"/>
      <c r="I78" s="61"/>
      <c r="J78" s="61"/>
    </row>
    <row r="79">
      <c r="A79" s="12"/>
      <c r="B79" s="115"/>
      <c r="C79" s="12"/>
      <c r="D79" s="12"/>
      <c r="E79" s="61"/>
      <c r="F79" s="36"/>
      <c r="G79" s="61"/>
      <c r="H79" s="61"/>
      <c r="I79" s="61"/>
      <c r="J79" s="61"/>
    </row>
    <row r="80">
      <c r="A80" s="79"/>
      <c r="B80" s="115"/>
      <c r="C80" s="79"/>
      <c r="D80" s="79"/>
      <c r="E80" s="82"/>
      <c r="F80" s="86"/>
      <c r="G80" s="82"/>
      <c r="H80" s="82"/>
      <c r="I80" s="82"/>
      <c r="J80" s="82"/>
    </row>
    <row r="81">
      <c r="A81" s="12"/>
      <c r="B81" s="115"/>
      <c r="C81" s="12"/>
      <c r="D81" s="12"/>
      <c r="E81" s="61"/>
      <c r="F81" s="36"/>
      <c r="G81" s="61"/>
      <c r="H81" s="61"/>
      <c r="I81" s="61"/>
      <c r="J81" s="61"/>
    </row>
    <row r="82">
      <c r="A82" s="12"/>
      <c r="B82" s="115"/>
      <c r="C82" s="12"/>
      <c r="D82" s="12"/>
      <c r="E82" s="61"/>
      <c r="F82" s="36"/>
      <c r="G82" s="61"/>
      <c r="H82" s="61"/>
      <c r="I82" s="61"/>
      <c r="J82" s="61"/>
    </row>
    <row r="83">
      <c r="A83" s="12"/>
      <c r="B83" s="115"/>
      <c r="C83" s="12"/>
      <c r="D83" s="12"/>
      <c r="E83" s="61"/>
      <c r="F83" s="36"/>
      <c r="G83" s="61"/>
      <c r="H83" s="61"/>
      <c r="I83" s="61"/>
      <c r="J83" s="61"/>
    </row>
    <row r="84">
      <c r="A84" s="79"/>
      <c r="B84" s="115"/>
      <c r="C84" s="79"/>
      <c r="D84" s="79"/>
      <c r="E84" s="82"/>
      <c r="F84" s="86"/>
      <c r="G84" s="82"/>
      <c r="H84" s="82"/>
      <c r="I84" s="82"/>
      <c r="J84" s="82"/>
    </row>
    <row r="85">
      <c r="A85" s="12"/>
      <c r="B85" s="115"/>
      <c r="C85" s="12"/>
      <c r="D85" s="12"/>
      <c r="E85" s="61"/>
      <c r="F85" s="36"/>
      <c r="G85" s="61"/>
      <c r="H85" s="61"/>
      <c r="I85" s="61"/>
      <c r="J85" s="61"/>
    </row>
    <row r="86">
      <c r="A86" s="79"/>
      <c r="B86" s="115"/>
      <c r="C86" s="79"/>
      <c r="D86" s="79"/>
      <c r="E86" s="82"/>
      <c r="F86" s="86"/>
      <c r="G86" s="82"/>
      <c r="H86" s="82"/>
      <c r="I86" s="82"/>
      <c r="J86" s="82"/>
    </row>
    <row r="87">
      <c r="A87" s="12"/>
      <c r="B87" s="115"/>
      <c r="C87" s="12"/>
      <c r="D87" s="12"/>
      <c r="E87" s="61"/>
      <c r="F87" s="36"/>
      <c r="G87" s="61"/>
      <c r="H87" s="61"/>
      <c r="I87" s="61"/>
      <c r="J87" s="61"/>
    </row>
    <row r="88">
      <c r="A88" s="79"/>
      <c r="B88" s="115"/>
      <c r="C88" s="79"/>
      <c r="D88" s="79"/>
      <c r="E88" s="82"/>
      <c r="F88" s="86"/>
      <c r="G88" s="82"/>
      <c r="H88" s="82"/>
      <c r="I88" s="82"/>
      <c r="J88" s="82"/>
    </row>
    <row r="89">
      <c r="A89" s="79"/>
      <c r="B89" s="115"/>
      <c r="C89" s="79"/>
      <c r="D89" s="79"/>
      <c r="E89" s="82"/>
      <c r="F89" s="86"/>
      <c r="G89" s="82"/>
      <c r="H89" s="82"/>
      <c r="I89" s="82"/>
      <c r="J89" s="82"/>
    </row>
    <row r="90">
      <c r="A90" s="79"/>
      <c r="B90" s="115"/>
      <c r="C90" s="79"/>
      <c r="D90" s="79"/>
      <c r="E90" s="82"/>
      <c r="F90" s="86"/>
      <c r="G90" s="82"/>
      <c r="H90" s="82"/>
      <c r="I90" s="82"/>
      <c r="J90" s="82"/>
    </row>
    <row r="91">
      <c r="A91" s="12"/>
      <c r="B91" s="115"/>
      <c r="C91" s="12"/>
      <c r="D91" s="12"/>
      <c r="E91" s="61"/>
      <c r="F91" s="36"/>
      <c r="G91" s="61"/>
      <c r="H91" s="61"/>
      <c r="I91" s="61"/>
      <c r="J91" s="61"/>
    </row>
    <row r="92">
      <c r="A92" s="79"/>
      <c r="B92" s="115"/>
      <c r="C92" s="79"/>
      <c r="D92" s="79"/>
      <c r="E92" s="82"/>
      <c r="F92" s="86"/>
      <c r="G92" s="82"/>
      <c r="H92" s="82"/>
      <c r="I92" s="82"/>
      <c r="J92" s="82"/>
    </row>
    <row r="93">
      <c r="A93" s="12"/>
      <c r="B93" s="115"/>
      <c r="C93" s="12"/>
      <c r="D93" s="12"/>
      <c r="E93" s="61"/>
      <c r="F93" s="36"/>
      <c r="G93" s="61"/>
      <c r="H93" s="61"/>
      <c r="I93" s="61"/>
      <c r="J93" s="61"/>
    </row>
    <row r="94">
      <c r="A94" s="79"/>
      <c r="B94" s="115"/>
      <c r="C94" s="79"/>
      <c r="D94" s="79"/>
      <c r="E94" s="82"/>
      <c r="F94" s="86"/>
      <c r="G94" s="82"/>
      <c r="H94" s="82"/>
      <c r="I94" s="82"/>
      <c r="J94" s="82"/>
    </row>
    <row r="95">
      <c r="A95" s="12"/>
      <c r="B95" s="115"/>
      <c r="C95" s="12"/>
      <c r="D95" s="12"/>
      <c r="E95" s="61"/>
      <c r="F95" s="36"/>
      <c r="G95" s="61"/>
      <c r="H95" s="61"/>
      <c r="I95" s="61"/>
      <c r="J95" s="61"/>
    </row>
    <row r="96">
      <c r="A96" s="79"/>
      <c r="B96" s="115"/>
      <c r="C96" s="79"/>
      <c r="D96" s="79"/>
      <c r="E96" s="82"/>
      <c r="F96" s="86"/>
      <c r="G96" s="82"/>
      <c r="H96" s="82"/>
      <c r="I96" s="82"/>
      <c r="J96" s="82"/>
    </row>
    <row r="97">
      <c r="A97" s="12"/>
      <c r="B97" s="115"/>
      <c r="C97" s="12"/>
      <c r="D97" s="12"/>
      <c r="E97" s="61"/>
      <c r="F97" s="36"/>
      <c r="G97" s="61"/>
      <c r="H97" s="61"/>
      <c r="I97" s="61"/>
      <c r="J97" s="61"/>
    </row>
    <row r="98">
      <c r="A98" s="79"/>
      <c r="B98" s="115"/>
      <c r="C98" s="79"/>
      <c r="D98" s="79"/>
      <c r="E98" s="82"/>
      <c r="F98" s="86"/>
      <c r="G98" s="82"/>
      <c r="H98" s="82"/>
      <c r="I98" s="82"/>
      <c r="J98" s="82"/>
    </row>
    <row r="99">
      <c r="A99" s="79"/>
      <c r="B99" s="115"/>
      <c r="C99" s="79"/>
      <c r="D99" s="79"/>
      <c r="E99" s="82"/>
      <c r="F99" s="86"/>
      <c r="G99" s="82"/>
      <c r="H99" s="82"/>
      <c r="I99" s="82"/>
      <c r="J99" s="82"/>
    </row>
    <row r="100">
      <c r="A100" s="79"/>
      <c r="B100" s="115"/>
      <c r="C100" s="79"/>
      <c r="D100" s="79"/>
      <c r="E100" s="82"/>
      <c r="F100" s="86"/>
      <c r="G100" s="82"/>
      <c r="H100" s="82"/>
      <c r="I100" s="82"/>
      <c r="J100" s="82"/>
    </row>
    <row r="101">
      <c r="A101" s="79"/>
      <c r="B101" s="115"/>
      <c r="C101" s="79"/>
      <c r="D101" s="79"/>
      <c r="E101" s="82"/>
      <c r="F101" s="86"/>
      <c r="G101" s="82"/>
      <c r="H101" s="82"/>
      <c r="I101" s="82"/>
      <c r="J101" s="82"/>
    </row>
    <row r="102">
      <c r="A102" s="79"/>
      <c r="B102" s="115"/>
      <c r="C102" s="79"/>
      <c r="D102" s="79"/>
      <c r="E102" s="82"/>
      <c r="F102" s="86"/>
      <c r="G102" s="82"/>
      <c r="H102" s="82"/>
      <c r="I102" s="82"/>
      <c r="J102" s="82"/>
    </row>
    <row r="103">
      <c r="A103" s="79"/>
      <c r="B103" s="115"/>
      <c r="C103" s="79"/>
      <c r="D103" s="79"/>
      <c r="E103" s="82"/>
      <c r="F103" s="86"/>
      <c r="G103" s="82"/>
      <c r="H103" s="82"/>
      <c r="I103" s="82"/>
      <c r="J103" s="82"/>
    </row>
    <row r="104">
      <c r="A104" s="79"/>
      <c r="B104" s="115"/>
      <c r="C104" s="79"/>
      <c r="D104" s="79"/>
      <c r="E104" s="82"/>
      <c r="F104" s="86"/>
      <c r="G104" s="82"/>
      <c r="H104" s="82"/>
      <c r="I104" s="82"/>
      <c r="J104" s="82"/>
    </row>
    <row r="105">
      <c r="A105" s="79"/>
      <c r="B105" s="115"/>
      <c r="C105" s="79"/>
      <c r="D105" s="79"/>
      <c r="E105" s="82"/>
      <c r="F105" s="86"/>
      <c r="G105" s="82"/>
      <c r="H105" s="82"/>
      <c r="I105" s="82"/>
      <c r="J105" s="82"/>
    </row>
    <row r="106">
      <c r="A106" s="79"/>
      <c r="B106" s="115"/>
      <c r="C106" s="79"/>
      <c r="D106" s="79"/>
      <c r="E106" s="82"/>
      <c r="F106" s="86"/>
      <c r="G106" s="82"/>
      <c r="H106" s="82"/>
      <c r="I106" s="82"/>
      <c r="J106" s="82"/>
    </row>
  </sheetData>
  <mergeCells count="26">
    <mergeCell ref="B2:J2"/>
    <mergeCell ref="B3:J3"/>
    <mergeCell ref="B4:E4"/>
    <mergeCell ref="G4:J4"/>
    <mergeCell ref="C6:C8"/>
    <mergeCell ref="D6:D8"/>
    <mergeCell ref="E6:E8"/>
    <mergeCell ref="D11:E12"/>
    <mergeCell ref="G13:J13"/>
    <mergeCell ref="G15:J15"/>
    <mergeCell ref="B6:B8"/>
    <mergeCell ref="B9:B10"/>
    <mergeCell ref="C9:C10"/>
    <mergeCell ref="D9:D10"/>
    <mergeCell ref="E9:E10"/>
    <mergeCell ref="B11:B12"/>
    <mergeCell ref="C11:C12"/>
    <mergeCell ref="E19:E26"/>
    <mergeCell ref="B27:E27"/>
    <mergeCell ref="B16:B18"/>
    <mergeCell ref="C16:C18"/>
    <mergeCell ref="D16:D18"/>
    <mergeCell ref="E16:E18"/>
    <mergeCell ref="B19:B26"/>
    <mergeCell ref="C19:C26"/>
    <mergeCell ref="D19:D26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1.5"/>
    <col customWidth="1" min="3" max="3" width="29.88"/>
    <col customWidth="1" min="4" max="4" width="25.88"/>
    <col customWidth="1" min="6" max="6" width="3.5"/>
  </cols>
  <sheetData>
    <row r="1" ht="15.0" customHeight="1">
      <c r="A1" s="12"/>
      <c r="B1" s="59"/>
      <c r="C1" s="59"/>
      <c r="D1" s="60"/>
      <c r="E1" s="60"/>
      <c r="F1" s="118"/>
    </row>
    <row r="2" ht="73.5" customHeight="1">
      <c r="A2" s="12"/>
      <c r="B2" s="62"/>
      <c r="C2" s="63"/>
      <c r="D2" s="64"/>
      <c r="E2" s="64"/>
      <c r="F2" s="119"/>
    </row>
    <row r="3">
      <c r="A3" s="12"/>
      <c r="B3" s="65" t="s">
        <v>183</v>
      </c>
      <c r="F3" s="66"/>
    </row>
    <row r="4">
      <c r="A4" s="12"/>
      <c r="B4" s="120" t="s">
        <v>97</v>
      </c>
      <c r="E4" s="66"/>
      <c r="F4" s="36"/>
    </row>
    <row r="5">
      <c r="A5" s="12"/>
      <c r="B5" s="121" t="s">
        <v>98</v>
      </c>
      <c r="C5" s="122" t="s">
        <v>99</v>
      </c>
      <c r="D5" s="123" t="s">
        <v>100</v>
      </c>
      <c r="E5" s="124" t="s">
        <v>101</v>
      </c>
      <c r="F5" s="36"/>
    </row>
    <row r="6">
      <c r="A6" s="12"/>
      <c r="B6" s="125" t="s">
        <v>21</v>
      </c>
      <c r="C6" s="126" t="s">
        <v>184</v>
      </c>
      <c r="D6" s="127" t="s">
        <v>185</v>
      </c>
      <c r="E6" s="128" t="s">
        <v>116</v>
      </c>
      <c r="F6" s="36"/>
    </row>
    <row r="7">
      <c r="A7" s="12"/>
      <c r="B7" s="129" t="s">
        <v>32</v>
      </c>
      <c r="C7" s="130" t="s">
        <v>186</v>
      </c>
      <c r="D7" s="131" t="s">
        <v>171</v>
      </c>
      <c r="E7" s="132">
        <v>150.0</v>
      </c>
      <c r="F7" s="36"/>
    </row>
    <row r="8">
      <c r="A8" s="12"/>
      <c r="B8" s="129" t="s">
        <v>43</v>
      </c>
      <c r="C8" s="130" t="s">
        <v>187</v>
      </c>
      <c r="D8" s="131" t="s">
        <v>188</v>
      </c>
      <c r="E8" s="132">
        <v>20.0</v>
      </c>
      <c r="F8" s="36"/>
    </row>
    <row r="9">
      <c r="A9" s="12"/>
      <c r="B9" s="129" t="s">
        <v>52</v>
      </c>
      <c r="C9" s="130" t="s">
        <v>189</v>
      </c>
      <c r="D9" s="131" t="s">
        <v>190</v>
      </c>
      <c r="E9" s="132" t="s">
        <v>116</v>
      </c>
      <c r="F9" s="36"/>
    </row>
    <row r="10">
      <c r="A10" s="12"/>
      <c r="B10" s="129" t="s">
        <v>60</v>
      </c>
      <c r="C10" s="130" t="s">
        <v>191</v>
      </c>
      <c r="D10" s="131" t="s">
        <v>192</v>
      </c>
      <c r="E10" s="132">
        <v>40.0</v>
      </c>
      <c r="F10" s="36"/>
    </row>
    <row r="11">
      <c r="A11" s="12"/>
      <c r="B11" s="129" t="s">
        <v>68</v>
      </c>
      <c r="C11" s="130" t="s">
        <v>193</v>
      </c>
      <c r="D11" s="131" t="s">
        <v>194</v>
      </c>
      <c r="E11" s="132">
        <v>10.0</v>
      </c>
      <c r="F11" s="36"/>
    </row>
    <row r="12">
      <c r="A12" s="12"/>
      <c r="B12" s="133" t="s">
        <v>75</v>
      </c>
      <c r="C12" s="134" t="s">
        <v>195</v>
      </c>
      <c r="D12" s="135" t="s">
        <v>196</v>
      </c>
      <c r="E12" s="136">
        <v>20.0</v>
      </c>
      <c r="F12" s="36"/>
    </row>
    <row r="13">
      <c r="A13" s="12"/>
      <c r="B13" s="12"/>
      <c r="C13" s="12"/>
      <c r="D13" s="12"/>
      <c r="E13" s="12"/>
      <c r="F13" s="36"/>
    </row>
    <row r="14">
      <c r="A14" s="12"/>
      <c r="B14" s="137"/>
      <c r="C14" s="12"/>
      <c r="D14" s="12"/>
      <c r="E14" s="12"/>
      <c r="F14" s="36"/>
    </row>
    <row r="15">
      <c r="A15" s="12"/>
      <c r="B15" s="137"/>
      <c r="C15" s="12"/>
      <c r="D15" s="12"/>
      <c r="E15" s="12"/>
      <c r="F15" s="61"/>
    </row>
    <row r="16">
      <c r="A16" s="12"/>
      <c r="B16" s="137"/>
      <c r="C16" s="12"/>
      <c r="D16" s="12"/>
      <c r="E16" s="12"/>
      <c r="F16" s="61"/>
    </row>
    <row r="17">
      <c r="A17" s="12"/>
      <c r="B17" s="137"/>
      <c r="C17" s="12"/>
      <c r="D17" s="12"/>
      <c r="E17" s="12"/>
      <c r="F17" s="61"/>
    </row>
    <row r="18">
      <c r="A18" s="12"/>
      <c r="B18" s="137"/>
      <c r="C18" s="12"/>
      <c r="D18" s="12"/>
      <c r="E18" s="61"/>
      <c r="F18" s="61"/>
    </row>
    <row r="19">
      <c r="A19" s="12"/>
      <c r="B19" s="138"/>
      <c r="C19" s="12"/>
      <c r="D19" s="12"/>
      <c r="E19" s="61"/>
      <c r="F19" s="61"/>
    </row>
    <row r="20">
      <c r="A20" s="12"/>
      <c r="B20" s="137"/>
      <c r="C20" s="12"/>
      <c r="D20" s="12"/>
      <c r="E20" s="61"/>
      <c r="F20" s="61"/>
    </row>
    <row r="21">
      <c r="A21" s="12"/>
      <c r="B21" s="137"/>
      <c r="C21" s="12"/>
      <c r="D21" s="12"/>
      <c r="E21" s="61"/>
      <c r="F21" s="61"/>
    </row>
    <row r="22">
      <c r="A22" s="12"/>
      <c r="B22" s="12"/>
      <c r="C22" s="12"/>
      <c r="D22" s="12"/>
      <c r="E22" s="61"/>
      <c r="F22" s="61"/>
    </row>
    <row r="23">
      <c r="A23" s="12"/>
      <c r="B23" s="139" t="s">
        <v>197</v>
      </c>
      <c r="C23" s="12"/>
      <c r="D23" s="12"/>
      <c r="E23" s="61"/>
      <c r="F23" s="36"/>
    </row>
    <row r="24">
      <c r="A24" s="12"/>
      <c r="B24" s="140" t="s">
        <v>21</v>
      </c>
      <c r="C24" s="12"/>
      <c r="D24" s="12"/>
      <c r="E24" s="61"/>
      <c r="F24" s="36"/>
    </row>
    <row r="25" hidden="1">
      <c r="A25" s="12"/>
      <c r="B25" s="141"/>
      <c r="C25" s="12"/>
      <c r="D25" s="12"/>
      <c r="E25" s="61"/>
      <c r="F25" s="36"/>
    </row>
    <row r="26">
      <c r="A26" s="12"/>
      <c r="B26" s="142" t="s">
        <v>198</v>
      </c>
      <c r="C26" s="12"/>
      <c r="D26" s="12"/>
      <c r="E26" s="61"/>
      <c r="F26" s="36"/>
    </row>
    <row r="27" hidden="1">
      <c r="A27" s="12"/>
      <c r="B27" s="141"/>
      <c r="C27" s="12"/>
      <c r="D27" s="12"/>
      <c r="E27" s="61"/>
      <c r="F27" s="36"/>
    </row>
    <row r="28">
      <c r="A28" s="12"/>
      <c r="B28" s="142" t="s">
        <v>199</v>
      </c>
      <c r="C28" s="12"/>
      <c r="D28" s="12"/>
      <c r="E28" s="61"/>
      <c r="F28" s="36"/>
    </row>
    <row r="29" hidden="1">
      <c r="A29" s="12"/>
      <c r="B29" s="141"/>
      <c r="C29" s="12"/>
      <c r="D29" s="12"/>
      <c r="E29" s="61"/>
      <c r="F29" s="36"/>
    </row>
    <row r="30">
      <c r="A30" s="12"/>
      <c r="B30" s="140" t="s">
        <v>68</v>
      </c>
      <c r="C30" s="12"/>
      <c r="D30" s="12"/>
      <c r="E30" s="61"/>
      <c r="F30" s="36"/>
    </row>
    <row r="31" hidden="1">
      <c r="A31" s="12"/>
      <c r="B31" s="141"/>
      <c r="C31" s="12"/>
      <c r="D31" s="12"/>
      <c r="E31" s="61"/>
      <c r="F31" s="36"/>
    </row>
    <row r="32">
      <c r="A32" s="12"/>
      <c r="B32" s="142" t="s">
        <v>200</v>
      </c>
      <c r="C32" s="12"/>
      <c r="D32" s="12"/>
      <c r="E32" s="61"/>
      <c r="F32" s="36"/>
    </row>
    <row r="33" hidden="1">
      <c r="A33" s="12"/>
      <c r="B33" s="141"/>
      <c r="C33" s="12"/>
      <c r="D33" s="12"/>
      <c r="E33" s="61"/>
      <c r="F33" s="36"/>
    </row>
    <row r="34">
      <c r="A34" s="12"/>
      <c r="B34" s="142" t="s">
        <v>201</v>
      </c>
      <c r="C34" s="12"/>
      <c r="D34" s="12"/>
      <c r="E34" s="61"/>
      <c r="F34" s="36"/>
    </row>
    <row r="35" hidden="1">
      <c r="A35" s="12"/>
      <c r="B35" s="141"/>
      <c r="C35" s="12"/>
      <c r="D35" s="12"/>
      <c r="E35" s="61"/>
      <c r="F35" s="36"/>
    </row>
    <row r="36">
      <c r="A36" s="12"/>
      <c r="B36" s="140" t="s">
        <v>75</v>
      </c>
      <c r="C36" s="12"/>
      <c r="D36" s="12"/>
      <c r="E36" s="61"/>
      <c r="F36" s="36"/>
    </row>
    <row r="37" hidden="1">
      <c r="A37" s="12"/>
      <c r="B37" s="141"/>
      <c r="C37" s="12"/>
      <c r="D37" s="12"/>
      <c r="E37" s="61"/>
      <c r="F37" s="36"/>
    </row>
    <row r="38">
      <c r="A38" s="12"/>
      <c r="B38" s="142" t="s">
        <v>202</v>
      </c>
      <c r="C38" s="12"/>
      <c r="D38" s="12"/>
      <c r="E38" s="61"/>
      <c r="F38" s="36"/>
    </row>
    <row r="39" hidden="1">
      <c r="A39" s="12"/>
      <c r="B39" s="141"/>
      <c r="C39" s="12"/>
      <c r="D39" s="12"/>
      <c r="E39" s="61"/>
      <c r="F39" s="36"/>
    </row>
    <row r="40">
      <c r="A40" s="12"/>
      <c r="B40" s="142" t="s">
        <v>203</v>
      </c>
      <c r="C40" s="12"/>
      <c r="D40" s="12"/>
      <c r="E40" s="61"/>
      <c r="F40" s="36"/>
    </row>
    <row r="41" hidden="1">
      <c r="A41" s="12"/>
      <c r="B41" s="141"/>
      <c r="C41" s="12"/>
      <c r="D41" s="12"/>
      <c r="E41" s="61"/>
      <c r="F41" s="36"/>
    </row>
    <row r="42">
      <c r="A42" s="12"/>
      <c r="B42" s="140" t="s">
        <v>32</v>
      </c>
      <c r="C42" s="12"/>
      <c r="D42" s="12"/>
      <c r="E42" s="61"/>
      <c r="F42" s="36"/>
    </row>
    <row r="43" hidden="1">
      <c r="A43" s="12"/>
      <c r="B43" s="141"/>
      <c r="C43" s="12"/>
      <c r="D43" s="12"/>
      <c r="E43" s="61"/>
      <c r="F43" s="36"/>
    </row>
    <row r="44">
      <c r="A44" s="12"/>
      <c r="B44" s="142" t="s">
        <v>204</v>
      </c>
      <c r="C44" s="12"/>
      <c r="D44" s="12"/>
      <c r="E44" s="61"/>
      <c r="F44" s="36"/>
    </row>
    <row r="45" hidden="1">
      <c r="A45" s="12"/>
      <c r="B45" s="141"/>
      <c r="C45" s="12"/>
      <c r="D45" s="12"/>
      <c r="E45" s="61"/>
      <c r="F45" s="36"/>
    </row>
    <row r="46">
      <c r="A46" s="12"/>
      <c r="B46" s="142" t="s">
        <v>205</v>
      </c>
      <c r="C46" s="12"/>
      <c r="D46" s="12"/>
      <c r="E46" s="61"/>
      <c r="F46" s="36"/>
    </row>
    <row r="47">
      <c r="A47" s="12"/>
      <c r="B47" s="12"/>
      <c r="C47" s="12"/>
      <c r="D47" s="12"/>
      <c r="E47" s="61"/>
      <c r="F47" s="36"/>
    </row>
    <row r="48">
      <c r="A48" s="12"/>
      <c r="B48" s="12"/>
      <c r="C48" s="12"/>
      <c r="D48" s="12"/>
      <c r="E48" s="61"/>
      <c r="F48" s="36"/>
    </row>
    <row r="49">
      <c r="A49" s="12"/>
      <c r="B49" s="12"/>
      <c r="C49" s="12"/>
      <c r="D49" s="12"/>
      <c r="E49" s="61"/>
      <c r="F49" s="36"/>
    </row>
    <row r="50">
      <c r="A50" s="12"/>
      <c r="B50" s="12"/>
      <c r="C50" s="12"/>
      <c r="D50" s="12"/>
      <c r="E50" s="61"/>
      <c r="F50" s="36"/>
    </row>
    <row r="51">
      <c r="A51" s="12"/>
      <c r="B51" s="12"/>
      <c r="C51" s="12"/>
      <c r="D51" s="12"/>
      <c r="E51" s="61"/>
      <c r="F51" s="36"/>
    </row>
    <row r="52">
      <c r="A52" s="12"/>
      <c r="B52" s="12"/>
      <c r="C52" s="12"/>
      <c r="D52" s="12"/>
      <c r="E52" s="61"/>
      <c r="F52" s="36"/>
    </row>
    <row r="53">
      <c r="A53" s="12"/>
      <c r="B53" s="12"/>
      <c r="C53" s="12"/>
      <c r="D53" s="12"/>
      <c r="E53" s="61"/>
      <c r="F53" s="36"/>
    </row>
    <row r="54">
      <c r="A54" s="12"/>
      <c r="B54" s="12"/>
      <c r="C54" s="12"/>
      <c r="D54" s="12"/>
      <c r="E54" s="61"/>
      <c r="F54" s="36"/>
    </row>
    <row r="55">
      <c r="A55" s="12"/>
      <c r="B55" s="12"/>
      <c r="C55" s="12"/>
      <c r="D55" s="12"/>
      <c r="E55" s="61"/>
      <c r="F55" s="36"/>
    </row>
    <row r="56">
      <c r="A56" s="12"/>
      <c r="B56" s="12"/>
      <c r="C56" s="12"/>
      <c r="D56" s="12"/>
      <c r="E56" s="61"/>
      <c r="F56" s="36"/>
    </row>
    <row r="57">
      <c r="A57" s="12"/>
      <c r="B57" s="12"/>
      <c r="C57" s="12"/>
      <c r="D57" s="12"/>
      <c r="E57" s="61"/>
      <c r="F57" s="36"/>
    </row>
    <row r="58">
      <c r="A58" s="12"/>
      <c r="B58" s="12"/>
      <c r="C58" s="12"/>
      <c r="D58" s="12"/>
      <c r="E58" s="61"/>
      <c r="F58" s="36"/>
    </row>
    <row r="59">
      <c r="A59" s="12"/>
      <c r="B59" s="12"/>
      <c r="C59" s="12"/>
      <c r="D59" s="12"/>
      <c r="E59" s="61"/>
      <c r="F59" s="36"/>
    </row>
    <row r="60">
      <c r="A60" s="12"/>
      <c r="B60" s="12"/>
      <c r="C60" s="12"/>
      <c r="D60" s="12"/>
      <c r="E60" s="61"/>
      <c r="F60" s="36"/>
    </row>
    <row r="61">
      <c r="A61" s="12"/>
      <c r="B61" s="12"/>
      <c r="C61" s="12"/>
      <c r="D61" s="12"/>
      <c r="E61" s="61"/>
      <c r="F61" s="36"/>
    </row>
    <row r="62">
      <c r="A62" s="12"/>
      <c r="B62" s="12"/>
      <c r="C62" s="12"/>
      <c r="D62" s="12"/>
      <c r="E62" s="61"/>
      <c r="F62" s="36"/>
    </row>
    <row r="63">
      <c r="A63" s="12"/>
      <c r="B63" s="12"/>
      <c r="C63" s="12"/>
      <c r="D63" s="12"/>
      <c r="E63" s="61"/>
      <c r="F63" s="36"/>
    </row>
    <row r="64">
      <c r="A64" s="12"/>
      <c r="B64" s="12"/>
      <c r="C64" s="12"/>
      <c r="D64" s="12"/>
      <c r="E64" s="61"/>
      <c r="F64" s="36"/>
    </row>
    <row r="65">
      <c r="A65" s="12"/>
      <c r="B65" s="12"/>
      <c r="C65" s="12"/>
      <c r="D65" s="12"/>
      <c r="E65" s="61"/>
      <c r="F65" s="36"/>
    </row>
    <row r="66">
      <c r="A66" s="12"/>
      <c r="B66" s="12"/>
      <c r="C66" s="12"/>
      <c r="D66" s="12"/>
      <c r="E66" s="61"/>
      <c r="F66" s="36"/>
    </row>
    <row r="67">
      <c r="A67" s="12"/>
      <c r="B67" s="12"/>
      <c r="C67" s="12"/>
      <c r="D67" s="12"/>
      <c r="E67" s="61"/>
      <c r="F67" s="36"/>
    </row>
    <row r="68">
      <c r="A68" s="12"/>
      <c r="B68" s="12"/>
      <c r="C68" s="12"/>
      <c r="D68" s="12"/>
      <c r="E68" s="61"/>
      <c r="F68" s="36"/>
    </row>
    <row r="69">
      <c r="A69" s="12"/>
      <c r="B69" s="12"/>
      <c r="C69" s="12"/>
      <c r="D69" s="12"/>
      <c r="E69" s="61"/>
      <c r="F69" s="36"/>
    </row>
    <row r="70">
      <c r="A70" s="12"/>
      <c r="B70" s="12"/>
      <c r="C70" s="12"/>
      <c r="D70" s="12"/>
      <c r="E70" s="61"/>
      <c r="F70" s="36"/>
    </row>
    <row r="71">
      <c r="A71" s="12"/>
      <c r="B71" s="12"/>
      <c r="C71" s="12"/>
      <c r="D71" s="12"/>
      <c r="E71" s="61"/>
      <c r="F71" s="36"/>
    </row>
    <row r="72">
      <c r="A72" s="12"/>
      <c r="B72" s="12"/>
      <c r="C72" s="12"/>
      <c r="D72" s="12"/>
      <c r="E72" s="61"/>
      <c r="F72" s="36"/>
    </row>
    <row r="73">
      <c r="A73" s="12"/>
      <c r="B73" s="12"/>
      <c r="C73" s="12"/>
      <c r="D73" s="12"/>
      <c r="E73" s="61"/>
      <c r="F73" s="36"/>
    </row>
    <row r="74">
      <c r="A74" s="12"/>
      <c r="B74" s="12"/>
      <c r="C74" s="12"/>
      <c r="D74" s="12"/>
      <c r="E74" s="61"/>
      <c r="F74" s="36"/>
    </row>
    <row r="75">
      <c r="A75" s="12"/>
      <c r="B75" s="12"/>
      <c r="C75" s="12"/>
      <c r="D75" s="12"/>
      <c r="E75" s="61"/>
      <c r="F75" s="36"/>
    </row>
    <row r="76">
      <c r="A76" s="12"/>
      <c r="B76" s="12"/>
      <c r="C76" s="12"/>
      <c r="D76" s="12"/>
      <c r="E76" s="61"/>
      <c r="F76" s="36"/>
    </row>
    <row r="77">
      <c r="A77" s="12"/>
      <c r="B77" s="12"/>
      <c r="C77" s="12"/>
      <c r="D77" s="12"/>
      <c r="E77" s="61"/>
      <c r="F77" s="36"/>
    </row>
    <row r="78">
      <c r="A78" s="12"/>
      <c r="B78" s="12"/>
      <c r="C78" s="12"/>
      <c r="D78" s="12"/>
      <c r="E78" s="61"/>
      <c r="F78" s="36"/>
    </row>
    <row r="79">
      <c r="A79" s="12"/>
      <c r="B79" s="12"/>
      <c r="C79" s="12"/>
      <c r="D79" s="12"/>
      <c r="E79" s="61"/>
      <c r="F79" s="36"/>
    </row>
    <row r="80">
      <c r="A80" s="12"/>
      <c r="B80" s="12"/>
      <c r="C80" s="12"/>
      <c r="D80" s="12"/>
      <c r="E80" s="61"/>
      <c r="F80" s="36"/>
    </row>
    <row r="81">
      <c r="A81" s="12"/>
      <c r="B81" s="12"/>
      <c r="C81" s="12"/>
      <c r="D81" s="12"/>
      <c r="E81" s="61"/>
      <c r="F81" s="36"/>
    </row>
    <row r="82">
      <c r="A82" s="12"/>
      <c r="B82" s="12"/>
      <c r="C82" s="12"/>
      <c r="D82" s="12"/>
      <c r="E82" s="61"/>
      <c r="F82" s="36"/>
    </row>
    <row r="83">
      <c r="A83" s="12"/>
      <c r="B83" s="12"/>
      <c r="C83" s="12"/>
      <c r="D83" s="12"/>
      <c r="E83" s="61"/>
      <c r="F83" s="36"/>
    </row>
    <row r="84">
      <c r="A84" s="12"/>
      <c r="B84" s="12"/>
      <c r="C84" s="12"/>
      <c r="D84" s="12"/>
      <c r="E84" s="61"/>
      <c r="F84" s="36"/>
    </row>
    <row r="85">
      <c r="A85" s="12"/>
      <c r="B85" s="12"/>
      <c r="C85" s="12"/>
      <c r="D85" s="12"/>
      <c r="E85" s="61"/>
      <c r="F85" s="36"/>
    </row>
    <row r="86">
      <c r="A86" s="12"/>
      <c r="B86" s="12"/>
      <c r="C86" s="12"/>
      <c r="D86" s="12"/>
      <c r="E86" s="61"/>
      <c r="F86" s="36"/>
    </row>
    <row r="87">
      <c r="A87" s="12"/>
      <c r="B87" s="12"/>
      <c r="C87" s="12"/>
      <c r="D87" s="12"/>
      <c r="E87" s="61"/>
      <c r="F87" s="36"/>
    </row>
    <row r="88">
      <c r="A88" s="12"/>
      <c r="B88" s="12"/>
      <c r="C88" s="12"/>
      <c r="D88" s="12"/>
      <c r="E88" s="61"/>
      <c r="F88" s="36"/>
    </row>
    <row r="89">
      <c r="A89" s="12"/>
      <c r="B89" s="12"/>
      <c r="C89" s="12"/>
      <c r="D89" s="12"/>
      <c r="E89" s="61"/>
      <c r="F89" s="36"/>
    </row>
    <row r="90">
      <c r="A90" s="12"/>
      <c r="B90" s="12"/>
      <c r="C90" s="12"/>
      <c r="D90" s="12"/>
      <c r="E90" s="61"/>
      <c r="F90" s="36"/>
    </row>
    <row r="91">
      <c r="A91" s="12"/>
      <c r="B91" s="12"/>
      <c r="C91" s="12"/>
      <c r="D91" s="12"/>
      <c r="E91" s="61"/>
      <c r="F91" s="36"/>
    </row>
    <row r="92">
      <c r="A92" s="12"/>
      <c r="B92" s="12"/>
      <c r="C92" s="12"/>
      <c r="D92" s="12"/>
      <c r="E92" s="61"/>
      <c r="F92" s="36"/>
    </row>
    <row r="93">
      <c r="A93" s="12"/>
      <c r="B93" s="12"/>
      <c r="C93" s="12"/>
      <c r="D93" s="12"/>
      <c r="E93" s="61"/>
      <c r="F93" s="36"/>
    </row>
    <row r="94">
      <c r="A94" s="12"/>
      <c r="B94" s="12"/>
      <c r="C94" s="12"/>
      <c r="D94" s="12"/>
      <c r="E94" s="61"/>
      <c r="F94" s="36"/>
    </row>
    <row r="95">
      <c r="A95" s="12"/>
      <c r="B95" s="12"/>
      <c r="C95" s="12"/>
      <c r="D95" s="12"/>
      <c r="E95" s="61"/>
      <c r="F95" s="36"/>
    </row>
    <row r="96">
      <c r="A96" s="12"/>
      <c r="B96" s="12"/>
      <c r="C96" s="12"/>
      <c r="D96" s="12"/>
      <c r="E96" s="61"/>
      <c r="F96" s="36"/>
    </row>
    <row r="97">
      <c r="A97" s="12"/>
      <c r="B97" s="12"/>
      <c r="C97" s="12"/>
      <c r="D97" s="12"/>
      <c r="E97" s="61"/>
      <c r="F97" s="36"/>
    </row>
    <row r="98">
      <c r="A98" s="12"/>
      <c r="B98" s="12"/>
      <c r="C98" s="12"/>
      <c r="D98" s="12"/>
      <c r="E98" s="61"/>
      <c r="F98" s="36"/>
    </row>
    <row r="99">
      <c r="A99" s="12"/>
      <c r="B99" s="12"/>
      <c r="C99" s="12"/>
      <c r="D99" s="12"/>
      <c r="E99" s="61"/>
      <c r="F99" s="36"/>
    </row>
    <row r="100">
      <c r="A100" s="12"/>
      <c r="B100" s="12"/>
      <c r="C100" s="12"/>
      <c r="D100" s="12"/>
      <c r="E100" s="61"/>
      <c r="F100" s="36"/>
    </row>
    <row r="101">
      <c r="A101" s="12"/>
      <c r="B101" s="12"/>
      <c r="C101" s="12"/>
      <c r="D101" s="12"/>
      <c r="E101" s="61"/>
      <c r="F101" s="36"/>
    </row>
    <row r="102">
      <c r="A102" s="12"/>
      <c r="B102" s="12"/>
      <c r="C102" s="12"/>
      <c r="D102" s="12"/>
      <c r="E102" s="61"/>
      <c r="F102" s="36"/>
    </row>
    <row r="103">
      <c r="A103" s="12"/>
      <c r="B103" s="12"/>
      <c r="C103" s="12"/>
      <c r="D103" s="12"/>
      <c r="E103" s="61"/>
      <c r="F103" s="36"/>
    </row>
    <row r="104">
      <c r="A104" s="12"/>
      <c r="B104" s="12"/>
      <c r="C104" s="12"/>
      <c r="D104" s="12"/>
      <c r="E104" s="61"/>
      <c r="F104" s="36"/>
    </row>
    <row r="105">
      <c r="A105" s="12"/>
      <c r="B105" s="12"/>
      <c r="C105" s="12"/>
      <c r="D105" s="12"/>
      <c r="E105" s="61"/>
      <c r="F105" s="36"/>
    </row>
    <row r="106">
      <c r="A106" s="12"/>
      <c r="B106" s="12"/>
      <c r="C106" s="12"/>
      <c r="D106" s="12"/>
      <c r="E106" s="61"/>
      <c r="F106" s="36"/>
    </row>
    <row r="107">
      <c r="A107" s="12"/>
      <c r="B107" s="12"/>
      <c r="C107" s="12"/>
      <c r="D107" s="12"/>
      <c r="E107" s="61"/>
      <c r="F107" s="36"/>
    </row>
    <row r="108">
      <c r="A108" s="12"/>
      <c r="B108" s="12"/>
      <c r="C108" s="12"/>
      <c r="D108" s="12"/>
      <c r="E108" s="61"/>
      <c r="F108" s="36"/>
    </row>
    <row r="109">
      <c r="A109" s="12"/>
      <c r="B109" s="12"/>
      <c r="C109" s="12"/>
      <c r="D109" s="12"/>
      <c r="E109" s="61"/>
      <c r="F109" s="36"/>
    </row>
    <row r="110">
      <c r="A110" s="12"/>
      <c r="B110" s="12"/>
      <c r="C110" s="12"/>
      <c r="D110" s="12"/>
      <c r="E110" s="61"/>
      <c r="F110" s="36"/>
    </row>
    <row r="111">
      <c r="A111" s="12"/>
      <c r="B111" s="12"/>
      <c r="C111" s="12"/>
      <c r="D111" s="12"/>
      <c r="E111" s="61"/>
      <c r="F111" s="36"/>
    </row>
    <row r="112">
      <c r="A112" s="12"/>
      <c r="B112" s="12"/>
      <c r="C112" s="12"/>
      <c r="D112" s="12"/>
      <c r="E112" s="61"/>
      <c r="F112" s="36"/>
    </row>
    <row r="113">
      <c r="A113" s="12"/>
      <c r="B113" s="12"/>
      <c r="C113" s="12"/>
      <c r="D113" s="12"/>
      <c r="E113" s="61"/>
      <c r="F113" s="36"/>
    </row>
    <row r="114">
      <c r="A114" s="12"/>
      <c r="B114" s="12"/>
      <c r="C114" s="12"/>
      <c r="D114" s="12"/>
      <c r="E114" s="61"/>
      <c r="F114" s="36"/>
    </row>
    <row r="115">
      <c r="A115" s="12"/>
      <c r="B115" s="12"/>
      <c r="C115" s="12"/>
      <c r="D115" s="12"/>
      <c r="E115" s="61"/>
      <c r="F115" s="36"/>
    </row>
    <row r="116">
      <c r="A116" s="12"/>
      <c r="B116" s="12"/>
      <c r="C116" s="12"/>
      <c r="D116" s="12"/>
      <c r="E116" s="61"/>
      <c r="F116" s="36"/>
    </row>
    <row r="117">
      <c r="A117" s="12"/>
      <c r="B117" s="12"/>
      <c r="C117" s="12"/>
      <c r="D117" s="12"/>
      <c r="E117" s="61"/>
      <c r="F117" s="36"/>
    </row>
    <row r="118">
      <c r="A118" s="12"/>
      <c r="B118" s="12"/>
      <c r="C118" s="12"/>
      <c r="D118" s="12"/>
      <c r="E118" s="61"/>
      <c r="F118" s="36"/>
    </row>
    <row r="119">
      <c r="A119" s="12"/>
      <c r="B119" s="12"/>
      <c r="C119" s="12"/>
      <c r="D119" s="12"/>
      <c r="E119" s="61"/>
      <c r="F119" s="36"/>
    </row>
    <row r="120">
      <c r="A120" s="12"/>
      <c r="B120" s="12"/>
      <c r="C120" s="12"/>
      <c r="D120" s="12"/>
      <c r="E120" s="61"/>
      <c r="F120" s="36"/>
    </row>
    <row r="121">
      <c r="A121" s="12"/>
      <c r="B121" s="12"/>
      <c r="C121" s="12"/>
      <c r="D121" s="12"/>
      <c r="E121" s="61"/>
      <c r="F121" s="36"/>
    </row>
    <row r="122">
      <c r="A122" s="12"/>
      <c r="B122" s="12"/>
      <c r="C122" s="12"/>
      <c r="D122" s="12"/>
      <c r="E122" s="61"/>
      <c r="F122" s="36"/>
    </row>
    <row r="123">
      <c r="A123" s="12"/>
      <c r="B123" s="12"/>
      <c r="C123" s="12"/>
      <c r="D123" s="12"/>
      <c r="E123" s="61"/>
      <c r="F123" s="36"/>
    </row>
    <row r="124">
      <c r="A124" s="12"/>
      <c r="B124" s="12"/>
      <c r="C124" s="12"/>
      <c r="D124" s="12"/>
      <c r="E124" s="61"/>
      <c r="F124" s="36"/>
    </row>
    <row r="125">
      <c r="A125" s="12"/>
      <c r="B125" s="12"/>
      <c r="C125" s="12"/>
      <c r="D125" s="12"/>
      <c r="E125" s="61"/>
      <c r="F125" s="36"/>
    </row>
    <row r="126">
      <c r="A126" s="12"/>
      <c r="B126" s="12"/>
      <c r="C126" s="12"/>
      <c r="D126" s="12"/>
      <c r="E126" s="61"/>
      <c r="F126" s="36"/>
    </row>
    <row r="127">
      <c r="A127" s="12"/>
      <c r="B127" s="12"/>
      <c r="C127" s="12"/>
      <c r="D127" s="12"/>
      <c r="E127" s="61"/>
      <c r="F127" s="36"/>
    </row>
    <row r="128">
      <c r="A128" s="12"/>
      <c r="B128" s="12"/>
      <c r="C128" s="12"/>
      <c r="D128" s="12"/>
      <c r="E128" s="61"/>
      <c r="F128" s="36"/>
    </row>
    <row r="129">
      <c r="A129" s="12"/>
      <c r="B129" s="12"/>
      <c r="C129" s="12"/>
      <c r="D129" s="12"/>
      <c r="E129" s="61"/>
      <c r="F129" s="36"/>
    </row>
    <row r="130">
      <c r="A130" s="12"/>
      <c r="B130" s="12"/>
      <c r="C130" s="12"/>
      <c r="D130" s="12"/>
      <c r="E130" s="61"/>
      <c r="F130" s="36"/>
    </row>
    <row r="131">
      <c r="A131" s="12"/>
      <c r="B131" s="12"/>
      <c r="C131" s="12"/>
      <c r="D131" s="12"/>
      <c r="E131" s="61"/>
      <c r="F131" s="36"/>
    </row>
    <row r="132">
      <c r="A132" s="12"/>
      <c r="B132" s="12"/>
      <c r="C132" s="12"/>
      <c r="D132" s="12"/>
      <c r="E132" s="61"/>
      <c r="F132" s="36"/>
    </row>
    <row r="133">
      <c r="A133" s="12"/>
      <c r="B133" s="12"/>
      <c r="C133" s="12"/>
      <c r="D133" s="12"/>
      <c r="E133" s="61"/>
      <c r="F133" s="36"/>
    </row>
    <row r="134">
      <c r="A134" s="12"/>
      <c r="B134" s="12"/>
      <c r="C134" s="12"/>
      <c r="D134" s="12"/>
      <c r="E134" s="61"/>
      <c r="F134" s="36"/>
    </row>
    <row r="135">
      <c r="A135" s="12"/>
      <c r="B135" s="12"/>
      <c r="C135" s="12"/>
      <c r="D135" s="12"/>
      <c r="E135" s="61"/>
      <c r="F135" s="36"/>
    </row>
    <row r="136">
      <c r="A136" s="12"/>
      <c r="B136" s="12"/>
      <c r="C136" s="12"/>
      <c r="D136" s="12"/>
      <c r="E136" s="61"/>
      <c r="F136" s="36"/>
    </row>
    <row r="137">
      <c r="A137" s="12"/>
      <c r="B137" s="12"/>
      <c r="C137" s="12"/>
      <c r="D137" s="12"/>
      <c r="E137" s="61"/>
      <c r="F137" s="36"/>
    </row>
    <row r="138">
      <c r="A138" s="12"/>
      <c r="B138" s="12"/>
      <c r="C138" s="12"/>
      <c r="D138" s="12"/>
      <c r="E138" s="61"/>
      <c r="F138" s="36"/>
    </row>
    <row r="139">
      <c r="A139" s="12"/>
      <c r="B139" s="12"/>
      <c r="C139" s="12"/>
      <c r="D139" s="12"/>
      <c r="E139" s="61"/>
      <c r="F139" s="36"/>
    </row>
    <row r="140">
      <c r="A140" s="12"/>
      <c r="B140" s="12"/>
      <c r="C140" s="12"/>
      <c r="D140" s="12"/>
      <c r="E140" s="61"/>
      <c r="F140" s="36"/>
    </row>
    <row r="141">
      <c r="A141" s="12"/>
      <c r="B141" s="12"/>
      <c r="C141" s="12"/>
      <c r="D141" s="12"/>
      <c r="E141" s="61"/>
      <c r="F141" s="36"/>
    </row>
    <row r="142">
      <c r="A142" s="12"/>
      <c r="B142" s="12"/>
      <c r="C142" s="12"/>
      <c r="D142" s="12"/>
      <c r="E142" s="61"/>
      <c r="F142" s="36"/>
    </row>
    <row r="143">
      <c r="A143" s="12"/>
      <c r="B143" s="12"/>
      <c r="C143" s="12"/>
      <c r="D143" s="12"/>
      <c r="E143" s="61"/>
      <c r="F143" s="36"/>
    </row>
    <row r="144">
      <c r="A144" s="12"/>
      <c r="B144" s="12"/>
      <c r="C144" s="12"/>
      <c r="D144" s="12"/>
      <c r="E144" s="61"/>
      <c r="F144" s="36"/>
    </row>
    <row r="145">
      <c r="A145" s="12"/>
      <c r="B145" s="12"/>
      <c r="C145" s="12"/>
      <c r="D145" s="12"/>
      <c r="E145" s="61"/>
      <c r="F145" s="36"/>
    </row>
    <row r="146">
      <c r="A146" s="12"/>
      <c r="B146" s="12"/>
      <c r="C146" s="12"/>
      <c r="D146" s="12"/>
      <c r="E146" s="61"/>
      <c r="F146" s="36"/>
    </row>
    <row r="147">
      <c r="A147" s="12"/>
      <c r="B147" s="12"/>
      <c r="C147" s="12"/>
      <c r="D147" s="12"/>
      <c r="E147" s="61"/>
      <c r="F147" s="36"/>
    </row>
    <row r="148">
      <c r="A148" s="12"/>
      <c r="B148" s="12"/>
      <c r="C148" s="12"/>
      <c r="D148" s="12"/>
      <c r="E148" s="61"/>
      <c r="F148" s="36"/>
    </row>
    <row r="149">
      <c r="A149" s="12"/>
      <c r="B149" s="12"/>
      <c r="C149" s="12"/>
      <c r="D149" s="12"/>
      <c r="E149" s="61"/>
      <c r="F149" s="36"/>
    </row>
    <row r="150">
      <c r="A150" s="12"/>
      <c r="B150" s="12"/>
      <c r="C150" s="12"/>
      <c r="D150" s="12"/>
      <c r="E150" s="61"/>
      <c r="F150" s="36"/>
    </row>
    <row r="151">
      <c r="A151" s="12"/>
      <c r="B151" s="12"/>
      <c r="C151" s="12"/>
      <c r="D151" s="12"/>
      <c r="E151" s="61"/>
      <c r="F151" s="36"/>
    </row>
    <row r="152">
      <c r="A152" s="12"/>
      <c r="B152" s="12"/>
      <c r="C152" s="12"/>
      <c r="D152" s="12"/>
      <c r="E152" s="61"/>
      <c r="F152" s="36"/>
    </row>
    <row r="153">
      <c r="A153" s="12"/>
      <c r="B153" s="12"/>
      <c r="C153" s="12"/>
      <c r="D153" s="12"/>
      <c r="E153" s="61"/>
      <c r="F153" s="36"/>
    </row>
    <row r="154">
      <c r="A154" s="12"/>
      <c r="B154" s="12"/>
      <c r="C154" s="12"/>
      <c r="D154" s="12"/>
      <c r="E154" s="61"/>
      <c r="F154" s="36"/>
    </row>
    <row r="155">
      <c r="A155" s="12"/>
      <c r="B155" s="12"/>
      <c r="C155" s="12"/>
      <c r="D155" s="12"/>
      <c r="E155" s="61"/>
      <c r="F155" s="36"/>
    </row>
    <row r="156">
      <c r="A156" s="12"/>
      <c r="B156" s="12"/>
      <c r="C156" s="12"/>
      <c r="D156" s="12"/>
      <c r="E156" s="61"/>
      <c r="F156" s="36"/>
    </row>
    <row r="157">
      <c r="A157" s="12"/>
      <c r="B157" s="12"/>
      <c r="C157" s="12"/>
      <c r="D157" s="12"/>
      <c r="E157" s="61"/>
      <c r="F157" s="36"/>
    </row>
    <row r="158">
      <c r="A158" s="12"/>
      <c r="B158" s="12"/>
      <c r="C158" s="12"/>
      <c r="D158" s="12"/>
      <c r="E158" s="61"/>
      <c r="F158" s="36"/>
    </row>
    <row r="159">
      <c r="A159" s="12"/>
      <c r="B159" s="12"/>
      <c r="C159" s="12"/>
      <c r="D159" s="12"/>
      <c r="E159" s="61"/>
      <c r="F159" s="36"/>
    </row>
    <row r="160">
      <c r="A160" s="12"/>
      <c r="B160" s="12"/>
      <c r="C160" s="12"/>
      <c r="D160" s="12"/>
      <c r="E160" s="61"/>
      <c r="F160" s="36"/>
    </row>
    <row r="161">
      <c r="A161" s="12"/>
      <c r="B161" s="12"/>
      <c r="C161" s="12"/>
      <c r="D161" s="12"/>
      <c r="E161" s="61"/>
      <c r="F161" s="36"/>
    </row>
    <row r="162">
      <c r="A162" s="12"/>
      <c r="B162" s="12"/>
      <c r="C162" s="12"/>
      <c r="D162" s="12"/>
      <c r="E162" s="61"/>
      <c r="F162" s="36"/>
    </row>
    <row r="163">
      <c r="A163" s="12"/>
      <c r="B163" s="12"/>
      <c r="C163" s="12"/>
      <c r="D163" s="12"/>
      <c r="E163" s="61"/>
      <c r="F163" s="36"/>
    </row>
    <row r="164">
      <c r="A164" s="12"/>
      <c r="B164" s="12"/>
      <c r="C164" s="12"/>
      <c r="D164" s="12"/>
      <c r="E164" s="61"/>
      <c r="F164" s="36"/>
    </row>
    <row r="165">
      <c r="A165" s="12"/>
      <c r="B165" s="12"/>
      <c r="C165" s="12"/>
      <c r="D165" s="12"/>
      <c r="E165" s="61"/>
      <c r="F165" s="36"/>
    </row>
    <row r="166">
      <c r="A166" s="12"/>
      <c r="B166" s="12"/>
      <c r="C166" s="12"/>
      <c r="D166" s="12"/>
      <c r="E166" s="61"/>
      <c r="F166" s="36"/>
    </row>
    <row r="167">
      <c r="A167" s="12"/>
      <c r="B167" s="12"/>
      <c r="C167" s="12"/>
      <c r="D167" s="12"/>
      <c r="E167" s="61"/>
      <c r="F167" s="36"/>
    </row>
    <row r="168">
      <c r="A168" s="12"/>
      <c r="B168" s="12"/>
      <c r="C168" s="12"/>
      <c r="D168" s="12"/>
      <c r="E168" s="61"/>
      <c r="F168" s="36"/>
    </row>
    <row r="169">
      <c r="A169" s="12"/>
      <c r="B169" s="12"/>
      <c r="C169" s="12"/>
      <c r="D169" s="12"/>
      <c r="E169" s="61"/>
      <c r="F169" s="36"/>
    </row>
    <row r="170">
      <c r="A170" s="12"/>
      <c r="B170" s="12"/>
      <c r="C170" s="12"/>
      <c r="D170" s="12"/>
      <c r="E170" s="61"/>
      <c r="F170" s="36"/>
    </row>
    <row r="171">
      <c r="A171" s="12"/>
      <c r="B171" s="12"/>
      <c r="C171" s="12"/>
      <c r="D171" s="12"/>
      <c r="E171" s="61"/>
      <c r="F171" s="36"/>
    </row>
    <row r="172">
      <c r="A172" s="12"/>
      <c r="B172" s="12"/>
      <c r="C172" s="12"/>
      <c r="D172" s="12"/>
      <c r="E172" s="61"/>
      <c r="F172" s="36"/>
    </row>
    <row r="173">
      <c r="A173" s="12"/>
      <c r="B173" s="12"/>
      <c r="C173" s="12"/>
      <c r="D173" s="12"/>
      <c r="E173" s="61"/>
      <c r="F173" s="36"/>
    </row>
    <row r="174">
      <c r="A174" s="12"/>
      <c r="B174" s="12"/>
      <c r="C174" s="12"/>
      <c r="D174" s="12"/>
      <c r="E174" s="61"/>
      <c r="F174" s="36"/>
    </row>
    <row r="175">
      <c r="A175" s="12"/>
      <c r="B175" s="12"/>
      <c r="C175" s="12"/>
      <c r="D175" s="12"/>
      <c r="E175" s="61"/>
      <c r="F175" s="36"/>
    </row>
    <row r="176">
      <c r="A176" s="12"/>
      <c r="B176" s="12"/>
      <c r="C176" s="12"/>
      <c r="D176" s="12"/>
      <c r="E176" s="61"/>
      <c r="F176" s="36"/>
    </row>
    <row r="177">
      <c r="A177" s="12"/>
      <c r="B177" s="12"/>
      <c r="C177" s="12"/>
      <c r="D177" s="12"/>
      <c r="E177" s="61"/>
      <c r="F177" s="36"/>
    </row>
    <row r="178">
      <c r="A178" s="12"/>
      <c r="B178" s="12"/>
      <c r="C178" s="12"/>
      <c r="D178" s="12"/>
      <c r="E178" s="61"/>
      <c r="F178" s="36"/>
    </row>
    <row r="179">
      <c r="A179" s="12"/>
      <c r="B179" s="12"/>
      <c r="C179" s="12"/>
      <c r="D179" s="12"/>
      <c r="E179" s="61"/>
      <c r="F179" s="36"/>
    </row>
    <row r="180">
      <c r="A180" s="12"/>
      <c r="B180" s="12"/>
      <c r="C180" s="12"/>
      <c r="D180" s="12"/>
      <c r="E180" s="61"/>
      <c r="F180" s="36"/>
    </row>
    <row r="181">
      <c r="A181" s="12"/>
      <c r="B181" s="12"/>
      <c r="C181" s="12"/>
      <c r="D181" s="12"/>
      <c r="E181" s="61"/>
      <c r="F181" s="36"/>
    </row>
    <row r="182">
      <c r="A182" s="12"/>
      <c r="B182" s="12"/>
      <c r="C182" s="12"/>
      <c r="D182" s="12"/>
      <c r="E182" s="61"/>
      <c r="F182" s="36"/>
    </row>
    <row r="183">
      <c r="A183" s="12"/>
      <c r="B183" s="12"/>
      <c r="C183" s="12"/>
      <c r="D183" s="12"/>
      <c r="E183" s="61"/>
      <c r="F183" s="36"/>
    </row>
    <row r="184">
      <c r="A184" s="12"/>
      <c r="B184" s="12"/>
      <c r="C184" s="12"/>
      <c r="D184" s="12"/>
      <c r="E184" s="61"/>
      <c r="F184" s="36"/>
    </row>
    <row r="185">
      <c r="A185" s="12"/>
      <c r="B185" s="12"/>
      <c r="C185" s="12"/>
      <c r="D185" s="12"/>
      <c r="E185" s="61"/>
      <c r="F185" s="36"/>
    </row>
    <row r="186">
      <c r="A186" s="12"/>
      <c r="B186" s="12"/>
      <c r="C186" s="12"/>
      <c r="D186" s="12"/>
      <c r="E186" s="61"/>
      <c r="F186" s="36"/>
    </row>
    <row r="187">
      <c r="A187" s="12"/>
      <c r="B187" s="12"/>
      <c r="C187" s="12"/>
      <c r="D187" s="12"/>
      <c r="E187" s="61"/>
      <c r="F187" s="36"/>
    </row>
    <row r="188">
      <c r="A188" s="12"/>
      <c r="B188" s="12"/>
      <c r="C188" s="12"/>
      <c r="D188" s="12"/>
      <c r="E188" s="61"/>
      <c r="F188" s="36"/>
    </row>
    <row r="189">
      <c r="A189" s="12"/>
      <c r="B189" s="12"/>
      <c r="C189" s="12"/>
      <c r="D189" s="12"/>
      <c r="E189" s="61"/>
      <c r="F189" s="36"/>
    </row>
    <row r="190">
      <c r="A190" s="12"/>
      <c r="B190" s="12"/>
      <c r="C190" s="12"/>
      <c r="D190" s="12"/>
      <c r="E190" s="61"/>
      <c r="F190" s="36"/>
    </row>
    <row r="191">
      <c r="A191" s="12"/>
      <c r="B191" s="12"/>
      <c r="C191" s="12"/>
      <c r="D191" s="12"/>
      <c r="E191" s="61"/>
      <c r="F191" s="36"/>
    </row>
    <row r="192">
      <c r="A192" s="12"/>
      <c r="B192" s="12"/>
      <c r="C192" s="12"/>
      <c r="D192" s="12"/>
      <c r="E192" s="61"/>
      <c r="F192" s="36"/>
    </row>
    <row r="193">
      <c r="A193" s="12"/>
      <c r="B193" s="12"/>
      <c r="C193" s="12"/>
      <c r="D193" s="12"/>
      <c r="E193" s="61"/>
      <c r="F193" s="36"/>
    </row>
    <row r="194">
      <c r="A194" s="12"/>
      <c r="B194" s="12"/>
      <c r="C194" s="12"/>
      <c r="D194" s="12"/>
      <c r="E194" s="61"/>
      <c r="F194" s="36"/>
    </row>
    <row r="195">
      <c r="A195" s="12"/>
      <c r="B195" s="12"/>
      <c r="C195" s="12"/>
      <c r="D195" s="12"/>
      <c r="E195" s="61"/>
      <c r="F195" s="36"/>
    </row>
    <row r="196">
      <c r="A196" s="12"/>
      <c r="B196" s="12"/>
      <c r="C196" s="12"/>
      <c r="D196" s="12"/>
      <c r="E196" s="61"/>
      <c r="F196" s="36"/>
    </row>
    <row r="197">
      <c r="A197" s="12"/>
      <c r="B197" s="12"/>
      <c r="C197" s="12"/>
      <c r="D197" s="12"/>
      <c r="E197" s="61"/>
      <c r="F197" s="36"/>
    </row>
    <row r="198">
      <c r="A198" s="12"/>
      <c r="B198" s="12"/>
      <c r="C198" s="12"/>
      <c r="D198" s="12"/>
      <c r="E198" s="61"/>
      <c r="F198" s="36"/>
    </row>
    <row r="199">
      <c r="A199" s="12"/>
      <c r="B199" s="12"/>
      <c r="C199" s="12"/>
      <c r="D199" s="12"/>
      <c r="E199" s="61"/>
      <c r="F199" s="36"/>
    </row>
    <row r="200">
      <c r="A200" s="12"/>
      <c r="B200" s="12"/>
      <c r="C200" s="12"/>
      <c r="D200" s="12"/>
      <c r="E200" s="61"/>
      <c r="F200" s="36"/>
    </row>
    <row r="201">
      <c r="A201" s="12"/>
      <c r="B201" s="12"/>
      <c r="C201" s="12"/>
      <c r="D201" s="12"/>
      <c r="E201" s="61"/>
      <c r="F201" s="36"/>
    </row>
    <row r="202">
      <c r="A202" s="12"/>
      <c r="B202" s="12"/>
      <c r="C202" s="12"/>
      <c r="D202" s="12"/>
      <c r="E202" s="61"/>
      <c r="F202" s="36"/>
    </row>
    <row r="203">
      <c r="A203" s="12"/>
      <c r="B203" s="12"/>
      <c r="C203" s="12"/>
      <c r="D203" s="12"/>
      <c r="E203" s="61"/>
      <c r="F203" s="36"/>
    </row>
    <row r="204">
      <c r="A204" s="12"/>
      <c r="B204" s="12"/>
      <c r="C204" s="12"/>
      <c r="D204" s="12"/>
      <c r="E204" s="61"/>
      <c r="F204" s="36"/>
    </row>
    <row r="205">
      <c r="A205" s="12"/>
      <c r="B205" s="12"/>
      <c r="C205" s="12"/>
      <c r="D205" s="12"/>
      <c r="E205" s="61"/>
      <c r="F205" s="36"/>
    </row>
    <row r="206">
      <c r="A206" s="12"/>
      <c r="B206" s="12"/>
      <c r="C206" s="12"/>
      <c r="D206" s="12"/>
      <c r="E206" s="61"/>
      <c r="F206" s="36"/>
    </row>
    <row r="207">
      <c r="A207" s="12"/>
      <c r="B207" s="12"/>
      <c r="C207" s="12"/>
      <c r="D207" s="12"/>
      <c r="E207" s="61"/>
      <c r="F207" s="36"/>
    </row>
    <row r="208">
      <c r="A208" s="12"/>
      <c r="B208" s="12"/>
      <c r="C208" s="12"/>
      <c r="D208" s="12"/>
      <c r="E208" s="61"/>
      <c r="F208" s="36"/>
    </row>
    <row r="209">
      <c r="A209" s="12"/>
      <c r="B209" s="12"/>
      <c r="C209" s="12"/>
      <c r="D209" s="12"/>
      <c r="E209" s="61"/>
      <c r="F209" s="36"/>
    </row>
    <row r="210">
      <c r="A210" s="12"/>
      <c r="B210" s="12"/>
      <c r="C210" s="12"/>
      <c r="D210" s="12"/>
      <c r="E210" s="61"/>
      <c r="F210" s="36"/>
    </row>
    <row r="211">
      <c r="A211" s="12"/>
      <c r="B211" s="12"/>
      <c r="C211" s="12"/>
      <c r="D211" s="12"/>
      <c r="E211" s="61"/>
      <c r="F211" s="36"/>
    </row>
    <row r="212">
      <c r="A212" s="12"/>
      <c r="B212" s="12"/>
      <c r="C212" s="12"/>
      <c r="D212" s="12"/>
      <c r="E212" s="61"/>
      <c r="F212" s="36"/>
    </row>
    <row r="213">
      <c r="A213" s="12"/>
      <c r="B213" s="12"/>
      <c r="C213" s="12"/>
      <c r="D213" s="12"/>
      <c r="E213" s="61"/>
      <c r="F213" s="36"/>
    </row>
    <row r="214">
      <c r="A214" s="12"/>
      <c r="B214" s="12"/>
      <c r="C214" s="12"/>
      <c r="D214" s="12"/>
      <c r="E214" s="61"/>
      <c r="F214" s="36"/>
    </row>
    <row r="215">
      <c r="A215" s="12"/>
      <c r="B215" s="12"/>
      <c r="C215" s="12"/>
      <c r="D215" s="12"/>
      <c r="E215" s="61"/>
      <c r="F215" s="36"/>
    </row>
    <row r="216">
      <c r="A216" s="12"/>
      <c r="B216" s="12"/>
      <c r="C216" s="12"/>
      <c r="D216" s="12"/>
      <c r="E216" s="61"/>
      <c r="F216" s="36"/>
    </row>
    <row r="217">
      <c r="A217" s="12"/>
      <c r="B217" s="12"/>
      <c r="C217" s="12"/>
      <c r="D217" s="12"/>
      <c r="E217" s="61"/>
      <c r="F217" s="36"/>
    </row>
    <row r="218">
      <c r="A218" s="12"/>
      <c r="B218" s="12"/>
      <c r="C218" s="12"/>
      <c r="D218" s="12"/>
      <c r="E218" s="61"/>
      <c r="F218" s="36"/>
    </row>
    <row r="219">
      <c r="A219" s="12"/>
      <c r="B219" s="12"/>
      <c r="C219" s="12"/>
      <c r="D219" s="12"/>
      <c r="E219" s="61"/>
      <c r="F219" s="36"/>
    </row>
    <row r="220">
      <c r="A220" s="12"/>
      <c r="B220" s="12"/>
      <c r="C220" s="12"/>
      <c r="D220" s="12"/>
      <c r="E220" s="61"/>
      <c r="F220" s="36"/>
    </row>
    <row r="221">
      <c r="A221" s="12"/>
      <c r="B221" s="12"/>
      <c r="C221" s="12"/>
      <c r="D221" s="12"/>
      <c r="E221" s="61"/>
      <c r="F221" s="36"/>
    </row>
    <row r="222">
      <c r="A222" s="12"/>
      <c r="B222" s="12"/>
      <c r="C222" s="12"/>
      <c r="D222" s="12"/>
      <c r="E222" s="61"/>
      <c r="F222" s="36"/>
    </row>
    <row r="223">
      <c r="A223" s="12"/>
      <c r="B223" s="12"/>
      <c r="C223" s="12"/>
      <c r="D223" s="12"/>
      <c r="E223" s="61"/>
      <c r="F223" s="36"/>
    </row>
    <row r="224">
      <c r="A224" s="12"/>
      <c r="B224" s="12"/>
      <c r="C224" s="12"/>
      <c r="D224" s="12"/>
      <c r="E224" s="61"/>
      <c r="F224" s="36"/>
    </row>
    <row r="225">
      <c r="A225" s="12"/>
      <c r="B225" s="12"/>
      <c r="C225" s="12"/>
      <c r="D225" s="12"/>
      <c r="E225" s="61"/>
      <c r="F225" s="36"/>
    </row>
    <row r="226">
      <c r="A226" s="12"/>
      <c r="B226" s="12"/>
      <c r="C226" s="12"/>
      <c r="D226" s="12"/>
      <c r="E226" s="61"/>
      <c r="F226" s="36"/>
    </row>
    <row r="227">
      <c r="A227" s="12"/>
      <c r="B227" s="12"/>
      <c r="C227" s="12"/>
      <c r="D227" s="12"/>
      <c r="E227" s="61"/>
      <c r="F227" s="36"/>
    </row>
    <row r="228">
      <c r="A228" s="12"/>
      <c r="B228" s="12"/>
      <c r="C228" s="12"/>
      <c r="D228" s="12"/>
      <c r="E228" s="61"/>
      <c r="F228" s="36"/>
    </row>
    <row r="229">
      <c r="A229" s="12"/>
      <c r="B229" s="12"/>
      <c r="C229" s="12"/>
      <c r="D229" s="12"/>
      <c r="E229" s="61"/>
      <c r="F229" s="36"/>
    </row>
    <row r="230">
      <c r="A230" s="12"/>
      <c r="B230" s="12"/>
      <c r="C230" s="12"/>
      <c r="D230" s="12"/>
      <c r="E230" s="61"/>
      <c r="F230" s="36"/>
    </row>
    <row r="231">
      <c r="A231" s="12"/>
      <c r="B231" s="12"/>
      <c r="C231" s="12"/>
      <c r="D231" s="12"/>
      <c r="E231" s="61"/>
      <c r="F231" s="36"/>
    </row>
    <row r="232">
      <c r="A232" s="12"/>
      <c r="B232" s="12"/>
      <c r="C232" s="12"/>
      <c r="D232" s="12"/>
      <c r="E232" s="61"/>
      <c r="F232" s="36"/>
    </row>
    <row r="233">
      <c r="A233" s="12"/>
      <c r="B233" s="12"/>
      <c r="C233" s="12"/>
      <c r="D233" s="12"/>
      <c r="E233" s="61"/>
      <c r="F233" s="36"/>
    </row>
    <row r="234">
      <c r="A234" s="12"/>
      <c r="B234" s="12"/>
      <c r="C234" s="12"/>
      <c r="D234" s="12"/>
      <c r="E234" s="61"/>
      <c r="F234" s="36"/>
    </row>
    <row r="235">
      <c r="A235" s="12"/>
      <c r="B235" s="12"/>
      <c r="C235" s="12"/>
      <c r="D235" s="12"/>
      <c r="E235" s="61"/>
      <c r="F235" s="36"/>
    </row>
    <row r="236">
      <c r="A236" s="12"/>
      <c r="B236" s="12"/>
      <c r="C236" s="12"/>
      <c r="D236" s="12"/>
      <c r="E236" s="61"/>
      <c r="F236" s="36"/>
    </row>
    <row r="237">
      <c r="A237" s="12"/>
      <c r="B237" s="12"/>
      <c r="C237" s="12"/>
      <c r="D237" s="12"/>
      <c r="E237" s="61"/>
      <c r="F237" s="36"/>
    </row>
    <row r="238">
      <c r="A238" s="12"/>
      <c r="B238" s="12"/>
      <c r="C238" s="12"/>
      <c r="D238" s="12"/>
      <c r="E238" s="61"/>
      <c r="F238" s="36"/>
    </row>
    <row r="239">
      <c r="A239" s="12"/>
      <c r="B239" s="12"/>
      <c r="C239" s="12"/>
      <c r="D239" s="12"/>
      <c r="E239" s="61"/>
      <c r="F239" s="36"/>
    </row>
    <row r="240">
      <c r="A240" s="12"/>
      <c r="B240" s="12"/>
      <c r="C240" s="12"/>
      <c r="D240" s="12"/>
      <c r="E240" s="61"/>
      <c r="F240" s="36"/>
    </row>
    <row r="241">
      <c r="A241" s="12"/>
      <c r="B241" s="12"/>
      <c r="C241" s="12"/>
      <c r="D241" s="12"/>
      <c r="E241" s="61"/>
      <c r="F241" s="36"/>
    </row>
    <row r="242">
      <c r="A242" s="12"/>
      <c r="B242" s="12"/>
      <c r="C242" s="12"/>
      <c r="D242" s="12"/>
      <c r="E242" s="61"/>
      <c r="F242" s="36"/>
    </row>
    <row r="243">
      <c r="A243" s="12"/>
      <c r="B243" s="12"/>
      <c r="C243" s="12"/>
      <c r="D243" s="12"/>
      <c r="E243" s="61"/>
      <c r="F243" s="36"/>
    </row>
    <row r="244">
      <c r="A244" s="12"/>
      <c r="B244" s="12"/>
      <c r="C244" s="12"/>
      <c r="D244" s="12"/>
      <c r="E244" s="61"/>
      <c r="F244" s="36"/>
    </row>
    <row r="245">
      <c r="A245" s="12"/>
      <c r="B245" s="12"/>
      <c r="C245" s="12"/>
      <c r="D245" s="12"/>
      <c r="E245" s="61"/>
      <c r="F245" s="36"/>
    </row>
    <row r="246">
      <c r="A246" s="12"/>
      <c r="B246" s="12"/>
      <c r="C246" s="12"/>
      <c r="D246" s="12"/>
      <c r="E246" s="61"/>
      <c r="F246" s="36"/>
    </row>
    <row r="247">
      <c r="A247" s="12"/>
      <c r="B247" s="12"/>
      <c r="C247" s="12"/>
      <c r="D247" s="12"/>
      <c r="E247" s="61"/>
      <c r="F247" s="36"/>
    </row>
    <row r="248">
      <c r="A248" s="12"/>
      <c r="B248" s="12"/>
      <c r="C248" s="12"/>
      <c r="D248" s="12"/>
      <c r="E248" s="61"/>
      <c r="F248" s="36"/>
    </row>
    <row r="249">
      <c r="A249" s="12"/>
      <c r="B249" s="12"/>
      <c r="C249" s="12"/>
      <c r="D249" s="12"/>
      <c r="E249" s="61"/>
      <c r="F249" s="36"/>
    </row>
    <row r="250">
      <c r="A250" s="12"/>
      <c r="B250" s="12"/>
      <c r="C250" s="12"/>
      <c r="D250" s="12"/>
      <c r="E250" s="61"/>
      <c r="F250" s="36"/>
    </row>
    <row r="251">
      <c r="A251" s="12"/>
      <c r="B251" s="12"/>
      <c r="C251" s="12"/>
      <c r="D251" s="12"/>
      <c r="E251" s="61"/>
      <c r="F251" s="36"/>
    </row>
    <row r="252">
      <c r="A252" s="12"/>
      <c r="B252" s="12"/>
      <c r="C252" s="12"/>
      <c r="D252" s="12"/>
      <c r="E252" s="61"/>
      <c r="F252" s="36"/>
    </row>
    <row r="253">
      <c r="A253" s="12"/>
      <c r="B253" s="12"/>
      <c r="C253" s="12"/>
      <c r="D253" s="12"/>
      <c r="E253" s="61"/>
      <c r="F253" s="36"/>
    </row>
    <row r="254">
      <c r="A254" s="12"/>
      <c r="B254" s="12"/>
      <c r="C254" s="12"/>
      <c r="D254" s="12"/>
      <c r="E254" s="61"/>
      <c r="F254" s="36"/>
    </row>
    <row r="255">
      <c r="A255" s="12"/>
      <c r="B255" s="12"/>
      <c r="C255" s="12"/>
      <c r="D255" s="12"/>
      <c r="E255" s="61"/>
      <c r="F255" s="36"/>
    </row>
    <row r="256">
      <c r="A256" s="12"/>
      <c r="B256" s="12"/>
      <c r="C256" s="12"/>
      <c r="D256" s="12"/>
      <c r="E256" s="61"/>
      <c r="F256" s="36"/>
    </row>
    <row r="257">
      <c r="A257" s="12"/>
      <c r="B257" s="12"/>
      <c r="C257" s="12"/>
      <c r="D257" s="12"/>
      <c r="E257" s="61"/>
      <c r="F257" s="36"/>
    </row>
    <row r="258">
      <c r="A258" s="12"/>
      <c r="B258" s="12"/>
      <c r="C258" s="12"/>
      <c r="D258" s="12"/>
      <c r="E258" s="61"/>
      <c r="F258" s="36"/>
    </row>
    <row r="259">
      <c r="A259" s="12"/>
      <c r="B259" s="12"/>
      <c r="C259" s="12"/>
      <c r="D259" s="12"/>
      <c r="E259" s="61"/>
      <c r="F259" s="36"/>
    </row>
    <row r="260">
      <c r="A260" s="12"/>
      <c r="B260" s="12"/>
      <c r="C260" s="12"/>
      <c r="D260" s="12"/>
      <c r="E260" s="61"/>
      <c r="F260" s="36"/>
    </row>
    <row r="261">
      <c r="A261" s="12"/>
      <c r="B261" s="12"/>
      <c r="C261" s="12"/>
      <c r="D261" s="12"/>
      <c r="E261" s="61"/>
      <c r="F261" s="36"/>
    </row>
    <row r="262">
      <c r="A262" s="12"/>
      <c r="B262" s="12"/>
      <c r="C262" s="12"/>
      <c r="D262" s="12"/>
      <c r="E262" s="61"/>
      <c r="F262" s="36"/>
    </row>
    <row r="263">
      <c r="A263" s="12"/>
      <c r="B263" s="12"/>
      <c r="C263" s="12"/>
      <c r="D263" s="12"/>
      <c r="E263" s="61"/>
      <c r="F263" s="36"/>
    </row>
    <row r="264">
      <c r="A264" s="12"/>
      <c r="B264" s="12"/>
      <c r="C264" s="12"/>
      <c r="D264" s="12"/>
      <c r="E264" s="61"/>
      <c r="F264" s="36"/>
    </row>
    <row r="265">
      <c r="A265" s="12"/>
      <c r="B265" s="12"/>
      <c r="C265" s="12"/>
      <c r="D265" s="12"/>
      <c r="E265" s="61"/>
      <c r="F265" s="36"/>
    </row>
    <row r="266">
      <c r="A266" s="12"/>
      <c r="B266" s="12"/>
      <c r="C266" s="12"/>
      <c r="D266" s="12"/>
      <c r="E266" s="61"/>
      <c r="F266" s="36"/>
    </row>
    <row r="267">
      <c r="A267" s="12"/>
      <c r="B267" s="12"/>
      <c r="C267" s="12"/>
      <c r="D267" s="12"/>
      <c r="E267" s="61"/>
      <c r="F267" s="36"/>
    </row>
    <row r="268">
      <c r="A268" s="12"/>
      <c r="B268" s="12"/>
      <c r="C268" s="12"/>
      <c r="D268" s="12"/>
      <c r="E268" s="61"/>
      <c r="F268" s="36"/>
    </row>
    <row r="269">
      <c r="A269" s="12"/>
      <c r="B269" s="12"/>
      <c r="C269" s="12"/>
      <c r="D269" s="12"/>
      <c r="E269" s="61"/>
      <c r="F269" s="36"/>
    </row>
    <row r="270">
      <c r="A270" s="12"/>
      <c r="B270" s="12"/>
      <c r="C270" s="12"/>
      <c r="D270" s="12"/>
      <c r="E270" s="61"/>
      <c r="F270" s="36"/>
    </row>
    <row r="271">
      <c r="A271" s="12"/>
      <c r="B271" s="12"/>
      <c r="C271" s="12"/>
      <c r="D271" s="12"/>
      <c r="E271" s="61"/>
      <c r="F271" s="36"/>
    </row>
    <row r="272">
      <c r="A272" s="12"/>
      <c r="B272" s="12"/>
      <c r="C272" s="12"/>
      <c r="D272" s="12"/>
      <c r="E272" s="61"/>
      <c r="F272" s="36"/>
    </row>
    <row r="273">
      <c r="A273" s="12"/>
      <c r="B273" s="12"/>
      <c r="C273" s="12"/>
      <c r="D273" s="12"/>
      <c r="E273" s="61"/>
      <c r="F273" s="36"/>
    </row>
    <row r="274">
      <c r="A274" s="12"/>
      <c r="B274" s="12"/>
      <c r="C274" s="12"/>
      <c r="D274" s="12"/>
      <c r="E274" s="61"/>
      <c r="F274" s="36"/>
    </row>
    <row r="275">
      <c r="A275" s="12"/>
      <c r="B275" s="12"/>
      <c r="C275" s="12"/>
      <c r="D275" s="12"/>
      <c r="E275" s="61"/>
      <c r="F275" s="36"/>
    </row>
    <row r="276">
      <c r="A276" s="12"/>
      <c r="B276" s="12"/>
      <c r="C276" s="12"/>
      <c r="D276" s="12"/>
      <c r="E276" s="61"/>
      <c r="F276" s="36"/>
    </row>
    <row r="277">
      <c r="A277" s="12"/>
      <c r="B277" s="12"/>
      <c r="C277" s="12"/>
      <c r="D277" s="12"/>
      <c r="E277" s="61"/>
      <c r="F277" s="36"/>
    </row>
    <row r="278">
      <c r="A278" s="12"/>
      <c r="B278" s="12"/>
      <c r="C278" s="12"/>
      <c r="D278" s="12"/>
      <c r="E278" s="61"/>
      <c r="F278" s="36"/>
    </row>
    <row r="279">
      <c r="A279" s="12"/>
      <c r="B279" s="12"/>
      <c r="C279" s="12"/>
      <c r="D279" s="12"/>
      <c r="E279" s="61"/>
      <c r="F279" s="36"/>
    </row>
    <row r="280">
      <c r="A280" s="12"/>
      <c r="B280" s="12"/>
      <c r="C280" s="12"/>
      <c r="D280" s="12"/>
      <c r="E280" s="61"/>
      <c r="F280" s="36"/>
    </row>
    <row r="281">
      <c r="A281" s="12"/>
      <c r="B281" s="12"/>
      <c r="C281" s="12"/>
      <c r="D281" s="12"/>
      <c r="E281" s="61"/>
      <c r="F281" s="36"/>
    </row>
    <row r="282">
      <c r="A282" s="12"/>
      <c r="B282" s="12"/>
      <c r="C282" s="12"/>
      <c r="D282" s="12"/>
      <c r="E282" s="61"/>
      <c r="F282" s="36"/>
    </row>
    <row r="283">
      <c r="A283" s="12"/>
      <c r="B283" s="12"/>
      <c r="C283" s="12"/>
      <c r="D283" s="12"/>
      <c r="E283" s="61"/>
      <c r="F283" s="36"/>
    </row>
    <row r="284">
      <c r="A284" s="12"/>
      <c r="B284" s="12"/>
      <c r="C284" s="12"/>
      <c r="D284" s="12"/>
      <c r="E284" s="61"/>
      <c r="F284" s="36"/>
    </row>
    <row r="285">
      <c r="A285" s="12"/>
      <c r="B285" s="12"/>
      <c r="C285" s="12"/>
      <c r="D285" s="12"/>
      <c r="E285" s="61"/>
      <c r="F285" s="36"/>
    </row>
    <row r="286">
      <c r="A286" s="12"/>
      <c r="B286" s="12"/>
      <c r="C286" s="12"/>
      <c r="D286" s="12"/>
      <c r="E286" s="61"/>
      <c r="F286" s="36"/>
    </row>
    <row r="287">
      <c r="A287" s="12"/>
      <c r="B287" s="12"/>
      <c r="C287" s="12"/>
      <c r="D287" s="12"/>
      <c r="E287" s="61"/>
      <c r="F287" s="36"/>
    </row>
    <row r="288">
      <c r="A288" s="12"/>
      <c r="B288" s="12"/>
      <c r="C288" s="12"/>
      <c r="D288" s="12"/>
      <c r="E288" s="61"/>
      <c r="F288" s="36"/>
    </row>
    <row r="289">
      <c r="A289" s="12"/>
      <c r="B289" s="12"/>
      <c r="C289" s="12"/>
      <c r="D289" s="12"/>
      <c r="E289" s="61"/>
      <c r="F289" s="36"/>
    </row>
    <row r="290">
      <c r="A290" s="12"/>
      <c r="B290" s="12"/>
      <c r="C290" s="12"/>
      <c r="D290" s="12"/>
      <c r="E290" s="61"/>
      <c r="F290" s="36"/>
    </row>
    <row r="291">
      <c r="A291" s="12"/>
      <c r="B291" s="12"/>
      <c r="C291" s="12"/>
      <c r="D291" s="12"/>
      <c r="E291" s="61"/>
      <c r="F291" s="36"/>
    </row>
    <row r="292">
      <c r="A292" s="12"/>
      <c r="B292" s="12"/>
      <c r="C292" s="12"/>
      <c r="D292" s="12"/>
      <c r="E292" s="61"/>
      <c r="F292" s="36"/>
    </row>
    <row r="293">
      <c r="A293" s="12"/>
      <c r="B293" s="12"/>
      <c r="C293" s="12"/>
      <c r="D293" s="12"/>
      <c r="E293" s="61"/>
      <c r="F293" s="36"/>
    </row>
    <row r="294">
      <c r="A294" s="12"/>
      <c r="B294" s="12"/>
      <c r="C294" s="12"/>
      <c r="D294" s="12"/>
      <c r="E294" s="61"/>
      <c r="F294" s="36"/>
    </row>
    <row r="295">
      <c r="A295" s="12"/>
      <c r="B295" s="12"/>
      <c r="C295" s="12"/>
      <c r="D295" s="12"/>
      <c r="E295" s="61"/>
      <c r="F295" s="36"/>
    </row>
    <row r="296">
      <c r="A296" s="12"/>
      <c r="B296" s="12"/>
      <c r="C296" s="12"/>
      <c r="D296" s="12"/>
      <c r="E296" s="61"/>
      <c r="F296" s="36"/>
    </row>
    <row r="297">
      <c r="A297" s="12"/>
      <c r="B297" s="12"/>
      <c r="C297" s="12"/>
      <c r="D297" s="12"/>
      <c r="E297" s="61"/>
      <c r="F297" s="36"/>
    </row>
    <row r="298">
      <c r="A298" s="12"/>
      <c r="B298" s="12"/>
      <c r="C298" s="12"/>
      <c r="D298" s="12"/>
      <c r="E298" s="61"/>
      <c r="F298" s="36"/>
    </row>
    <row r="299">
      <c r="A299" s="12"/>
      <c r="B299" s="12"/>
      <c r="C299" s="12"/>
      <c r="D299" s="12"/>
      <c r="E299" s="61"/>
      <c r="F299" s="36"/>
    </row>
    <row r="300">
      <c r="A300" s="12"/>
      <c r="B300" s="12"/>
      <c r="C300" s="12"/>
      <c r="D300" s="12"/>
      <c r="E300" s="61"/>
      <c r="F300" s="36"/>
    </row>
    <row r="301">
      <c r="A301" s="12"/>
      <c r="B301" s="12"/>
      <c r="C301" s="12"/>
      <c r="D301" s="12"/>
      <c r="E301" s="61"/>
      <c r="F301" s="36"/>
    </row>
    <row r="302">
      <c r="A302" s="12"/>
      <c r="B302" s="12"/>
      <c r="C302" s="12"/>
      <c r="D302" s="12"/>
      <c r="E302" s="61"/>
      <c r="F302" s="36"/>
    </row>
    <row r="303">
      <c r="A303" s="12"/>
      <c r="B303" s="12"/>
      <c r="C303" s="12"/>
      <c r="D303" s="12"/>
      <c r="E303" s="61"/>
      <c r="F303" s="36"/>
    </row>
    <row r="304">
      <c r="A304" s="12"/>
      <c r="B304" s="12"/>
      <c r="C304" s="12"/>
      <c r="D304" s="12"/>
      <c r="E304" s="61"/>
      <c r="F304" s="36"/>
    </row>
    <row r="305">
      <c r="A305" s="12"/>
      <c r="B305" s="12"/>
      <c r="C305" s="12"/>
      <c r="D305" s="12"/>
      <c r="E305" s="61"/>
      <c r="F305" s="36"/>
    </row>
    <row r="306">
      <c r="A306" s="12"/>
      <c r="B306" s="12"/>
      <c r="C306" s="12"/>
      <c r="D306" s="12"/>
      <c r="E306" s="61"/>
      <c r="F306" s="36"/>
    </row>
    <row r="307">
      <c r="A307" s="12"/>
      <c r="B307" s="12"/>
      <c r="C307" s="12"/>
      <c r="D307" s="12"/>
      <c r="E307" s="61"/>
      <c r="F307" s="36"/>
    </row>
    <row r="308">
      <c r="A308" s="12"/>
      <c r="B308" s="12"/>
      <c r="C308" s="12"/>
      <c r="D308" s="12"/>
      <c r="E308" s="61"/>
      <c r="F308" s="36"/>
    </row>
    <row r="309">
      <c r="A309" s="12"/>
      <c r="B309" s="12"/>
      <c r="C309" s="12"/>
      <c r="D309" s="12"/>
      <c r="E309" s="61"/>
      <c r="F309" s="36"/>
    </row>
    <row r="310">
      <c r="A310" s="12"/>
      <c r="B310" s="12"/>
      <c r="C310" s="12"/>
      <c r="D310" s="12"/>
      <c r="E310" s="61"/>
      <c r="F310" s="36"/>
    </row>
    <row r="311">
      <c r="A311" s="12"/>
      <c r="B311" s="12"/>
      <c r="C311" s="12"/>
      <c r="D311" s="12"/>
      <c r="E311" s="61"/>
      <c r="F311" s="36"/>
    </row>
    <row r="312">
      <c r="A312" s="12"/>
      <c r="B312" s="12"/>
      <c r="C312" s="12"/>
      <c r="D312" s="12"/>
      <c r="E312" s="61"/>
      <c r="F312" s="36"/>
    </row>
    <row r="313">
      <c r="A313" s="12"/>
      <c r="B313" s="12"/>
      <c r="C313" s="12"/>
      <c r="D313" s="12"/>
      <c r="E313" s="61"/>
      <c r="F313" s="36"/>
    </row>
    <row r="314">
      <c r="A314" s="12"/>
      <c r="B314" s="12"/>
      <c r="C314" s="12"/>
      <c r="D314" s="12"/>
      <c r="E314" s="61"/>
      <c r="F314" s="36"/>
    </row>
    <row r="315">
      <c r="A315" s="12"/>
      <c r="B315" s="12"/>
      <c r="C315" s="12"/>
      <c r="D315" s="12"/>
      <c r="E315" s="61"/>
      <c r="F315" s="36"/>
    </row>
    <row r="316">
      <c r="A316" s="12"/>
      <c r="B316" s="12"/>
      <c r="C316" s="12"/>
      <c r="D316" s="12"/>
      <c r="E316" s="61"/>
      <c r="F316" s="36"/>
    </row>
    <row r="317">
      <c r="A317" s="12"/>
      <c r="B317" s="12"/>
      <c r="C317" s="12"/>
      <c r="D317" s="12"/>
      <c r="E317" s="61"/>
      <c r="F317" s="36"/>
    </row>
    <row r="318">
      <c r="A318" s="12"/>
      <c r="B318" s="12"/>
      <c r="C318" s="12"/>
      <c r="D318" s="12"/>
      <c r="E318" s="61"/>
      <c r="F318" s="36"/>
    </row>
    <row r="319">
      <c r="A319" s="12"/>
      <c r="B319" s="12"/>
      <c r="C319" s="12"/>
      <c r="D319" s="12"/>
      <c r="E319" s="61"/>
      <c r="F319" s="36"/>
    </row>
    <row r="320">
      <c r="A320" s="12"/>
      <c r="B320" s="12"/>
      <c r="C320" s="12"/>
      <c r="D320" s="12"/>
      <c r="E320" s="61"/>
      <c r="F320" s="36"/>
    </row>
    <row r="321">
      <c r="A321" s="12"/>
      <c r="B321" s="12"/>
      <c r="C321" s="12"/>
      <c r="D321" s="12"/>
      <c r="E321" s="61"/>
      <c r="F321" s="36"/>
    </row>
    <row r="322">
      <c r="A322" s="12"/>
      <c r="B322" s="12"/>
      <c r="C322" s="12"/>
      <c r="D322" s="12"/>
      <c r="E322" s="61"/>
      <c r="F322" s="36"/>
    </row>
    <row r="323">
      <c r="A323" s="12"/>
      <c r="B323" s="12"/>
      <c r="C323" s="12"/>
      <c r="D323" s="12"/>
      <c r="E323" s="61"/>
      <c r="F323" s="36"/>
    </row>
    <row r="324">
      <c r="A324" s="12"/>
      <c r="B324" s="12"/>
      <c r="C324" s="12"/>
      <c r="D324" s="12"/>
      <c r="E324" s="61"/>
      <c r="F324" s="36"/>
    </row>
    <row r="325">
      <c r="A325" s="12"/>
      <c r="B325" s="12"/>
      <c r="C325" s="12"/>
      <c r="D325" s="12"/>
      <c r="E325" s="61"/>
      <c r="F325" s="36"/>
    </row>
    <row r="326">
      <c r="A326" s="12"/>
      <c r="B326" s="12"/>
      <c r="C326" s="12"/>
      <c r="D326" s="12"/>
      <c r="E326" s="61"/>
      <c r="F326" s="36"/>
    </row>
    <row r="327">
      <c r="A327" s="12"/>
      <c r="B327" s="12"/>
      <c r="C327" s="12"/>
      <c r="D327" s="12"/>
      <c r="E327" s="61"/>
      <c r="F327" s="36"/>
    </row>
    <row r="328">
      <c r="A328" s="12"/>
      <c r="B328" s="12"/>
      <c r="C328" s="12"/>
      <c r="D328" s="12"/>
      <c r="E328" s="61"/>
      <c r="F328" s="36"/>
    </row>
    <row r="329">
      <c r="A329" s="12"/>
      <c r="B329" s="12"/>
      <c r="C329" s="12"/>
      <c r="D329" s="12"/>
      <c r="E329" s="61"/>
      <c r="F329" s="36"/>
    </row>
    <row r="330">
      <c r="A330" s="12"/>
      <c r="B330" s="12"/>
      <c r="C330" s="12"/>
      <c r="D330" s="12"/>
      <c r="E330" s="61"/>
      <c r="F330" s="36"/>
    </row>
    <row r="331">
      <c r="A331" s="12"/>
      <c r="B331" s="12"/>
      <c r="C331" s="12"/>
      <c r="D331" s="12"/>
      <c r="E331" s="61"/>
      <c r="F331" s="36"/>
    </row>
    <row r="332">
      <c r="A332" s="12"/>
      <c r="B332" s="12"/>
      <c r="C332" s="12"/>
      <c r="D332" s="12"/>
      <c r="E332" s="61"/>
      <c r="F332" s="36"/>
    </row>
    <row r="333">
      <c r="A333" s="12"/>
      <c r="B333" s="12"/>
      <c r="C333" s="12"/>
      <c r="D333" s="12"/>
      <c r="E333" s="61"/>
      <c r="F333" s="36"/>
    </row>
    <row r="334">
      <c r="A334" s="12"/>
      <c r="B334" s="12"/>
      <c r="C334" s="12"/>
      <c r="D334" s="12"/>
      <c r="E334" s="61"/>
      <c r="F334" s="36"/>
    </row>
    <row r="335">
      <c r="A335" s="12"/>
      <c r="B335" s="12"/>
      <c r="C335" s="12"/>
      <c r="D335" s="12"/>
      <c r="E335" s="61"/>
      <c r="F335" s="36"/>
    </row>
    <row r="336">
      <c r="A336" s="12"/>
      <c r="B336" s="12"/>
      <c r="C336" s="12"/>
      <c r="D336" s="12"/>
      <c r="E336" s="61"/>
      <c r="F336" s="36"/>
    </row>
    <row r="337">
      <c r="A337" s="12"/>
      <c r="B337" s="12"/>
      <c r="C337" s="12"/>
      <c r="D337" s="12"/>
      <c r="E337" s="61"/>
      <c r="F337" s="36"/>
    </row>
    <row r="338">
      <c r="A338" s="12"/>
      <c r="B338" s="12"/>
      <c r="C338" s="12"/>
      <c r="D338" s="12"/>
      <c r="E338" s="61"/>
      <c r="F338" s="36"/>
    </row>
    <row r="339">
      <c r="A339" s="12"/>
      <c r="B339" s="12"/>
      <c r="C339" s="12"/>
      <c r="D339" s="12"/>
      <c r="E339" s="61"/>
      <c r="F339" s="36"/>
    </row>
    <row r="340">
      <c r="A340" s="12"/>
      <c r="B340" s="12"/>
      <c r="C340" s="12"/>
      <c r="D340" s="12"/>
      <c r="E340" s="61"/>
      <c r="F340" s="36"/>
    </row>
    <row r="341">
      <c r="A341" s="12"/>
      <c r="B341" s="12"/>
      <c r="C341" s="12"/>
      <c r="D341" s="12"/>
      <c r="E341" s="61"/>
      <c r="F341" s="36"/>
    </row>
    <row r="342">
      <c r="A342" s="12"/>
      <c r="B342" s="12"/>
      <c r="C342" s="12"/>
      <c r="D342" s="12"/>
      <c r="E342" s="61"/>
      <c r="F342" s="36"/>
    </row>
    <row r="343">
      <c r="A343" s="12"/>
      <c r="B343" s="12"/>
      <c r="C343" s="12"/>
      <c r="D343" s="12"/>
      <c r="E343" s="61"/>
      <c r="F343" s="36"/>
    </row>
    <row r="344">
      <c r="A344" s="12"/>
      <c r="B344" s="12"/>
      <c r="C344" s="12"/>
      <c r="D344" s="12"/>
      <c r="E344" s="61"/>
      <c r="F344" s="36"/>
    </row>
    <row r="345">
      <c r="A345" s="12"/>
      <c r="B345" s="12"/>
      <c r="C345" s="12"/>
      <c r="D345" s="12"/>
      <c r="E345" s="61"/>
      <c r="F345" s="36"/>
    </row>
    <row r="346">
      <c r="A346" s="12"/>
      <c r="B346" s="12"/>
      <c r="C346" s="12"/>
      <c r="D346" s="12"/>
      <c r="E346" s="61"/>
      <c r="F346" s="36"/>
    </row>
    <row r="347">
      <c r="A347" s="12"/>
      <c r="B347" s="12"/>
      <c r="C347" s="12"/>
      <c r="D347" s="12"/>
      <c r="E347" s="61"/>
      <c r="F347" s="36"/>
    </row>
    <row r="348">
      <c r="A348" s="12"/>
      <c r="B348" s="12"/>
      <c r="C348" s="12"/>
      <c r="D348" s="12"/>
      <c r="E348" s="61"/>
      <c r="F348" s="36"/>
    </row>
    <row r="349">
      <c r="A349" s="12"/>
      <c r="B349" s="12"/>
      <c r="C349" s="12"/>
      <c r="D349" s="12"/>
      <c r="E349" s="61"/>
      <c r="F349" s="36"/>
    </row>
    <row r="350">
      <c r="A350" s="12"/>
      <c r="B350" s="12"/>
      <c r="C350" s="12"/>
      <c r="D350" s="12"/>
      <c r="E350" s="61"/>
      <c r="F350" s="36"/>
    </row>
    <row r="351">
      <c r="A351" s="12"/>
      <c r="B351" s="12"/>
      <c r="C351" s="12"/>
      <c r="D351" s="12"/>
      <c r="E351" s="61"/>
      <c r="F351" s="36"/>
    </row>
    <row r="352">
      <c r="A352" s="12"/>
      <c r="B352" s="12"/>
      <c r="C352" s="12"/>
      <c r="D352" s="12"/>
      <c r="E352" s="61"/>
      <c r="F352" s="36"/>
    </row>
    <row r="353">
      <c r="A353" s="12"/>
      <c r="B353" s="12"/>
      <c r="C353" s="12"/>
      <c r="D353" s="12"/>
      <c r="E353" s="61"/>
      <c r="F353" s="36"/>
    </row>
    <row r="354">
      <c r="A354" s="12"/>
      <c r="B354" s="12"/>
      <c r="C354" s="12"/>
      <c r="D354" s="12"/>
      <c r="E354" s="61"/>
      <c r="F354" s="36"/>
    </row>
    <row r="355">
      <c r="A355" s="12"/>
      <c r="B355" s="12"/>
      <c r="C355" s="12"/>
      <c r="D355" s="12"/>
      <c r="E355" s="61"/>
      <c r="F355" s="36"/>
    </row>
    <row r="356">
      <c r="A356" s="12"/>
      <c r="B356" s="12"/>
      <c r="C356" s="12"/>
      <c r="D356" s="12"/>
      <c r="E356" s="61"/>
      <c r="F356" s="36"/>
    </row>
    <row r="357">
      <c r="A357" s="12"/>
      <c r="B357" s="12"/>
      <c r="C357" s="12"/>
      <c r="D357" s="12"/>
      <c r="E357" s="61"/>
      <c r="F357" s="36"/>
    </row>
    <row r="358">
      <c r="A358" s="12"/>
      <c r="B358" s="12"/>
      <c r="C358" s="12"/>
      <c r="D358" s="12"/>
      <c r="E358" s="61"/>
      <c r="F358" s="36"/>
    </row>
    <row r="359">
      <c r="A359" s="12"/>
      <c r="B359" s="12"/>
      <c r="C359" s="12"/>
      <c r="D359" s="12"/>
      <c r="E359" s="61"/>
      <c r="F359" s="36"/>
    </row>
    <row r="360">
      <c r="A360" s="12"/>
      <c r="B360" s="12"/>
      <c r="C360" s="12"/>
      <c r="D360" s="12"/>
      <c r="E360" s="61"/>
      <c r="F360" s="36"/>
    </row>
    <row r="361">
      <c r="A361" s="12"/>
      <c r="B361" s="12"/>
      <c r="C361" s="12"/>
      <c r="D361" s="12"/>
      <c r="E361" s="61"/>
      <c r="F361" s="36"/>
    </row>
    <row r="362">
      <c r="A362" s="12"/>
      <c r="B362" s="12"/>
      <c r="C362" s="12"/>
      <c r="D362" s="12"/>
      <c r="E362" s="61"/>
      <c r="F362" s="36"/>
    </row>
    <row r="363">
      <c r="A363" s="12"/>
      <c r="B363" s="12"/>
      <c r="C363" s="12"/>
      <c r="D363" s="12"/>
      <c r="E363" s="61"/>
      <c r="F363" s="36"/>
    </row>
    <row r="364">
      <c r="A364" s="12"/>
      <c r="B364" s="12"/>
      <c r="C364" s="12"/>
      <c r="D364" s="12"/>
      <c r="E364" s="61"/>
      <c r="F364" s="36"/>
    </row>
    <row r="365">
      <c r="A365" s="12"/>
      <c r="B365" s="12"/>
      <c r="C365" s="12"/>
      <c r="D365" s="12"/>
      <c r="E365" s="61"/>
      <c r="F365" s="36"/>
    </row>
    <row r="366">
      <c r="A366" s="12"/>
      <c r="B366" s="12"/>
      <c r="C366" s="12"/>
      <c r="D366" s="12"/>
      <c r="E366" s="61"/>
      <c r="F366" s="36"/>
    </row>
    <row r="367">
      <c r="A367" s="12"/>
      <c r="B367" s="12"/>
      <c r="C367" s="12"/>
      <c r="D367" s="12"/>
      <c r="E367" s="61"/>
      <c r="F367" s="36"/>
    </row>
    <row r="368">
      <c r="A368" s="12"/>
      <c r="B368" s="12"/>
      <c r="C368" s="12"/>
      <c r="D368" s="12"/>
      <c r="E368" s="61"/>
      <c r="F368" s="36"/>
    </row>
    <row r="369">
      <c r="A369" s="12"/>
      <c r="B369" s="12"/>
      <c r="C369" s="12"/>
      <c r="D369" s="12"/>
      <c r="E369" s="61"/>
      <c r="F369" s="36"/>
    </row>
    <row r="370">
      <c r="A370" s="12"/>
      <c r="B370" s="12"/>
      <c r="C370" s="12"/>
      <c r="D370" s="12"/>
      <c r="E370" s="61"/>
      <c r="F370" s="36"/>
    </row>
    <row r="371">
      <c r="A371" s="12"/>
      <c r="B371" s="12"/>
      <c r="C371" s="12"/>
      <c r="D371" s="12"/>
      <c r="E371" s="61"/>
      <c r="F371" s="36"/>
    </row>
    <row r="372">
      <c r="A372" s="12"/>
      <c r="B372" s="12"/>
      <c r="C372" s="12"/>
      <c r="D372" s="12"/>
      <c r="E372" s="61"/>
      <c r="F372" s="36"/>
    </row>
    <row r="373">
      <c r="A373" s="12"/>
      <c r="B373" s="12"/>
      <c r="C373" s="12"/>
      <c r="D373" s="12"/>
      <c r="E373" s="61"/>
      <c r="F373" s="36"/>
    </row>
    <row r="374">
      <c r="A374" s="12"/>
      <c r="B374" s="12"/>
      <c r="C374" s="12"/>
      <c r="D374" s="12"/>
      <c r="E374" s="61"/>
      <c r="F374" s="36"/>
    </row>
    <row r="375">
      <c r="A375" s="12"/>
      <c r="B375" s="12"/>
      <c r="C375" s="12"/>
      <c r="D375" s="12"/>
      <c r="E375" s="61"/>
      <c r="F375" s="36"/>
    </row>
    <row r="376">
      <c r="A376" s="12"/>
      <c r="B376" s="12"/>
      <c r="C376" s="12"/>
      <c r="D376" s="12"/>
      <c r="E376" s="61"/>
      <c r="F376" s="36"/>
    </row>
    <row r="377">
      <c r="A377" s="12"/>
      <c r="B377" s="12"/>
      <c r="C377" s="12"/>
      <c r="D377" s="12"/>
      <c r="E377" s="61"/>
      <c r="F377" s="36"/>
    </row>
    <row r="378">
      <c r="A378" s="12"/>
      <c r="B378" s="12"/>
      <c r="C378" s="12"/>
      <c r="D378" s="12"/>
      <c r="E378" s="61"/>
      <c r="F378" s="36"/>
    </row>
    <row r="379">
      <c r="A379" s="12"/>
      <c r="B379" s="12"/>
      <c r="C379" s="12"/>
      <c r="D379" s="12"/>
      <c r="E379" s="61"/>
      <c r="F379" s="36"/>
    </row>
    <row r="380">
      <c r="A380" s="12"/>
      <c r="B380" s="12"/>
      <c r="C380" s="12"/>
      <c r="D380" s="12"/>
      <c r="E380" s="61"/>
      <c r="F380" s="36"/>
    </row>
    <row r="381">
      <c r="A381" s="12"/>
      <c r="B381" s="12"/>
      <c r="C381" s="12"/>
      <c r="D381" s="12"/>
      <c r="E381" s="61"/>
      <c r="F381" s="36"/>
    </row>
    <row r="382">
      <c r="A382" s="12"/>
      <c r="B382" s="12"/>
      <c r="C382" s="12"/>
      <c r="D382" s="12"/>
      <c r="E382" s="61"/>
      <c r="F382" s="36"/>
    </row>
    <row r="383">
      <c r="A383" s="12"/>
      <c r="B383" s="12"/>
      <c r="C383" s="12"/>
      <c r="D383" s="12"/>
      <c r="E383" s="61"/>
      <c r="F383" s="36"/>
    </row>
    <row r="384">
      <c r="A384" s="12"/>
      <c r="B384" s="12"/>
      <c r="C384" s="12"/>
      <c r="D384" s="12"/>
      <c r="E384" s="61"/>
      <c r="F384" s="36"/>
    </row>
    <row r="385">
      <c r="A385" s="12"/>
      <c r="B385" s="12"/>
      <c r="C385" s="12"/>
      <c r="D385" s="12"/>
      <c r="E385" s="61"/>
      <c r="F385" s="36"/>
    </row>
    <row r="386">
      <c r="A386" s="12"/>
      <c r="B386" s="12"/>
      <c r="C386" s="12"/>
      <c r="D386" s="12"/>
      <c r="E386" s="61"/>
      <c r="F386" s="36"/>
    </row>
    <row r="387">
      <c r="A387" s="12"/>
      <c r="B387" s="12"/>
      <c r="C387" s="12"/>
      <c r="D387" s="12"/>
      <c r="E387" s="61"/>
      <c r="F387" s="36"/>
    </row>
    <row r="388">
      <c r="A388" s="12"/>
      <c r="B388" s="12"/>
      <c r="C388" s="12"/>
      <c r="D388" s="12"/>
      <c r="E388" s="61"/>
      <c r="F388" s="36"/>
    </row>
    <row r="389">
      <c r="A389" s="12"/>
      <c r="B389" s="12"/>
      <c r="C389" s="12"/>
      <c r="D389" s="12"/>
      <c r="E389" s="61"/>
      <c r="F389" s="36"/>
    </row>
    <row r="390">
      <c r="A390" s="12"/>
      <c r="B390" s="12"/>
      <c r="C390" s="12"/>
      <c r="D390" s="12"/>
      <c r="E390" s="61"/>
      <c r="F390" s="36"/>
    </row>
    <row r="391">
      <c r="A391" s="12"/>
      <c r="B391" s="12"/>
      <c r="C391" s="12"/>
      <c r="D391" s="12"/>
      <c r="E391" s="61"/>
      <c r="F391" s="36"/>
    </row>
    <row r="392">
      <c r="A392" s="12"/>
      <c r="B392" s="12"/>
      <c r="C392" s="12"/>
      <c r="D392" s="12"/>
      <c r="E392" s="61"/>
      <c r="F392" s="36"/>
    </row>
    <row r="393">
      <c r="A393" s="12"/>
      <c r="B393" s="12"/>
      <c r="C393" s="12"/>
      <c r="D393" s="12"/>
      <c r="E393" s="61"/>
      <c r="F393" s="36"/>
    </row>
    <row r="394">
      <c r="A394" s="12"/>
      <c r="B394" s="12"/>
      <c r="C394" s="12"/>
      <c r="D394" s="12"/>
      <c r="E394" s="61"/>
      <c r="F394" s="36"/>
    </row>
    <row r="395">
      <c r="A395" s="12"/>
      <c r="B395" s="12"/>
      <c r="C395" s="12"/>
      <c r="D395" s="12"/>
      <c r="E395" s="61"/>
      <c r="F395" s="36"/>
    </row>
    <row r="396">
      <c r="A396" s="12"/>
      <c r="B396" s="12"/>
      <c r="C396" s="12"/>
      <c r="D396" s="12"/>
      <c r="E396" s="61"/>
      <c r="F396" s="36"/>
    </row>
    <row r="397">
      <c r="A397" s="12"/>
      <c r="B397" s="12"/>
      <c r="C397" s="12"/>
      <c r="D397" s="12"/>
      <c r="E397" s="61"/>
      <c r="F397" s="36"/>
    </row>
    <row r="398">
      <c r="A398" s="12"/>
      <c r="B398" s="12"/>
      <c r="C398" s="12"/>
      <c r="D398" s="12"/>
      <c r="E398" s="61"/>
      <c r="F398" s="36"/>
    </row>
    <row r="399">
      <c r="A399" s="12"/>
      <c r="B399" s="12"/>
      <c r="C399" s="12"/>
      <c r="D399" s="12"/>
      <c r="E399" s="61"/>
      <c r="F399" s="36"/>
    </row>
    <row r="400">
      <c r="A400" s="12"/>
      <c r="B400" s="12"/>
      <c r="C400" s="12"/>
      <c r="D400" s="12"/>
      <c r="E400" s="61"/>
      <c r="F400" s="36"/>
    </row>
    <row r="401">
      <c r="A401" s="12"/>
      <c r="B401" s="12"/>
      <c r="C401" s="12"/>
      <c r="D401" s="12"/>
      <c r="E401" s="61"/>
      <c r="F401" s="36"/>
    </row>
    <row r="402">
      <c r="A402" s="12"/>
      <c r="B402" s="12"/>
      <c r="C402" s="12"/>
      <c r="D402" s="12"/>
      <c r="E402" s="61"/>
      <c r="F402" s="36"/>
    </row>
    <row r="403">
      <c r="A403" s="12"/>
      <c r="B403" s="12"/>
      <c r="C403" s="12"/>
      <c r="D403" s="12"/>
      <c r="E403" s="61"/>
      <c r="F403" s="36"/>
    </row>
    <row r="404">
      <c r="A404" s="12"/>
      <c r="B404" s="12"/>
      <c r="C404" s="12"/>
      <c r="D404" s="12"/>
      <c r="E404" s="61"/>
      <c r="F404" s="36"/>
    </row>
    <row r="405">
      <c r="A405" s="12"/>
      <c r="B405" s="12"/>
      <c r="C405" s="12"/>
      <c r="D405" s="12"/>
      <c r="E405" s="61"/>
      <c r="F405" s="36"/>
    </row>
    <row r="406">
      <c r="A406" s="12"/>
      <c r="B406" s="12"/>
      <c r="C406" s="12"/>
      <c r="D406" s="12"/>
      <c r="E406" s="61"/>
      <c r="F406" s="36"/>
    </row>
    <row r="407">
      <c r="A407" s="12"/>
      <c r="B407" s="12"/>
      <c r="C407" s="12"/>
      <c r="D407" s="12"/>
      <c r="E407" s="61"/>
      <c r="F407" s="36"/>
    </row>
    <row r="408">
      <c r="A408" s="12"/>
      <c r="B408" s="12"/>
      <c r="C408" s="12"/>
      <c r="D408" s="12"/>
      <c r="E408" s="61"/>
      <c r="F408" s="36"/>
    </row>
    <row r="409">
      <c r="A409" s="12"/>
      <c r="B409" s="12"/>
      <c r="C409" s="12"/>
      <c r="D409" s="12"/>
      <c r="E409" s="61"/>
      <c r="F409" s="36"/>
    </row>
    <row r="410">
      <c r="A410" s="12"/>
      <c r="B410" s="12"/>
      <c r="C410" s="12"/>
      <c r="D410" s="12"/>
      <c r="E410" s="61"/>
      <c r="F410" s="36"/>
    </row>
    <row r="411">
      <c r="A411" s="12"/>
      <c r="B411" s="12"/>
      <c r="C411" s="12"/>
      <c r="D411" s="12"/>
      <c r="E411" s="61"/>
      <c r="F411" s="36"/>
    </row>
    <row r="412">
      <c r="A412" s="12"/>
      <c r="B412" s="12"/>
      <c r="C412" s="12"/>
      <c r="D412" s="12"/>
      <c r="E412" s="61"/>
      <c r="F412" s="36"/>
    </row>
    <row r="413">
      <c r="A413" s="12"/>
      <c r="B413" s="12"/>
      <c r="C413" s="12"/>
      <c r="D413" s="12"/>
      <c r="E413" s="61"/>
      <c r="F413" s="36"/>
    </row>
    <row r="414">
      <c r="A414" s="12"/>
      <c r="B414" s="12"/>
      <c r="C414" s="12"/>
      <c r="D414" s="12"/>
      <c r="E414" s="61"/>
      <c r="F414" s="36"/>
    </row>
    <row r="415">
      <c r="A415" s="12"/>
      <c r="B415" s="12"/>
      <c r="C415" s="12"/>
      <c r="D415" s="12"/>
      <c r="E415" s="61"/>
      <c r="F415" s="36"/>
    </row>
    <row r="416">
      <c r="A416" s="12"/>
      <c r="B416" s="12"/>
      <c r="C416" s="12"/>
      <c r="D416" s="12"/>
      <c r="E416" s="61"/>
      <c r="F416" s="36"/>
    </row>
    <row r="417">
      <c r="A417" s="12"/>
      <c r="B417" s="12"/>
      <c r="C417" s="12"/>
      <c r="D417" s="12"/>
      <c r="E417" s="61"/>
      <c r="F417" s="36"/>
    </row>
    <row r="418">
      <c r="A418" s="12"/>
      <c r="B418" s="12"/>
      <c r="C418" s="12"/>
      <c r="D418" s="12"/>
      <c r="E418" s="61"/>
      <c r="F418" s="36"/>
    </row>
    <row r="419">
      <c r="A419" s="12"/>
      <c r="B419" s="12"/>
      <c r="C419" s="12"/>
      <c r="D419" s="12"/>
      <c r="E419" s="61"/>
      <c r="F419" s="36"/>
    </row>
    <row r="420">
      <c r="A420" s="12"/>
      <c r="B420" s="12"/>
      <c r="C420" s="12"/>
      <c r="D420" s="12"/>
      <c r="E420" s="61"/>
      <c r="F420" s="36"/>
    </row>
    <row r="421">
      <c r="A421" s="12"/>
      <c r="B421" s="12"/>
      <c r="C421" s="12"/>
      <c r="D421" s="12"/>
      <c r="E421" s="61"/>
      <c r="F421" s="36"/>
    </row>
    <row r="422">
      <c r="A422" s="12"/>
      <c r="B422" s="12"/>
      <c r="C422" s="12"/>
      <c r="D422" s="12"/>
      <c r="E422" s="61"/>
      <c r="F422" s="36"/>
    </row>
    <row r="423">
      <c r="A423" s="12"/>
      <c r="B423" s="12"/>
      <c r="C423" s="12"/>
      <c r="D423" s="12"/>
      <c r="E423" s="61"/>
      <c r="F423" s="36"/>
    </row>
    <row r="424">
      <c r="A424" s="12"/>
      <c r="B424" s="12"/>
      <c r="C424" s="12"/>
      <c r="D424" s="12"/>
      <c r="E424" s="61"/>
      <c r="F424" s="36"/>
    </row>
    <row r="425">
      <c r="A425" s="12"/>
      <c r="B425" s="12"/>
      <c r="C425" s="12"/>
      <c r="D425" s="12"/>
      <c r="E425" s="61"/>
      <c r="F425" s="36"/>
    </row>
    <row r="426">
      <c r="A426" s="12"/>
      <c r="B426" s="12"/>
      <c r="C426" s="12"/>
      <c r="D426" s="12"/>
      <c r="E426" s="61"/>
      <c r="F426" s="36"/>
    </row>
    <row r="427">
      <c r="A427" s="12"/>
      <c r="B427" s="12"/>
      <c r="C427" s="12"/>
      <c r="D427" s="12"/>
      <c r="E427" s="61"/>
      <c r="F427" s="36"/>
    </row>
    <row r="428">
      <c r="A428" s="12"/>
      <c r="B428" s="12"/>
      <c r="C428" s="12"/>
      <c r="D428" s="12"/>
      <c r="E428" s="61"/>
      <c r="F428" s="36"/>
    </row>
    <row r="429">
      <c r="A429" s="12"/>
      <c r="B429" s="12"/>
      <c r="C429" s="12"/>
      <c r="D429" s="12"/>
      <c r="E429" s="61"/>
      <c r="F429" s="36"/>
    </row>
    <row r="430">
      <c r="A430" s="12"/>
      <c r="B430" s="12"/>
      <c r="C430" s="12"/>
      <c r="D430" s="12"/>
      <c r="E430" s="61"/>
      <c r="F430" s="36"/>
    </row>
    <row r="431">
      <c r="A431" s="12"/>
      <c r="B431" s="12"/>
      <c r="C431" s="12"/>
      <c r="D431" s="12"/>
      <c r="E431" s="61"/>
      <c r="F431" s="36"/>
    </row>
    <row r="432">
      <c r="A432" s="12"/>
      <c r="B432" s="12"/>
      <c r="C432" s="12"/>
      <c r="D432" s="12"/>
      <c r="E432" s="61"/>
      <c r="F432" s="36"/>
    </row>
    <row r="433">
      <c r="A433" s="12"/>
      <c r="B433" s="12"/>
      <c r="C433" s="12"/>
      <c r="D433" s="12"/>
      <c r="E433" s="61"/>
      <c r="F433" s="36"/>
    </row>
    <row r="434">
      <c r="A434" s="12"/>
      <c r="B434" s="12"/>
      <c r="C434" s="12"/>
      <c r="D434" s="12"/>
      <c r="E434" s="61"/>
      <c r="F434" s="36"/>
    </row>
    <row r="435">
      <c r="A435" s="12"/>
      <c r="B435" s="12"/>
      <c r="C435" s="12"/>
      <c r="D435" s="12"/>
      <c r="E435" s="61"/>
      <c r="F435" s="36"/>
    </row>
    <row r="436">
      <c r="A436" s="12"/>
      <c r="B436" s="12"/>
      <c r="C436" s="12"/>
      <c r="D436" s="12"/>
      <c r="E436" s="61"/>
      <c r="F436" s="36"/>
    </row>
    <row r="437">
      <c r="A437" s="12"/>
      <c r="B437" s="12"/>
      <c r="C437" s="12"/>
      <c r="D437" s="12"/>
      <c r="E437" s="61"/>
      <c r="F437" s="36"/>
    </row>
    <row r="438">
      <c r="A438" s="12"/>
      <c r="B438" s="12"/>
      <c r="C438" s="12"/>
      <c r="D438" s="12"/>
      <c r="E438" s="61"/>
      <c r="F438" s="36"/>
    </row>
    <row r="439">
      <c r="A439" s="12"/>
      <c r="B439" s="12"/>
      <c r="C439" s="12"/>
      <c r="D439" s="12"/>
      <c r="E439" s="61"/>
      <c r="F439" s="36"/>
    </row>
    <row r="440">
      <c r="A440" s="12"/>
      <c r="B440" s="12"/>
      <c r="C440" s="12"/>
      <c r="D440" s="12"/>
      <c r="E440" s="61"/>
      <c r="F440" s="36"/>
    </row>
    <row r="441">
      <c r="A441" s="12"/>
      <c r="B441" s="12"/>
      <c r="C441" s="12"/>
      <c r="D441" s="12"/>
      <c r="E441" s="61"/>
      <c r="F441" s="36"/>
    </row>
    <row r="442">
      <c r="A442" s="12"/>
      <c r="B442" s="12"/>
      <c r="C442" s="12"/>
      <c r="D442" s="12"/>
      <c r="E442" s="61"/>
      <c r="F442" s="36"/>
    </row>
    <row r="443">
      <c r="A443" s="12"/>
      <c r="B443" s="12"/>
      <c r="C443" s="12"/>
      <c r="D443" s="12"/>
      <c r="E443" s="61"/>
      <c r="F443" s="36"/>
    </row>
    <row r="444">
      <c r="A444" s="12"/>
      <c r="B444" s="12"/>
      <c r="C444" s="12"/>
      <c r="D444" s="12"/>
      <c r="E444" s="61"/>
      <c r="F444" s="36"/>
    </row>
    <row r="445">
      <c r="A445" s="12"/>
      <c r="B445" s="12"/>
      <c r="C445" s="12"/>
      <c r="D445" s="12"/>
      <c r="E445" s="61"/>
      <c r="F445" s="36"/>
    </row>
    <row r="446">
      <c r="A446" s="12"/>
      <c r="B446" s="12"/>
      <c r="C446" s="12"/>
      <c r="D446" s="12"/>
      <c r="E446" s="61"/>
      <c r="F446" s="36"/>
    </row>
    <row r="447">
      <c r="A447" s="12"/>
      <c r="B447" s="12"/>
      <c r="C447" s="12"/>
      <c r="D447" s="12"/>
      <c r="E447" s="61"/>
      <c r="F447" s="36"/>
    </row>
    <row r="448">
      <c r="A448" s="12"/>
      <c r="B448" s="12"/>
      <c r="C448" s="12"/>
      <c r="D448" s="12"/>
      <c r="E448" s="61"/>
      <c r="F448" s="36"/>
    </row>
    <row r="449">
      <c r="A449" s="12"/>
      <c r="B449" s="12"/>
      <c r="C449" s="12"/>
      <c r="D449" s="12"/>
      <c r="E449" s="61"/>
      <c r="F449" s="36"/>
    </row>
    <row r="450">
      <c r="A450" s="12"/>
      <c r="B450" s="12"/>
      <c r="C450" s="12"/>
      <c r="D450" s="12"/>
      <c r="E450" s="61"/>
      <c r="F450" s="36"/>
    </row>
    <row r="451">
      <c r="A451" s="12"/>
      <c r="B451" s="12"/>
      <c r="C451" s="12"/>
      <c r="D451" s="12"/>
      <c r="E451" s="61"/>
      <c r="F451" s="36"/>
    </row>
    <row r="452">
      <c r="A452" s="12"/>
      <c r="B452" s="12"/>
      <c r="C452" s="12"/>
      <c r="D452" s="12"/>
      <c r="E452" s="61"/>
      <c r="F452" s="36"/>
    </row>
    <row r="453">
      <c r="A453" s="12"/>
      <c r="B453" s="12"/>
      <c r="C453" s="12"/>
      <c r="D453" s="12"/>
      <c r="E453" s="61"/>
      <c r="F453" s="36"/>
    </row>
    <row r="454">
      <c r="A454" s="12"/>
      <c r="B454" s="12"/>
      <c r="C454" s="12"/>
      <c r="D454" s="12"/>
      <c r="E454" s="61"/>
      <c r="F454" s="36"/>
    </row>
    <row r="455">
      <c r="A455" s="12"/>
      <c r="B455" s="12"/>
      <c r="C455" s="12"/>
      <c r="D455" s="12"/>
      <c r="E455" s="61"/>
      <c r="F455" s="36"/>
    </row>
    <row r="456">
      <c r="A456" s="12"/>
      <c r="B456" s="12"/>
      <c r="C456" s="12"/>
      <c r="D456" s="12"/>
      <c r="E456" s="61"/>
      <c r="F456" s="36"/>
    </row>
    <row r="457">
      <c r="A457" s="12"/>
      <c r="B457" s="12"/>
      <c r="C457" s="12"/>
      <c r="D457" s="12"/>
      <c r="E457" s="61"/>
      <c r="F457" s="36"/>
    </row>
    <row r="458">
      <c r="A458" s="12"/>
      <c r="B458" s="12"/>
      <c r="C458" s="12"/>
      <c r="D458" s="12"/>
      <c r="E458" s="61"/>
      <c r="F458" s="36"/>
    </row>
    <row r="459">
      <c r="A459" s="12"/>
      <c r="B459" s="12"/>
      <c r="C459" s="12"/>
      <c r="D459" s="12"/>
      <c r="E459" s="61"/>
      <c r="F459" s="36"/>
    </row>
    <row r="460">
      <c r="A460" s="12"/>
      <c r="B460" s="12"/>
      <c r="C460" s="12"/>
      <c r="D460" s="12"/>
      <c r="E460" s="61"/>
      <c r="F460" s="36"/>
    </row>
    <row r="461">
      <c r="A461" s="12"/>
      <c r="B461" s="12"/>
      <c r="C461" s="12"/>
      <c r="D461" s="12"/>
      <c r="E461" s="61"/>
      <c r="F461" s="36"/>
    </row>
    <row r="462">
      <c r="A462" s="12"/>
      <c r="B462" s="12"/>
      <c r="C462" s="12"/>
      <c r="D462" s="12"/>
      <c r="E462" s="61"/>
      <c r="F462" s="36"/>
    </row>
    <row r="463">
      <c r="A463" s="12"/>
      <c r="B463" s="12"/>
      <c r="C463" s="12"/>
      <c r="D463" s="12"/>
      <c r="E463" s="61"/>
      <c r="F463" s="36"/>
    </row>
    <row r="464">
      <c r="A464" s="12"/>
      <c r="B464" s="12"/>
      <c r="C464" s="12"/>
      <c r="D464" s="12"/>
      <c r="E464" s="61"/>
      <c r="F464" s="36"/>
    </row>
    <row r="465">
      <c r="A465" s="12"/>
      <c r="B465" s="12"/>
      <c r="C465" s="12"/>
      <c r="D465" s="12"/>
      <c r="E465" s="61"/>
      <c r="F465" s="36"/>
    </row>
    <row r="466">
      <c r="A466" s="12"/>
      <c r="B466" s="12"/>
      <c r="C466" s="12"/>
      <c r="D466" s="12"/>
      <c r="E466" s="61"/>
      <c r="F466" s="36"/>
    </row>
    <row r="467">
      <c r="A467" s="12"/>
      <c r="B467" s="12"/>
      <c r="C467" s="12"/>
      <c r="D467" s="12"/>
      <c r="E467" s="61"/>
      <c r="F467" s="36"/>
    </row>
    <row r="468">
      <c r="A468" s="12"/>
      <c r="B468" s="12"/>
      <c r="C468" s="12"/>
      <c r="D468" s="12"/>
      <c r="E468" s="61"/>
      <c r="F468" s="36"/>
    </row>
    <row r="469">
      <c r="A469" s="12"/>
      <c r="B469" s="12"/>
      <c r="C469" s="12"/>
      <c r="D469" s="12"/>
      <c r="E469" s="61"/>
      <c r="F469" s="36"/>
    </row>
    <row r="470">
      <c r="A470" s="12"/>
      <c r="B470" s="12"/>
      <c r="C470" s="12"/>
      <c r="D470" s="12"/>
      <c r="E470" s="61"/>
      <c r="F470" s="36"/>
    </row>
    <row r="471">
      <c r="A471" s="12"/>
      <c r="B471" s="12"/>
      <c r="C471" s="12"/>
      <c r="D471" s="12"/>
      <c r="E471" s="61"/>
      <c r="F471" s="36"/>
    </row>
    <row r="472">
      <c r="A472" s="12"/>
      <c r="B472" s="12"/>
      <c r="C472" s="12"/>
      <c r="D472" s="12"/>
      <c r="E472" s="61"/>
      <c r="F472" s="36"/>
    </row>
    <row r="473">
      <c r="A473" s="12"/>
      <c r="B473" s="12"/>
      <c r="C473" s="12"/>
      <c r="D473" s="12"/>
      <c r="E473" s="61"/>
      <c r="F473" s="36"/>
    </row>
    <row r="474">
      <c r="A474" s="12"/>
      <c r="B474" s="12"/>
      <c r="C474" s="12"/>
      <c r="D474" s="12"/>
      <c r="E474" s="61"/>
      <c r="F474" s="36"/>
    </row>
    <row r="475">
      <c r="A475" s="12"/>
      <c r="B475" s="12"/>
      <c r="C475" s="12"/>
      <c r="D475" s="12"/>
      <c r="E475" s="61"/>
      <c r="F475" s="36"/>
    </row>
    <row r="476">
      <c r="A476" s="12"/>
      <c r="B476" s="12"/>
      <c r="C476" s="12"/>
      <c r="D476" s="12"/>
      <c r="E476" s="61"/>
      <c r="F476" s="36"/>
    </row>
    <row r="477">
      <c r="A477" s="12"/>
      <c r="B477" s="12"/>
      <c r="C477" s="12"/>
      <c r="D477" s="12"/>
      <c r="E477" s="61"/>
      <c r="F477" s="36"/>
    </row>
    <row r="478">
      <c r="A478" s="12"/>
      <c r="B478" s="12"/>
      <c r="C478" s="12"/>
      <c r="D478" s="12"/>
      <c r="E478" s="61"/>
      <c r="F478" s="36"/>
    </row>
    <row r="479">
      <c r="A479" s="12"/>
      <c r="B479" s="12"/>
      <c r="C479" s="12"/>
      <c r="D479" s="12"/>
      <c r="E479" s="61"/>
      <c r="F479" s="36"/>
    </row>
    <row r="480">
      <c r="A480" s="12"/>
      <c r="B480" s="12"/>
      <c r="C480" s="12"/>
      <c r="D480" s="12"/>
      <c r="E480" s="61"/>
      <c r="F480" s="36"/>
    </row>
    <row r="481">
      <c r="A481" s="12"/>
      <c r="B481" s="12"/>
      <c r="C481" s="12"/>
      <c r="D481" s="12"/>
      <c r="E481" s="61"/>
      <c r="F481" s="36"/>
    </row>
    <row r="482">
      <c r="A482" s="12"/>
      <c r="B482" s="12"/>
      <c r="C482" s="12"/>
      <c r="D482" s="12"/>
      <c r="E482" s="61"/>
      <c r="F482" s="36"/>
    </row>
    <row r="483">
      <c r="A483" s="12"/>
      <c r="B483" s="12"/>
      <c r="C483" s="12"/>
      <c r="D483" s="12"/>
      <c r="E483" s="61"/>
      <c r="F483" s="36"/>
    </row>
    <row r="484">
      <c r="A484" s="12"/>
      <c r="B484" s="12"/>
      <c r="C484" s="12"/>
      <c r="D484" s="12"/>
      <c r="E484" s="61"/>
      <c r="F484" s="36"/>
    </row>
    <row r="485">
      <c r="A485" s="12"/>
      <c r="B485" s="12"/>
      <c r="C485" s="12"/>
      <c r="D485" s="12"/>
      <c r="E485" s="61"/>
      <c r="F485" s="36"/>
    </row>
    <row r="486">
      <c r="A486" s="12"/>
      <c r="B486" s="12"/>
      <c r="C486" s="12"/>
      <c r="D486" s="12"/>
      <c r="E486" s="61"/>
      <c r="F486" s="36"/>
    </row>
    <row r="487">
      <c r="A487" s="12"/>
      <c r="B487" s="12"/>
      <c r="C487" s="12"/>
      <c r="D487" s="12"/>
      <c r="E487" s="61"/>
      <c r="F487" s="36"/>
    </row>
    <row r="488">
      <c r="A488" s="12"/>
      <c r="B488" s="12"/>
      <c r="C488" s="12"/>
      <c r="D488" s="12"/>
      <c r="E488" s="61"/>
      <c r="F488" s="36"/>
    </row>
    <row r="489">
      <c r="A489" s="12"/>
      <c r="B489" s="12"/>
      <c r="C489" s="12"/>
      <c r="D489" s="12"/>
      <c r="E489" s="61"/>
      <c r="F489" s="36"/>
    </row>
    <row r="490">
      <c r="A490" s="12"/>
      <c r="B490" s="12"/>
      <c r="C490" s="12"/>
      <c r="D490" s="12"/>
      <c r="E490" s="61"/>
      <c r="F490" s="36"/>
    </row>
    <row r="491">
      <c r="A491" s="12"/>
      <c r="B491" s="12"/>
      <c r="C491" s="12"/>
      <c r="D491" s="12"/>
      <c r="E491" s="61"/>
      <c r="F491" s="36"/>
    </row>
    <row r="492">
      <c r="A492" s="12"/>
      <c r="B492" s="12"/>
      <c r="C492" s="12"/>
      <c r="D492" s="12"/>
      <c r="E492" s="61"/>
      <c r="F492" s="36"/>
    </row>
    <row r="493">
      <c r="A493" s="12"/>
      <c r="B493" s="12"/>
      <c r="C493" s="12"/>
      <c r="D493" s="12"/>
      <c r="E493" s="61"/>
      <c r="F493" s="36"/>
    </row>
    <row r="494">
      <c r="A494" s="12"/>
      <c r="B494" s="12"/>
      <c r="C494" s="12"/>
      <c r="D494" s="12"/>
      <c r="E494" s="61"/>
      <c r="F494" s="36"/>
    </row>
    <row r="495">
      <c r="A495" s="12"/>
      <c r="B495" s="12"/>
      <c r="C495" s="12"/>
      <c r="D495" s="12"/>
      <c r="E495" s="61"/>
      <c r="F495" s="36"/>
    </row>
    <row r="496">
      <c r="A496" s="12"/>
      <c r="B496" s="12"/>
      <c r="C496" s="12"/>
      <c r="D496" s="12"/>
      <c r="E496" s="61"/>
      <c r="F496" s="36"/>
    </row>
    <row r="497">
      <c r="A497" s="12"/>
      <c r="B497" s="12"/>
      <c r="C497" s="12"/>
      <c r="D497" s="12"/>
      <c r="E497" s="61"/>
      <c r="F497" s="36"/>
    </row>
    <row r="498">
      <c r="A498" s="12"/>
      <c r="B498" s="12"/>
      <c r="C498" s="12"/>
      <c r="D498" s="12"/>
      <c r="E498" s="61"/>
      <c r="F498" s="36"/>
    </row>
    <row r="499">
      <c r="A499" s="12"/>
      <c r="B499" s="12"/>
      <c r="C499" s="12"/>
      <c r="D499" s="12"/>
      <c r="E499" s="61"/>
      <c r="F499" s="36"/>
    </row>
    <row r="500">
      <c r="A500" s="12"/>
      <c r="B500" s="12"/>
      <c r="C500" s="12"/>
      <c r="D500" s="12"/>
      <c r="E500" s="61"/>
      <c r="F500" s="36"/>
    </row>
    <row r="501">
      <c r="A501" s="12"/>
      <c r="B501" s="12"/>
      <c r="C501" s="12"/>
      <c r="D501" s="12"/>
      <c r="E501" s="61"/>
      <c r="F501" s="36"/>
    </row>
    <row r="502">
      <c r="A502" s="12"/>
      <c r="B502" s="12"/>
      <c r="C502" s="12"/>
      <c r="D502" s="12"/>
      <c r="E502" s="61"/>
      <c r="F502" s="36"/>
    </row>
    <row r="503">
      <c r="A503" s="12"/>
      <c r="B503" s="12"/>
      <c r="C503" s="12"/>
      <c r="D503" s="12"/>
      <c r="E503" s="61"/>
      <c r="F503" s="36"/>
    </row>
    <row r="504">
      <c r="A504" s="12"/>
      <c r="B504" s="12"/>
      <c r="C504" s="12"/>
      <c r="D504" s="12"/>
      <c r="E504" s="61"/>
      <c r="F504" s="36"/>
    </row>
    <row r="505">
      <c r="A505" s="12"/>
      <c r="B505" s="12"/>
      <c r="C505" s="12"/>
      <c r="D505" s="12"/>
      <c r="E505" s="61"/>
      <c r="F505" s="36"/>
    </row>
    <row r="506">
      <c r="A506" s="12"/>
      <c r="B506" s="12"/>
      <c r="C506" s="12"/>
      <c r="D506" s="12"/>
      <c r="E506" s="61"/>
      <c r="F506" s="36"/>
    </row>
    <row r="507">
      <c r="A507" s="12"/>
      <c r="B507" s="12"/>
      <c r="C507" s="12"/>
      <c r="D507" s="12"/>
      <c r="E507" s="61"/>
      <c r="F507" s="36"/>
    </row>
    <row r="508">
      <c r="A508" s="12"/>
      <c r="B508" s="12"/>
      <c r="C508" s="12"/>
      <c r="D508" s="12"/>
      <c r="E508" s="61"/>
      <c r="F508" s="36"/>
    </row>
    <row r="509">
      <c r="A509" s="12"/>
      <c r="B509" s="12"/>
      <c r="C509" s="12"/>
      <c r="D509" s="12"/>
      <c r="E509" s="61"/>
      <c r="F509" s="36"/>
    </row>
    <row r="510">
      <c r="A510" s="12"/>
      <c r="B510" s="12"/>
      <c r="C510" s="12"/>
      <c r="D510" s="12"/>
      <c r="E510" s="61"/>
      <c r="F510" s="36"/>
    </row>
    <row r="511">
      <c r="A511" s="12"/>
      <c r="B511" s="12"/>
      <c r="C511" s="12"/>
      <c r="D511" s="12"/>
      <c r="E511" s="61"/>
      <c r="F511" s="36"/>
    </row>
    <row r="512">
      <c r="A512" s="12"/>
      <c r="B512" s="12"/>
      <c r="C512" s="12"/>
      <c r="D512" s="12"/>
      <c r="E512" s="61"/>
      <c r="F512" s="36"/>
    </row>
    <row r="513">
      <c r="A513" s="12"/>
      <c r="B513" s="12"/>
      <c r="C513" s="12"/>
      <c r="D513" s="12"/>
      <c r="E513" s="61"/>
      <c r="F513" s="36"/>
    </row>
    <row r="514">
      <c r="A514" s="12"/>
      <c r="B514" s="12"/>
      <c r="C514" s="12"/>
      <c r="D514" s="12"/>
      <c r="E514" s="61"/>
      <c r="F514" s="36"/>
    </row>
    <row r="515">
      <c r="A515" s="12"/>
      <c r="B515" s="12"/>
      <c r="C515" s="12"/>
      <c r="D515" s="12"/>
      <c r="E515" s="61"/>
      <c r="F515" s="36"/>
    </row>
    <row r="516">
      <c r="A516" s="12"/>
      <c r="B516" s="12"/>
      <c r="C516" s="12"/>
      <c r="D516" s="12"/>
      <c r="E516" s="61"/>
      <c r="F516" s="36"/>
    </row>
    <row r="517">
      <c r="A517" s="12"/>
      <c r="B517" s="12"/>
      <c r="C517" s="12"/>
      <c r="D517" s="12"/>
      <c r="E517" s="61"/>
      <c r="F517" s="36"/>
    </row>
    <row r="518">
      <c r="A518" s="12"/>
      <c r="B518" s="12"/>
      <c r="C518" s="12"/>
      <c r="D518" s="12"/>
      <c r="E518" s="61"/>
      <c r="F518" s="36"/>
    </row>
    <row r="519">
      <c r="A519" s="12"/>
      <c r="B519" s="12"/>
      <c r="C519" s="12"/>
      <c r="D519" s="12"/>
      <c r="E519" s="61"/>
      <c r="F519" s="36"/>
    </row>
    <row r="520">
      <c r="A520" s="12"/>
      <c r="B520" s="12"/>
      <c r="C520" s="12"/>
      <c r="D520" s="12"/>
      <c r="E520" s="61"/>
      <c r="F520" s="36"/>
    </row>
    <row r="521">
      <c r="A521" s="12"/>
      <c r="B521" s="12"/>
      <c r="C521" s="12"/>
      <c r="D521" s="12"/>
      <c r="E521" s="61"/>
      <c r="F521" s="36"/>
    </row>
    <row r="522">
      <c r="A522" s="12"/>
      <c r="B522" s="12"/>
      <c r="C522" s="12"/>
      <c r="D522" s="12"/>
      <c r="E522" s="61"/>
      <c r="F522" s="36"/>
    </row>
    <row r="523">
      <c r="A523" s="12"/>
      <c r="B523" s="12"/>
      <c r="C523" s="12"/>
      <c r="D523" s="12"/>
      <c r="E523" s="61"/>
      <c r="F523" s="36"/>
    </row>
    <row r="524">
      <c r="A524" s="12"/>
      <c r="B524" s="12"/>
      <c r="C524" s="12"/>
      <c r="D524" s="12"/>
      <c r="E524" s="61"/>
      <c r="F524" s="36"/>
    </row>
    <row r="525">
      <c r="A525" s="12"/>
      <c r="B525" s="12"/>
      <c r="C525" s="12"/>
      <c r="D525" s="12"/>
      <c r="E525" s="61"/>
      <c r="F525" s="36"/>
    </row>
    <row r="526">
      <c r="A526" s="12"/>
      <c r="B526" s="12"/>
      <c r="C526" s="12"/>
      <c r="D526" s="12"/>
      <c r="E526" s="61"/>
      <c r="F526" s="36"/>
    </row>
    <row r="527">
      <c r="A527" s="12"/>
      <c r="B527" s="12"/>
      <c r="C527" s="12"/>
      <c r="D527" s="12"/>
      <c r="E527" s="61"/>
      <c r="F527" s="36"/>
    </row>
    <row r="528">
      <c r="A528" s="12"/>
      <c r="B528" s="12"/>
      <c r="C528" s="12"/>
      <c r="D528" s="12"/>
      <c r="E528" s="61"/>
      <c r="F528" s="36"/>
    </row>
    <row r="529">
      <c r="A529" s="12"/>
      <c r="B529" s="12"/>
      <c r="C529" s="12"/>
      <c r="D529" s="12"/>
      <c r="E529" s="61"/>
      <c r="F529" s="36"/>
    </row>
    <row r="530">
      <c r="A530" s="12"/>
      <c r="B530" s="12"/>
      <c r="C530" s="12"/>
      <c r="D530" s="12"/>
      <c r="E530" s="61"/>
      <c r="F530" s="36"/>
    </row>
    <row r="531">
      <c r="A531" s="12"/>
      <c r="B531" s="12"/>
      <c r="C531" s="12"/>
      <c r="D531" s="12"/>
      <c r="E531" s="61"/>
      <c r="F531" s="36"/>
    </row>
    <row r="532">
      <c r="A532" s="12"/>
      <c r="B532" s="12"/>
      <c r="C532" s="12"/>
      <c r="D532" s="12"/>
      <c r="E532" s="61"/>
      <c r="F532" s="36"/>
    </row>
    <row r="533">
      <c r="A533" s="12"/>
      <c r="B533" s="12"/>
      <c r="C533" s="12"/>
      <c r="D533" s="12"/>
      <c r="E533" s="61"/>
      <c r="F533" s="36"/>
    </row>
    <row r="534">
      <c r="A534" s="12"/>
      <c r="B534" s="12"/>
      <c r="C534" s="12"/>
      <c r="D534" s="12"/>
      <c r="E534" s="61"/>
      <c r="F534" s="36"/>
    </row>
    <row r="535">
      <c r="A535" s="12"/>
      <c r="B535" s="12"/>
      <c r="C535" s="12"/>
      <c r="D535" s="12"/>
      <c r="E535" s="61"/>
      <c r="F535" s="36"/>
    </row>
    <row r="536">
      <c r="A536" s="12"/>
      <c r="B536" s="12"/>
      <c r="C536" s="12"/>
      <c r="D536" s="12"/>
      <c r="E536" s="61"/>
      <c r="F536" s="36"/>
    </row>
    <row r="537">
      <c r="A537" s="12"/>
      <c r="B537" s="12"/>
      <c r="C537" s="12"/>
      <c r="D537" s="12"/>
      <c r="E537" s="61"/>
      <c r="F537" s="36"/>
    </row>
    <row r="538">
      <c r="A538" s="12"/>
      <c r="B538" s="12"/>
      <c r="C538" s="12"/>
      <c r="D538" s="12"/>
      <c r="E538" s="61"/>
      <c r="F538" s="36"/>
    </row>
    <row r="539">
      <c r="A539" s="12"/>
      <c r="B539" s="12"/>
      <c r="C539" s="12"/>
      <c r="D539" s="12"/>
      <c r="E539" s="61"/>
      <c r="F539" s="36"/>
    </row>
    <row r="540">
      <c r="A540" s="12"/>
      <c r="B540" s="12"/>
      <c r="C540" s="12"/>
      <c r="D540" s="12"/>
      <c r="E540" s="61"/>
      <c r="F540" s="36"/>
    </row>
    <row r="541">
      <c r="A541" s="12"/>
      <c r="B541" s="12"/>
      <c r="C541" s="12"/>
      <c r="D541" s="12"/>
      <c r="E541" s="61"/>
      <c r="F541" s="36"/>
    </row>
    <row r="542">
      <c r="A542" s="12"/>
      <c r="B542" s="12"/>
      <c r="C542" s="12"/>
      <c r="D542" s="12"/>
      <c r="E542" s="61"/>
      <c r="F542" s="36"/>
    </row>
    <row r="543">
      <c r="A543" s="12"/>
      <c r="B543" s="12"/>
      <c r="C543" s="12"/>
      <c r="D543" s="12"/>
      <c r="E543" s="61"/>
      <c r="F543" s="36"/>
    </row>
    <row r="544">
      <c r="A544" s="12"/>
      <c r="B544" s="12"/>
      <c r="C544" s="12"/>
      <c r="D544" s="12"/>
      <c r="E544" s="61"/>
      <c r="F544" s="36"/>
    </row>
    <row r="545">
      <c r="A545" s="12"/>
      <c r="B545" s="12"/>
      <c r="C545" s="12"/>
      <c r="D545" s="12"/>
      <c r="E545" s="61"/>
      <c r="F545" s="36"/>
    </row>
    <row r="546">
      <c r="A546" s="12"/>
      <c r="B546" s="12"/>
      <c r="C546" s="12"/>
      <c r="D546" s="12"/>
      <c r="E546" s="61"/>
      <c r="F546" s="36"/>
    </row>
    <row r="547">
      <c r="A547" s="12"/>
      <c r="B547" s="12"/>
      <c r="C547" s="12"/>
      <c r="D547" s="12"/>
      <c r="E547" s="61"/>
      <c r="F547" s="36"/>
    </row>
    <row r="548">
      <c r="A548" s="12"/>
      <c r="B548" s="12"/>
      <c r="C548" s="12"/>
      <c r="D548" s="12"/>
      <c r="E548" s="61"/>
      <c r="F548" s="36"/>
    </row>
    <row r="549">
      <c r="A549" s="12"/>
      <c r="B549" s="12"/>
      <c r="C549" s="12"/>
      <c r="D549" s="12"/>
      <c r="E549" s="61"/>
      <c r="F549" s="36"/>
    </row>
    <row r="550">
      <c r="A550" s="12"/>
      <c r="B550" s="12"/>
      <c r="C550" s="12"/>
      <c r="D550" s="12"/>
      <c r="E550" s="61"/>
      <c r="F550" s="36"/>
    </row>
    <row r="551">
      <c r="A551" s="12"/>
      <c r="B551" s="12"/>
      <c r="C551" s="12"/>
      <c r="D551" s="12"/>
      <c r="E551" s="61"/>
      <c r="F551" s="36"/>
    </row>
    <row r="552">
      <c r="A552" s="12"/>
      <c r="B552" s="12"/>
      <c r="C552" s="12"/>
      <c r="D552" s="12"/>
      <c r="E552" s="61"/>
      <c r="F552" s="36"/>
    </row>
    <row r="553">
      <c r="A553" s="12"/>
      <c r="B553" s="12"/>
      <c r="C553" s="12"/>
      <c r="D553" s="12"/>
      <c r="E553" s="61"/>
      <c r="F553" s="36"/>
    </row>
    <row r="554">
      <c r="A554" s="12"/>
      <c r="B554" s="12"/>
      <c r="C554" s="12"/>
      <c r="D554" s="12"/>
      <c r="E554" s="61"/>
      <c r="F554" s="36"/>
    </row>
    <row r="555">
      <c r="A555" s="12"/>
      <c r="B555" s="12"/>
      <c r="C555" s="12"/>
      <c r="D555" s="12"/>
      <c r="E555" s="61"/>
      <c r="F555" s="36"/>
    </row>
    <row r="556">
      <c r="A556" s="12"/>
      <c r="B556" s="12"/>
      <c r="C556" s="12"/>
      <c r="D556" s="12"/>
      <c r="E556" s="61"/>
      <c r="F556" s="36"/>
    </row>
    <row r="557">
      <c r="A557" s="12"/>
      <c r="B557" s="12"/>
      <c r="C557" s="12"/>
      <c r="D557" s="12"/>
      <c r="E557" s="61"/>
      <c r="F557" s="36"/>
    </row>
    <row r="558">
      <c r="A558" s="12"/>
      <c r="B558" s="12"/>
      <c r="C558" s="12"/>
      <c r="D558" s="12"/>
      <c r="E558" s="61"/>
      <c r="F558" s="36"/>
    </row>
    <row r="559">
      <c r="A559" s="12"/>
      <c r="B559" s="12"/>
      <c r="C559" s="12"/>
      <c r="D559" s="12"/>
      <c r="E559" s="61"/>
      <c r="F559" s="36"/>
    </row>
    <row r="560">
      <c r="A560" s="12"/>
      <c r="B560" s="12"/>
      <c r="C560" s="12"/>
      <c r="D560" s="12"/>
      <c r="E560" s="61"/>
      <c r="F560" s="36"/>
    </row>
    <row r="561">
      <c r="A561" s="12"/>
      <c r="B561" s="12"/>
      <c r="C561" s="12"/>
      <c r="D561" s="12"/>
      <c r="E561" s="61"/>
      <c r="F561" s="36"/>
    </row>
    <row r="562">
      <c r="A562" s="12"/>
      <c r="B562" s="12"/>
      <c r="C562" s="12"/>
      <c r="D562" s="12"/>
      <c r="E562" s="61"/>
      <c r="F562" s="36"/>
    </row>
    <row r="563">
      <c r="A563" s="12"/>
      <c r="B563" s="12"/>
      <c r="C563" s="12"/>
      <c r="D563" s="12"/>
      <c r="E563" s="61"/>
      <c r="F563" s="36"/>
    </row>
    <row r="564">
      <c r="A564" s="12"/>
      <c r="B564" s="12"/>
      <c r="C564" s="12"/>
      <c r="D564" s="12"/>
      <c r="E564" s="61"/>
      <c r="F564" s="36"/>
    </row>
    <row r="565">
      <c r="A565" s="12"/>
      <c r="B565" s="12"/>
      <c r="C565" s="12"/>
      <c r="D565" s="12"/>
      <c r="E565" s="61"/>
      <c r="F565" s="36"/>
    </row>
    <row r="566">
      <c r="A566" s="12"/>
      <c r="B566" s="12"/>
      <c r="C566" s="12"/>
      <c r="D566" s="12"/>
      <c r="E566" s="61"/>
      <c r="F566" s="36"/>
    </row>
    <row r="567">
      <c r="A567" s="12"/>
      <c r="B567" s="12"/>
      <c r="C567" s="12"/>
      <c r="D567" s="12"/>
      <c r="E567" s="61"/>
      <c r="F567" s="36"/>
    </row>
    <row r="568">
      <c r="A568" s="12"/>
      <c r="B568" s="12"/>
      <c r="C568" s="12"/>
      <c r="D568" s="12"/>
      <c r="E568" s="61"/>
      <c r="F568" s="36"/>
    </row>
    <row r="569">
      <c r="A569" s="12"/>
      <c r="B569" s="12"/>
      <c r="C569" s="12"/>
      <c r="D569" s="12"/>
      <c r="E569" s="61"/>
      <c r="F569" s="36"/>
    </row>
    <row r="570">
      <c r="A570" s="12"/>
      <c r="B570" s="12"/>
      <c r="C570" s="12"/>
      <c r="D570" s="12"/>
      <c r="E570" s="61"/>
      <c r="F570" s="36"/>
    </row>
    <row r="571">
      <c r="A571" s="12"/>
      <c r="B571" s="12"/>
      <c r="C571" s="12"/>
      <c r="D571" s="12"/>
      <c r="E571" s="61"/>
      <c r="F571" s="36"/>
    </row>
    <row r="572">
      <c r="A572" s="12"/>
      <c r="B572" s="12"/>
      <c r="C572" s="12"/>
      <c r="D572" s="12"/>
      <c r="E572" s="61"/>
      <c r="F572" s="36"/>
    </row>
    <row r="573">
      <c r="A573" s="12"/>
      <c r="B573" s="12"/>
      <c r="C573" s="12"/>
      <c r="D573" s="12"/>
      <c r="E573" s="61"/>
      <c r="F573" s="36"/>
    </row>
    <row r="574">
      <c r="A574" s="12"/>
      <c r="B574" s="12"/>
      <c r="C574" s="12"/>
      <c r="D574" s="12"/>
      <c r="E574" s="61"/>
      <c r="F574" s="36"/>
    </row>
    <row r="575">
      <c r="A575" s="12"/>
      <c r="B575" s="12"/>
      <c r="C575" s="12"/>
      <c r="D575" s="12"/>
      <c r="E575" s="61"/>
      <c r="F575" s="36"/>
    </row>
    <row r="576">
      <c r="A576" s="12"/>
      <c r="B576" s="12"/>
      <c r="C576" s="12"/>
      <c r="D576" s="12"/>
      <c r="E576" s="61"/>
      <c r="F576" s="36"/>
    </row>
    <row r="577">
      <c r="A577" s="12"/>
      <c r="B577" s="12"/>
      <c r="C577" s="12"/>
      <c r="D577" s="12"/>
      <c r="E577" s="61"/>
      <c r="F577" s="36"/>
    </row>
    <row r="578">
      <c r="A578" s="12"/>
      <c r="B578" s="12"/>
      <c r="C578" s="12"/>
      <c r="D578" s="12"/>
      <c r="E578" s="61"/>
      <c r="F578" s="36"/>
    </row>
    <row r="579">
      <c r="A579" s="12"/>
      <c r="B579" s="12"/>
      <c r="C579" s="12"/>
      <c r="D579" s="12"/>
      <c r="E579" s="61"/>
      <c r="F579" s="36"/>
    </row>
    <row r="580">
      <c r="A580" s="12"/>
      <c r="B580" s="12"/>
      <c r="C580" s="12"/>
      <c r="D580" s="12"/>
      <c r="E580" s="61"/>
      <c r="F580" s="36"/>
    </row>
    <row r="581">
      <c r="A581" s="12"/>
      <c r="B581" s="12"/>
      <c r="C581" s="12"/>
      <c r="D581" s="12"/>
      <c r="E581" s="61"/>
      <c r="F581" s="36"/>
    </row>
    <row r="582">
      <c r="A582" s="12"/>
      <c r="B582" s="12"/>
      <c r="C582" s="12"/>
      <c r="D582" s="12"/>
      <c r="E582" s="61"/>
      <c r="F582" s="36"/>
    </row>
    <row r="583">
      <c r="A583" s="12"/>
      <c r="B583" s="12"/>
      <c r="C583" s="12"/>
      <c r="D583" s="12"/>
      <c r="E583" s="61"/>
      <c r="F583" s="36"/>
    </row>
    <row r="584">
      <c r="A584" s="12"/>
      <c r="B584" s="12"/>
      <c r="C584" s="12"/>
      <c r="D584" s="12"/>
      <c r="E584" s="61"/>
      <c r="F584" s="36"/>
    </row>
    <row r="585">
      <c r="A585" s="12"/>
      <c r="B585" s="12"/>
      <c r="C585" s="12"/>
      <c r="D585" s="12"/>
      <c r="E585" s="61"/>
      <c r="F585" s="36"/>
    </row>
    <row r="586">
      <c r="A586" s="12"/>
      <c r="B586" s="12"/>
      <c r="C586" s="12"/>
      <c r="D586" s="12"/>
      <c r="E586" s="61"/>
      <c r="F586" s="36"/>
    </row>
    <row r="587">
      <c r="A587" s="12"/>
      <c r="B587" s="12"/>
      <c r="C587" s="12"/>
      <c r="D587" s="12"/>
      <c r="E587" s="61"/>
      <c r="F587" s="36"/>
    </row>
    <row r="588">
      <c r="A588" s="12"/>
      <c r="B588" s="12"/>
      <c r="C588" s="12"/>
      <c r="D588" s="12"/>
      <c r="E588" s="61"/>
      <c r="F588" s="36"/>
    </row>
    <row r="589">
      <c r="A589" s="12"/>
      <c r="B589" s="12"/>
      <c r="C589" s="12"/>
      <c r="D589" s="12"/>
      <c r="E589" s="61"/>
      <c r="F589" s="36"/>
    </row>
    <row r="590">
      <c r="A590" s="12"/>
      <c r="B590" s="12"/>
      <c r="C590" s="12"/>
      <c r="D590" s="12"/>
      <c r="E590" s="61"/>
      <c r="F590" s="36"/>
    </row>
    <row r="591">
      <c r="A591" s="12"/>
      <c r="B591" s="12"/>
      <c r="C591" s="12"/>
      <c r="D591" s="12"/>
      <c r="E591" s="61"/>
      <c r="F591" s="36"/>
    </row>
    <row r="592">
      <c r="A592" s="12"/>
      <c r="B592" s="12"/>
      <c r="C592" s="12"/>
      <c r="D592" s="12"/>
      <c r="E592" s="61"/>
      <c r="F592" s="36"/>
    </row>
    <row r="593">
      <c r="A593" s="12"/>
      <c r="B593" s="12"/>
      <c r="C593" s="12"/>
      <c r="D593" s="12"/>
      <c r="E593" s="61"/>
      <c r="F593" s="36"/>
    </row>
    <row r="594">
      <c r="A594" s="12"/>
      <c r="B594" s="12"/>
      <c r="C594" s="12"/>
      <c r="D594" s="12"/>
      <c r="E594" s="61"/>
      <c r="F594" s="36"/>
    </row>
    <row r="595">
      <c r="A595" s="12"/>
      <c r="B595" s="12"/>
      <c r="C595" s="12"/>
      <c r="D595" s="12"/>
      <c r="E595" s="61"/>
      <c r="F595" s="36"/>
    </row>
    <row r="596">
      <c r="A596" s="12"/>
      <c r="B596" s="12"/>
      <c r="C596" s="12"/>
      <c r="D596" s="12"/>
      <c r="E596" s="61"/>
      <c r="F596" s="36"/>
    </row>
    <row r="597">
      <c r="A597" s="12"/>
      <c r="B597" s="12"/>
      <c r="C597" s="12"/>
      <c r="D597" s="12"/>
      <c r="E597" s="61"/>
      <c r="F597" s="36"/>
    </row>
    <row r="598">
      <c r="A598" s="12"/>
      <c r="B598" s="12"/>
      <c r="C598" s="12"/>
      <c r="D598" s="12"/>
      <c r="E598" s="61"/>
      <c r="F598" s="36"/>
    </row>
    <row r="599">
      <c r="A599" s="12"/>
      <c r="B599" s="12"/>
      <c r="C599" s="12"/>
      <c r="D599" s="12"/>
      <c r="E599" s="61"/>
      <c r="F599" s="36"/>
    </row>
    <row r="600">
      <c r="A600" s="12"/>
      <c r="B600" s="12"/>
      <c r="C600" s="12"/>
      <c r="D600" s="12"/>
      <c r="E600" s="61"/>
      <c r="F600" s="36"/>
    </row>
    <row r="601">
      <c r="A601" s="12"/>
      <c r="B601" s="12"/>
      <c r="C601" s="12"/>
      <c r="D601" s="12"/>
      <c r="E601" s="61"/>
      <c r="F601" s="36"/>
    </row>
    <row r="602">
      <c r="A602" s="12"/>
      <c r="B602" s="12"/>
      <c r="C602" s="12"/>
      <c r="D602" s="12"/>
      <c r="E602" s="61"/>
      <c r="F602" s="36"/>
    </row>
    <row r="603">
      <c r="A603" s="12"/>
      <c r="B603" s="12"/>
      <c r="C603" s="12"/>
      <c r="D603" s="12"/>
      <c r="E603" s="61"/>
      <c r="F603" s="36"/>
    </row>
    <row r="604">
      <c r="A604" s="12"/>
      <c r="B604" s="12"/>
      <c r="C604" s="12"/>
      <c r="D604" s="12"/>
      <c r="E604" s="61"/>
      <c r="F604" s="36"/>
    </row>
    <row r="605">
      <c r="A605" s="12"/>
      <c r="B605" s="12"/>
      <c r="C605" s="12"/>
      <c r="D605" s="12"/>
      <c r="E605" s="61"/>
      <c r="F605" s="36"/>
    </row>
    <row r="606">
      <c r="A606" s="12"/>
      <c r="B606" s="12"/>
      <c r="C606" s="12"/>
      <c r="D606" s="12"/>
      <c r="E606" s="61"/>
      <c r="F606" s="36"/>
    </row>
    <row r="607">
      <c r="A607" s="12"/>
      <c r="B607" s="12"/>
      <c r="C607" s="12"/>
      <c r="D607" s="12"/>
      <c r="E607" s="61"/>
      <c r="F607" s="36"/>
    </row>
    <row r="608">
      <c r="A608" s="12"/>
      <c r="B608" s="12"/>
      <c r="C608" s="12"/>
      <c r="D608" s="12"/>
      <c r="E608" s="61"/>
      <c r="F608" s="36"/>
    </row>
    <row r="609">
      <c r="A609" s="12"/>
      <c r="B609" s="12"/>
      <c r="C609" s="12"/>
      <c r="D609" s="12"/>
      <c r="E609" s="61"/>
      <c r="F609" s="36"/>
    </row>
    <row r="610">
      <c r="A610" s="12"/>
      <c r="B610" s="12"/>
      <c r="C610" s="12"/>
      <c r="D610" s="12"/>
      <c r="E610" s="61"/>
      <c r="F610" s="36"/>
    </row>
    <row r="611">
      <c r="A611" s="12"/>
      <c r="B611" s="12"/>
      <c r="C611" s="12"/>
      <c r="D611" s="12"/>
      <c r="E611" s="61"/>
      <c r="F611" s="36"/>
    </row>
    <row r="612">
      <c r="A612" s="12"/>
      <c r="B612" s="12"/>
      <c r="C612" s="12"/>
      <c r="D612" s="12"/>
      <c r="E612" s="61"/>
      <c r="F612" s="36"/>
    </row>
    <row r="613">
      <c r="A613" s="12"/>
      <c r="B613" s="12"/>
      <c r="C613" s="12"/>
      <c r="D613" s="12"/>
      <c r="E613" s="61"/>
      <c r="F613" s="36"/>
    </row>
    <row r="614">
      <c r="A614" s="12"/>
      <c r="B614" s="12"/>
      <c r="C614" s="12"/>
      <c r="D614" s="12"/>
      <c r="E614" s="61"/>
      <c r="F614" s="36"/>
    </row>
    <row r="615">
      <c r="A615" s="12"/>
      <c r="B615" s="12"/>
      <c r="C615" s="12"/>
      <c r="D615" s="12"/>
      <c r="E615" s="61"/>
      <c r="F615" s="36"/>
    </row>
    <row r="616">
      <c r="A616" s="12"/>
      <c r="B616" s="12"/>
      <c r="C616" s="12"/>
      <c r="D616" s="12"/>
      <c r="E616" s="61"/>
      <c r="F616" s="36"/>
    </row>
    <row r="617">
      <c r="A617" s="12"/>
      <c r="B617" s="12"/>
      <c r="C617" s="12"/>
      <c r="D617" s="12"/>
      <c r="E617" s="61"/>
      <c r="F617" s="36"/>
    </row>
    <row r="618">
      <c r="A618" s="12"/>
      <c r="B618" s="12"/>
      <c r="C618" s="12"/>
      <c r="D618" s="12"/>
      <c r="E618" s="61"/>
      <c r="F618" s="36"/>
    </row>
    <row r="619">
      <c r="A619" s="12"/>
      <c r="B619" s="12"/>
      <c r="C619" s="12"/>
      <c r="D619" s="12"/>
      <c r="E619" s="61"/>
      <c r="F619" s="36"/>
    </row>
    <row r="620">
      <c r="A620" s="12"/>
      <c r="B620" s="12"/>
      <c r="C620" s="12"/>
      <c r="D620" s="12"/>
      <c r="E620" s="61"/>
      <c r="F620" s="36"/>
    </row>
    <row r="621">
      <c r="A621" s="12"/>
      <c r="B621" s="12"/>
      <c r="C621" s="12"/>
      <c r="D621" s="12"/>
      <c r="E621" s="61"/>
      <c r="F621" s="36"/>
    </row>
    <row r="622">
      <c r="A622" s="12"/>
      <c r="B622" s="12"/>
      <c r="C622" s="12"/>
      <c r="D622" s="12"/>
      <c r="E622" s="61"/>
      <c r="F622" s="36"/>
    </row>
    <row r="623">
      <c r="A623" s="12"/>
      <c r="B623" s="12"/>
      <c r="C623" s="12"/>
      <c r="D623" s="12"/>
      <c r="E623" s="61"/>
      <c r="F623" s="36"/>
    </row>
    <row r="624">
      <c r="A624" s="12"/>
      <c r="B624" s="12"/>
      <c r="C624" s="12"/>
      <c r="D624" s="12"/>
      <c r="E624" s="61"/>
      <c r="F624" s="36"/>
    </row>
    <row r="625">
      <c r="A625" s="12"/>
      <c r="B625" s="12"/>
      <c r="C625" s="12"/>
      <c r="D625" s="12"/>
      <c r="E625" s="61"/>
      <c r="F625" s="36"/>
    </row>
    <row r="626">
      <c r="A626" s="12"/>
      <c r="B626" s="12"/>
      <c r="C626" s="12"/>
      <c r="D626" s="12"/>
      <c r="E626" s="61"/>
      <c r="F626" s="36"/>
    </row>
    <row r="627">
      <c r="A627" s="12"/>
      <c r="B627" s="12"/>
      <c r="C627" s="12"/>
      <c r="D627" s="12"/>
      <c r="E627" s="61"/>
      <c r="F627" s="36"/>
    </row>
    <row r="628">
      <c r="A628" s="12"/>
      <c r="B628" s="12"/>
      <c r="C628" s="12"/>
      <c r="D628" s="12"/>
      <c r="E628" s="61"/>
      <c r="F628" s="36"/>
    </row>
    <row r="629">
      <c r="A629" s="12"/>
      <c r="B629" s="12"/>
      <c r="C629" s="12"/>
      <c r="D629" s="12"/>
      <c r="E629" s="61"/>
      <c r="F629" s="36"/>
    </row>
    <row r="630">
      <c r="A630" s="12"/>
      <c r="B630" s="12"/>
      <c r="C630" s="12"/>
      <c r="D630" s="12"/>
      <c r="E630" s="61"/>
      <c r="F630" s="36"/>
    </row>
    <row r="631">
      <c r="A631" s="12"/>
      <c r="B631" s="12"/>
      <c r="C631" s="12"/>
      <c r="D631" s="12"/>
      <c r="E631" s="61"/>
      <c r="F631" s="36"/>
    </row>
    <row r="632">
      <c r="A632" s="12"/>
      <c r="B632" s="12"/>
      <c r="C632" s="12"/>
      <c r="D632" s="12"/>
      <c r="E632" s="61"/>
      <c r="F632" s="36"/>
    </row>
    <row r="633">
      <c r="A633" s="12"/>
      <c r="B633" s="12"/>
      <c r="C633" s="12"/>
      <c r="D633" s="12"/>
      <c r="E633" s="61"/>
      <c r="F633" s="36"/>
    </row>
    <row r="634">
      <c r="A634" s="12"/>
      <c r="B634" s="12"/>
      <c r="C634" s="12"/>
      <c r="D634" s="12"/>
      <c r="E634" s="61"/>
      <c r="F634" s="36"/>
    </row>
    <row r="635">
      <c r="A635" s="12"/>
      <c r="B635" s="12"/>
      <c r="C635" s="12"/>
      <c r="D635" s="12"/>
      <c r="E635" s="61"/>
      <c r="F635" s="36"/>
    </row>
    <row r="636">
      <c r="A636" s="12"/>
      <c r="B636" s="12"/>
      <c r="C636" s="12"/>
      <c r="D636" s="12"/>
      <c r="E636" s="61"/>
      <c r="F636" s="36"/>
    </row>
    <row r="637">
      <c r="A637" s="12"/>
      <c r="B637" s="12"/>
      <c r="C637" s="12"/>
      <c r="D637" s="12"/>
      <c r="E637" s="61"/>
      <c r="F637" s="36"/>
    </row>
    <row r="638">
      <c r="A638" s="12"/>
      <c r="B638" s="12"/>
      <c r="C638" s="12"/>
      <c r="D638" s="12"/>
      <c r="E638" s="61"/>
      <c r="F638" s="36"/>
    </row>
    <row r="639">
      <c r="A639" s="12"/>
      <c r="B639" s="12"/>
      <c r="C639" s="12"/>
      <c r="D639" s="12"/>
      <c r="E639" s="61"/>
      <c r="F639" s="36"/>
    </row>
    <row r="640">
      <c r="A640" s="12"/>
      <c r="B640" s="12"/>
      <c r="C640" s="12"/>
      <c r="D640" s="12"/>
      <c r="E640" s="61"/>
      <c r="F640" s="36"/>
    </row>
    <row r="641">
      <c r="A641" s="12"/>
      <c r="B641" s="12"/>
      <c r="C641" s="12"/>
      <c r="D641" s="12"/>
      <c r="E641" s="61"/>
      <c r="F641" s="36"/>
    </row>
    <row r="642">
      <c r="A642" s="12"/>
      <c r="B642" s="12"/>
      <c r="C642" s="12"/>
      <c r="D642" s="12"/>
      <c r="E642" s="61"/>
      <c r="F642" s="36"/>
    </row>
    <row r="643">
      <c r="A643" s="12"/>
      <c r="B643" s="12"/>
      <c r="C643" s="12"/>
      <c r="D643" s="12"/>
      <c r="E643" s="61"/>
      <c r="F643" s="36"/>
    </row>
    <row r="644">
      <c r="A644" s="12"/>
      <c r="B644" s="12"/>
      <c r="C644" s="12"/>
      <c r="D644" s="12"/>
      <c r="E644" s="61"/>
      <c r="F644" s="36"/>
    </row>
    <row r="645">
      <c r="A645" s="12"/>
      <c r="B645" s="12"/>
      <c r="C645" s="12"/>
      <c r="D645" s="12"/>
      <c r="E645" s="61"/>
      <c r="F645" s="36"/>
    </row>
    <row r="646">
      <c r="A646" s="12"/>
      <c r="B646" s="12"/>
      <c r="C646" s="12"/>
      <c r="D646" s="12"/>
      <c r="E646" s="61"/>
      <c r="F646" s="36"/>
    </row>
    <row r="647">
      <c r="A647" s="12"/>
      <c r="B647" s="12"/>
      <c r="C647" s="12"/>
      <c r="D647" s="12"/>
      <c r="E647" s="61"/>
      <c r="F647" s="36"/>
    </row>
    <row r="648">
      <c r="A648" s="12"/>
      <c r="B648" s="12"/>
      <c r="C648" s="12"/>
      <c r="D648" s="12"/>
      <c r="E648" s="61"/>
      <c r="F648" s="36"/>
    </row>
    <row r="649">
      <c r="A649" s="12"/>
      <c r="B649" s="12"/>
      <c r="C649" s="12"/>
      <c r="D649" s="12"/>
      <c r="E649" s="61"/>
      <c r="F649" s="36"/>
    </row>
    <row r="650">
      <c r="A650" s="12"/>
      <c r="B650" s="12"/>
      <c r="C650" s="12"/>
      <c r="D650" s="12"/>
      <c r="E650" s="61"/>
      <c r="F650" s="36"/>
    </row>
    <row r="651">
      <c r="A651" s="12"/>
      <c r="B651" s="12"/>
      <c r="C651" s="12"/>
      <c r="D651" s="12"/>
      <c r="E651" s="61"/>
      <c r="F651" s="36"/>
    </row>
    <row r="652">
      <c r="A652" s="12"/>
      <c r="B652" s="12"/>
      <c r="C652" s="12"/>
      <c r="D652" s="12"/>
      <c r="E652" s="61"/>
      <c r="F652" s="36"/>
    </row>
    <row r="653">
      <c r="A653" s="12"/>
      <c r="B653" s="12"/>
      <c r="C653" s="12"/>
      <c r="D653" s="12"/>
      <c r="E653" s="61"/>
      <c r="F653" s="36"/>
    </row>
    <row r="654">
      <c r="A654" s="12"/>
      <c r="B654" s="12"/>
      <c r="C654" s="12"/>
      <c r="D654" s="12"/>
      <c r="E654" s="61"/>
      <c r="F654" s="36"/>
    </row>
    <row r="655">
      <c r="A655" s="12"/>
      <c r="B655" s="12"/>
      <c r="C655" s="12"/>
      <c r="D655" s="12"/>
      <c r="E655" s="61"/>
      <c r="F655" s="36"/>
    </row>
    <row r="656">
      <c r="A656" s="12"/>
      <c r="B656" s="12"/>
      <c r="C656" s="12"/>
      <c r="D656" s="12"/>
      <c r="E656" s="61"/>
      <c r="F656" s="36"/>
    </row>
    <row r="657">
      <c r="A657" s="12"/>
      <c r="B657" s="12"/>
      <c r="C657" s="12"/>
      <c r="D657" s="12"/>
      <c r="E657" s="61"/>
      <c r="F657" s="36"/>
    </row>
    <row r="658">
      <c r="A658" s="12"/>
      <c r="B658" s="12"/>
      <c r="C658" s="12"/>
      <c r="D658" s="12"/>
      <c r="E658" s="61"/>
      <c r="F658" s="36"/>
    </row>
    <row r="659">
      <c r="A659" s="12"/>
      <c r="B659" s="12"/>
      <c r="C659" s="12"/>
      <c r="D659" s="12"/>
      <c r="E659" s="61"/>
      <c r="F659" s="36"/>
    </row>
    <row r="660">
      <c r="A660" s="12"/>
      <c r="B660" s="12"/>
      <c r="C660" s="12"/>
      <c r="D660" s="12"/>
      <c r="E660" s="61"/>
      <c r="F660" s="36"/>
    </row>
    <row r="661">
      <c r="A661" s="12"/>
      <c r="B661" s="12"/>
      <c r="C661" s="12"/>
      <c r="D661" s="12"/>
      <c r="E661" s="61"/>
      <c r="F661" s="36"/>
    </row>
    <row r="662">
      <c r="A662" s="12"/>
      <c r="B662" s="12"/>
      <c r="C662" s="12"/>
      <c r="D662" s="12"/>
      <c r="E662" s="61"/>
      <c r="F662" s="36"/>
    </row>
    <row r="663">
      <c r="A663" s="12"/>
      <c r="B663" s="12"/>
      <c r="C663" s="12"/>
      <c r="D663" s="12"/>
      <c r="E663" s="61"/>
      <c r="F663" s="36"/>
    </row>
    <row r="664">
      <c r="A664" s="12"/>
      <c r="B664" s="12"/>
      <c r="C664" s="12"/>
      <c r="D664" s="12"/>
      <c r="E664" s="61"/>
      <c r="F664" s="36"/>
    </row>
    <row r="665">
      <c r="A665" s="12"/>
      <c r="B665" s="12"/>
      <c r="C665" s="12"/>
      <c r="D665" s="12"/>
      <c r="E665" s="61"/>
      <c r="F665" s="36"/>
    </row>
    <row r="666">
      <c r="A666" s="12"/>
      <c r="B666" s="12"/>
      <c r="C666" s="12"/>
      <c r="D666" s="12"/>
      <c r="E666" s="61"/>
      <c r="F666" s="36"/>
    </row>
    <row r="667">
      <c r="A667" s="12"/>
      <c r="B667" s="12"/>
      <c r="C667" s="12"/>
      <c r="D667" s="12"/>
      <c r="E667" s="61"/>
      <c r="F667" s="36"/>
    </row>
    <row r="668">
      <c r="A668" s="12"/>
      <c r="B668" s="12"/>
      <c r="C668" s="12"/>
      <c r="D668" s="12"/>
      <c r="E668" s="61"/>
      <c r="F668" s="36"/>
    </row>
    <row r="669">
      <c r="A669" s="12"/>
      <c r="B669" s="12"/>
      <c r="C669" s="12"/>
      <c r="D669" s="12"/>
      <c r="E669" s="61"/>
      <c r="F669" s="36"/>
    </row>
    <row r="670">
      <c r="A670" s="12"/>
      <c r="B670" s="12"/>
      <c r="C670" s="12"/>
      <c r="D670" s="12"/>
      <c r="E670" s="61"/>
      <c r="F670" s="36"/>
    </row>
    <row r="671">
      <c r="A671" s="12"/>
      <c r="B671" s="12"/>
      <c r="C671" s="12"/>
      <c r="D671" s="12"/>
      <c r="E671" s="61"/>
      <c r="F671" s="36"/>
    </row>
    <row r="672">
      <c r="A672" s="12"/>
      <c r="B672" s="12"/>
      <c r="C672" s="12"/>
      <c r="D672" s="12"/>
      <c r="E672" s="61"/>
      <c r="F672" s="36"/>
    </row>
    <row r="673">
      <c r="A673" s="12"/>
      <c r="B673" s="12"/>
      <c r="C673" s="12"/>
      <c r="D673" s="12"/>
      <c r="E673" s="61"/>
      <c r="F673" s="36"/>
    </row>
    <row r="674">
      <c r="A674" s="12"/>
      <c r="B674" s="12"/>
      <c r="C674" s="12"/>
      <c r="D674" s="12"/>
      <c r="E674" s="61"/>
      <c r="F674" s="36"/>
    </row>
    <row r="675">
      <c r="A675" s="12"/>
      <c r="B675" s="12"/>
      <c r="C675" s="12"/>
      <c r="D675" s="12"/>
      <c r="E675" s="61"/>
      <c r="F675" s="36"/>
    </row>
    <row r="676">
      <c r="A676" s="12"/>
      <c r="B676" s="12"/>
      <c r="C676" s="12"/>
      <c r="D676" s="12"/>
      <c r="E676" s="61"/>
      <c r="F676" s="36"/>
    </row>
    <row r="677">
      <c r="A677" s="12"/>
      <c r="B677" s="12"/>
      <c r="C677" s="12"/>
      <c r="D677" s="12"/>
      <c r="E677" s="61"/>
      <c r="F677" s="36"/>
    </row>
    <row r="678">
      <c r="A678" s="12"/>
      <c r="B678" s="12"/>
      <c r="C678" s="12"/>
      <c r="D678" s="12"/>
      <c r="E678" s="61"/>
      <c r="F678" s="36"/>
    </row>
    <row r="679">
      <c r="A679" s="12"/>
      <c r="B679" s="12"/>
      <c r="C679" s="12"/>
      <c r="D679" s="12"/>
      <c r="E679" s="61"/>
      <c r="F679" s="36"/>
    </row>
    <row r="680">
      <c r="A680" s="12"/>
      <c r="B680" s="12"/>
      <c r="C680" s="12"/>
      <c r="D680" s="12"/>
      <c r="E680" s="61"/>
      <c r="F680" s="36"/>
    </row>
    <row r="681">
      <c r="A681" s="12"/>
      <c r="B681" s="12"/>
      <c r="C681" s="12"/>
      <c r="D681" s="12"/>
      <c r="E681" s="61"/>
      <c r="F681" s="36"/>
    </row>
    <row r="682">
      <c r="A682" s="12"/>
      <c r="B682" s="12"/>
      <c r="C682" s="12"/>
      <c r="D682" s="12"/>
      <c r="E682" s="61"/>
      <c r="F682" s="36"/>
    </row>
    <row r="683">
      <c r="A683" s="12"/>
      <c r="B683" s="12"/>
      <c r="C683" s="12"/>
      <c r="D683" s="12"/>
      <c r="E683" s="61"/>
      <c r="F683" s="36"/>
    </row>
    <row r="684">
      <c r="A684" s="12"/>
      <c r="B684" s="12"/>
      <c r="C684" s="12"/>
      <c r="D684" s="12"/>
      <c r="E684" s="61"/>
      <c r="F684" s="36"/>
    </row>
    <row r="685">
      <c r="A685" s="12"/>
      <c r="B685" s="12"/>
      <c r="C685" s="12"/>
      <c r="D685" s="12"/>
      <c r="E685" s="61"/>
      <c r="F685" s="36"/>
    </row>
    <row r="686">
      <c r="A686" s="12"/>
      <c r="B686" s="12"/>
      <c r="C686" s="12"/>
      <c r="D686" s="12"/>
      <c r="E686" s="61"/>
      <c r="F686" s="36"/>
    </row>
    <row r="687">
      <c r="A687" s="12"/>
      <c r="B687" s="12"/>
      <c r="C687" s="12"/>
      <c r="D687" s="12"/>
      <c r="E687" s="61"/>
      <c r="F687" s="36"/>
    </row>
    <row r="688">
      <c r="A688" s="12"/>
      <c r="B688" s="12"/>
      <c r="C688" s="12"/>
      <c r="D688" s="12"/>
      <c r="E688" s="61"/>
      <c r="F688" s="36"/>
    </row>
    <row r="689">
      <c r="A689" s="12"/>
      <c r="B689" s="12"/>
      <c r="C689" s="12"/>
      <c r="D689" s="12"/>
      <c r="E689" s="61"/>
      <c r="F689" s="36"/>
    </row>
    <row r="690">
      <c r="A690" s="12"/>
      <c r="B690" s="12"/>
      <c r="C690" s="12"/>
      <c r="D690" s="12"/>
      <c r="E690" s="61"/>
      <c r="F690" s="36"/>
    </row>
    <row r="691">
      <c r="A691" s="12"/>
      <c r="B691" s="12"/>
      <c r="C691" s="12"/>
      <c r="D691" s="12"/>
      <c r="E691" s="61"/>
      <c r="F691" s="36"/>
    </row>
    <row r="692">
      <c r="A692" s="12"/>
      <c r="B692" s="12"/>
      <c r="C692" s="12"/>
      <c r="D692" s="12"/>
      <c r="E692" s="61"/>
      <c r="F692" s="36"/>
    </row>
    <row r="693">
      <c r="A693" s="12"/>
      <c r="B693" s="12"/>
      <c r="C693" s="12"/>
      <c r="D693" s="12"/>
      <c r="E693" s="61"/>
      <c r="F693" s="36"/>
    </row>
    <row r="694">
      <c r="A694" s="12"/>
      <c r="B694" s="12"/>
      <c r="C694" s="12"/>
      <c r="D694" s="12"/>
      <c r="E694" s="61"/>
      <c r="F694" s="36"/>
    </row>
    <row r="695">
      <c r="A695" s="12"/>
      <c r="B695" s="12"/>
      <c r="C695" s="12"/>
      <c r="D695" s="12"/>
      <c r="E695" s="61"/>
      <c r="F695" s="36"/>
    </row>
    <row r="696">
      <c r="A696" s="12"/>
      <c r="B696" s="12"/>
      <c r="C696" s="12"/>
      <c r="D696" s="12"/>
      <c r="E696" s="61"/>
      <c r="F696" s="36"/>
    </row>
    <row r="697">
      <c r="A697" s="12"/>
      <c r="B697" s="12"/>
      <c r="C697" s="12"/>
      <c r="D697" s="12"/>
      <c r="E697" s="61"/>
      <c r="F697" s="36"/>
    </row>
    <row r="698">
      <c r="A698" s="12"/>
      <c r="B698" s="12"/>
      <c r="C698" s="12"/>
      <c r="D698" s="12"/>
      <c r="E698" s="61"/>
      <c r="F698" s="36"/>
    </row>
    <row r="699">
      <c r="A699" s="12"/>
      <c r="B699" s="12"/>
      <c r="C699" s="12"/>
      <c r="D699" s="12"/>
      <c r="E699" s="61"/>
      <c r="F699" s="36"/>
    </row>
    <row r="700">
      <c r="A700" s="12"/>
      <c r="B700" s="12"/>
      <c r="C700" s="12"/>
      <c r="D700" s="12"/>
      <c r="E700" s="61"/>
      <c r="F700" s="36"/>
    </row>
    <row r="701">
      <c r="A701" s="12"/>
      <c r="B701" s="12"/>
      <c r="C701" s="12"/>
      <c r="D701" s="12"/>
      <c r="E701" s="61"/>
      <c r="F701" s="36"/>
    </row>
    <row r="702">
      <c r="A702" s="12"/>
      <c r="B702" s="12"/>
      <c r="C702" s="12"/>
      <c r="D702" s="12"/>
      <c r="E702" s="61"/>
      <c r="F702" s="36"/>
    </row>
    <row r="703">
      <c r="A703" s="12"/>
      <c r="B703" s="12"/>
      <c r="C703" s="12"/>
      <c r="D703" s="12"/>
      <c r="E703" s="61"/>
      <c r="F703" s="36"/>
    </row>
    <row r="704">
      <c r="A704" s="12"/>
      <c r="B704" s="12"/>
      <c r="C704" s="12"/>
      <c r="D704" s="12"/>
      <c r="E704" s="61"/>
      <c r="F704" s="36"/>
    </row>
    <row r="705">
      <c r="A705" s="12"/>
      <c r="B705" s="12"/>
      <c r="C705" s="12"/>
      <c r="D705" s="12"/>
      <c r="E705" s="61"/>
      <c r="F705" s="36"/>
    </row>
    <row r="706">
      <c r="A706" s="12"/>
      <c r="B706" s="12"/>
      <c r="C706" s="12"/>
      <c r="D706" s="12"/>
      <c r="E706" s="61"/>
      <c r="F706" s="36"/>
    </row>
    <row r="707">
      <c r="A707" s="12"/>
      <c r="B707" s="12"/>
      <c r="C707" s="12"/>
      <c r="D707" s="12"/>
      <c r="E707" s="61"/>
      <c r="F707" s="36"/>
    </row>
    <row r="708">
      <c r="A708" s="12"/>
      <c r="B708" s="12"/>
      <c r="C708" s="12"/>
      <c r="D708" s="12"/>
      <c r="E708" s="61"/>
      <c r="F708" s="36"/>
    </row>
    <row r="709">
      <c r="A709" s="12"/>
      <c r="B709" s="12"/>
      <c r="C709" s="12"/>
      <c r="D709" s="12"/>
      <c r="E709" s="61"/>
      <c r="F709" s="36"/>
    </row>
    <row r="710">
      <c r="A710" s="12"/>
      <c r="B710" s="12"/>
      <c r="C710" s="12"/>
      <c r="D710" s="12"/>
      <c r="E710" s="61"/>
      <c r="F710" s="36"/>
    </row>
    <row r="711">
      <c r="A711" s="12"/>
      <c r="B711" s="12"/>
      <c r="C711" s="12"/>
      <c r="D711" s="12"/>
      <c r="E711" s="61"/>
      <c r="F711" s="36"/>
    </row>
    <row r="712">
      <c r="A712" s="12"/>
      <c r="B712" s="12"/>
      <c r="C712" s="12"/>
      <c r="D712" s="12"/>
      <c r="E712" s="61"/>
      <c r="F712" s="36"/>
    </row>
    <row r="713">
      <c r="A713" s="12"/>
      <c r="B713" s="12"/>
      <c r="C713" s="12"/>
      <c r="D713" s="12"/>
      <c r="E713" s="61"/>
      <c r="F713" s="36"/>
    </row>
    <row r="714">
      <c r="A714" s="12"/>
      <c r="B714" s="12"/>
      <c r="C714" s="12"/>
      <c r="D714" s="12"/>
      <c r="E714" s="61"/>
      <c r="F714" s="36"/>
    </row>
    <row r="715">
      <c r="A715" s="12"/>
      <c r="B715" s="12"/>
      <c r="C715" s="12"/>
      <c r="D715" s="12"/>
      <c r="E715" s="61"/>
      <c r="F715" s="36"/>
    </row>
    <row r="716">
      <c r="A716" s="12"/>
      <c r="B716" s="12"/>
      <c r="C716" s="12"/>
      <c r="D716" s="12"/>
      <c r="E716" s="61"/>
      <c r="F716" s="36"/>
    </row>
    <row r="717">
      <c r="A717" s="12"/>
      <c r="B717" s="12"/>
      <c r="C717" s="12"/>
      <c r="D717" s="12"/>
      <c r="E717" s="61"/>
      <c r="F717" s="36"/>
    </row>
    <row r="718">
      <c r="A718" s="12"/>
      <c r="B718" s="12"/>
      <c r="C718" s="12"/>
      <c r="D718" s="12"/>
      <c r="E718" s="61"/>
      <c r="F718" s="36"/>
    </row>
    <row r="719">
      <c r="A719" s="12"/>
      <c r="B719" s="12"/>
      <c r="C719" s="12"/>
      <c r="D719" s="12"/>
      <c r="E719" s="61"/>
      <c r="F719" s="36"/>
    </row>
    <row r="720">
      <c r="A720" s="12"/>
      <c r="B720" s="12"/>
      <c r="C720" s="12"/>
      <c r="D720" s="12"/>
      <c r="E720" s="61"/>
      <c r="F720" s="36"/>
    </row>
    <row r="721">
      <c r="A721" s="12"/>
      <c r="B721" s="12"/>
      <c r="C721" s="12"/>
      <c r="D721" s="12"/>
      <c r="E721" s="61"/>
      <c r="F721" s="36"/>
    </row>
    <row r="722">
      <c r="A722" s="12"/>
      <c r="B722" s="12"/>
      <c r="C722" s="12"/>
      <c r="D722" s="12"/>
      <c r="E722" s="61"/>
      <c r="F722" s="36"/>
    </row>
    <row r="723">
      <c r="A723" s="12"/>
      <c r="B723" s="12"/>
      <c r="C723" s="12"/>
      <c r="D723" s="12"/>
      <c r="E723" s="61"/>
      <c r="F723" s="36"/>
    </row>
    <row r="724">
      <c r="A724" s="12"/>
      <c r="B724" s="12"/>
      <c r="C724" s="12"/>
      <c r="D724" s="12"/>
      <c r="E724" s="61"/>
      <c r="F724" s="36"/>
    </row>
    <row r="725">
      <c r="A725" s="12"/>
      <c r="B725" s="12"/>
      <c r="C725" s="12"/>
      <c r="D725" s="12"/>
      <c r="E725" s="61"/>
      <c r="F725" s="36"/>
    </row>
    <row r="726">
      <c r="A726" s="12"/>
      <c r="B726" s="12"/>
      <c r="C726" s="12"/>
      <c r="D726" s="12"/>
      <c r="E726" s="61"/>
      <c r="F726" s="36"/>
    </row>
    <row r="727">
      <c r="A727" s="12"/>
      <c r="B727" s="12"/>
      <c r="C727" s="12"/>
      <c r="D727" s="12"/>
      <c r="E727" s="61"/>
      <c r="F727" s="36"/>
    </row>
    <row r="728">
      <c r="A728" s="12"/>
      <c r="B728" s="12"/>
      <c r="C728" s="12"/>
      <c r="D728" s="12"/>
      <c r="E728" s="61"/>
      <c r="F728" s="36"/>
    </row>
    <row r="729">
      <c r="A729" s="12"/>
      <c r="B729" s="12"/>
      <c r="C729" s="12"/>
      <c r="D729" s="12"/>
      <c r="E729" s="61"/>
      <c r="F729" s="36"/>
    </row>
    <row r="730">
      <c r="A730" s="12"/>
      <c r="B730" s="12"/>
      <c r="C730" s="12"/>
      <c r="D730" s="12"/>
      <c r="E730" s="61"/>
      <c r="F730" s="36"/>
    </row>
    <row r="731">
      <c r="A731" s="12"/>
      <c r="B731" s="12"/>
      <c r="C731" s="12"/>
      <c r="D731" s="12"/>
      <c r="E731" s="61"/>
      <c r="F731" s="36"/>
    </row>
    <row r="732">
      <c r="A732" s="12"/>
      <c r="B732" s="12"/>
      <c r="C732" s="12"/>
      <c r="D732" s="12"/>
      <c r="E732" s="61"/>
      <c r="F732" s="36"/>
    </row>
    <row r="733">
      <c r="A733" s="12"/>
      <c r="B733" s="12"/>
      <c r="C733" s="12"/>
      <c r="D733" s="12"/>
      <c r="E733" s="61"/>
      <c r="F733" s="36"/>
    </row>
    <row r="734">
      <c r="A734" s="12"/>
      <c r="B734" s="12"/>
      <c r="C734" s="12"/>
      <c r="D734" s="12"/>
      <c r="E734" s="61"/>
      <c r="F734" s="36"/>
    </row>
    <row r="735">
      <c r="A735" s="12"/>
      <c r="B735" s="12"/>
      <c r="C735" s="12"/>
      <c r="D735" s="12"/>
      <c r="E735" s="61"/>
      <c r="F735" s="36"/>
    </row>
    <row r="736">
      <c r="A736" s="12"/>
      <c r="B736" s="12"/>
      <c r="C736" s="12"/>
      <c r="D736" s="12"/>
      <c r="E736" s="61"/>
      <c r="F736" s="36"/>
    </row>
    <row r="737">
      <c r="A737" s="12"/>
      <c r="B737" s="12"/>
      <c r="C737" s="12"/>
      <c r="D737" s="12"/>
      <c r="E737" s="61"/>
      <c r="F737" s="36"/>
    </row>
    <row r="738">
      <c r="A738" s="12"/>
      <c r="B738" s="12"/>
      <c r="C738" s="12"/>
      <c r="D738" s="12"/>
      <c r="E738" s="61"/>
      <c r="F738" s="36"/>
    </row>
    <row r="739">
      <c r="A739" s="12"/>
      <c r="B739" s="12"/>
      <c r="C739" s="12"/>
      <c r="D739" s="12"/>
      <c r="E739" s="61"/>
      <c r="F739" s="36"/>
    </row>
    <row r="740">
      <c r="A740" s="12"/>
      <c r="B740" s="12"/>
      <c r="C740" s="12"/>
      <c r="D740" s="12"/>
      <c r="E740" s="61"/>
      <c r="F740" s="36"/>
    </row>
    <row r="741">
      <c r="A741" s="12"/>
      <c r="B741" s="12"/>
      <c r="C741" s="12"/>
      <c r="D741" s="12"/>
      <c r="E741" s="61"/>
      <c r="F741" s="36"/>
    </row>
    <row r="742">
      <c r="A742" s="12"/>
      <c r="B742" s="12"/>
      <c r="C742" s="12"/>
      <c r="D742" s="12"/>
      <c r="E742" s="61"/>
      <c r="F742" s="36"/>
    </row>
    <row r="743">
      <c r="A743" s="12"/>
      <c r="B743" s="12"/>
      <c r="C743" s="12"/>
      <c r="D743" s="12"/>
      <c r="E743" s="61"/>
      <c r="F743" s="36"/>
    </row>
    <row r="744">
      <c r="A744" s="12"/>
      <c r="B744" s="12"/>
      <c r="C744" s="12"/>
      <c r="D744" s="12"/>
      <c r="E744" s="61"/>
      <c r="F744" s="36"/>
    </row>
    <row r="745">
      <c r="A745" s="12"/>
      <c r="B745" s="12"/>
      <c r="C745" s="12"/>
      <c r="D745" s="12"/>
      <c r="E745" s="61"/>
      <c r="F745" s="36"/>
    </row>
    <row r="746">
      <c r="A746" s="12"/>
      <c r="B746" s="12"/>
      <c r="C746" s="12"/>
      <c r="D746" s="12"/>
      <c r="E746" s="61"/>
      <c r="F746" s="36"/>
    </row>
    <row r="747">
      <c r="A747" s="12"/>
      <c r="B747" s="12"/>
      <c r="C747" s="12"/>
      <c r="D747" s="12"/>
      <c r="E747" s="61"/>
      <c r="F747" s="36"/>
    </row>
    <row r="748">
      <c r="A748" s="12"/>
      <c r="B748" s="12"/>
      <c r="C748" s="12"/>
      <c r="D748" s="12"/>
      <c r="E748" s="61"/>
      <c r="F748" s="36"/>
    </row>
    <row r="749">
      <c r="A749" s="12"/>
      <c r="B749" s="12"/>
      <c r="C749" s="12"/>
      <c r="D749" s="12"/>
      <c r="E749" s="61"/>
      <c r="F749" s="36"/>
    </row>
    <row r="750">
      <c r="A750" s="12"/>
      <c r="B750" s="12"/>
      <c r="C750" s="12"/>
      <c r="D750" s="12"/>
      <c r="E750" s="61"/>
      <c r="F750" s="36"/>
    </row>
    <row r="751">
      <c r="A751" s="12"/>
      <c r="B751" s="12"/>
      <c r="C751" s="12"/>
      <c r="D751" s="12"/>
      <c r="E751" s="61"/>
      <c r="F751" s="36"/>
    </row>
    <row r="752">
      <c r="A752" s="12"/>
      <c r="B752" s="12"/>
      <c r="C752" s="12"/>
      <c r="D752" s="12"/>
      <c r="E752" s="61"/>
      <c r="F752" s="36"/>
    </row>
    <row r="753">
      <c r="A753" s="12"/>
      <c r="B753" s="12"/>
      <c r="C753" s="12"/>
      <c r="D753" s="12"/>
      <c r="E753" s="61"/>
      <c r="F753" s="36"/>
    </row>
    <row r="754">
      <c r="A754" s="12"/>
      <c r="B754" s="12"/>
      <c r="C754" s="12"/>
      <c r="D754" s="12"/>
      <c r="E754" s="61"/>
      <c r="F754" s="36"/>
    </row>
    <row r="755">
      <c r="A755" s="12"/>
      <c r="B755" s="12"/>
      <c r="C755" s="12"/>
      <c r="D755" s="12"/>
      <c r="E755" s="61"/>
      <c r="F755" s="36"/>
    </row>
    <row r="756">
      <c r="A756" s="12"/>
      <c r="B756" s="12"/>
      <c r="C756" s="12"/>
      <c r="D756" s="12"/>
      <c r="E756" s="61"/>
      <c r="F756" s="36"/>
    </row>
    <row r="757">
      <c r="A757" s="12"/>
      <c r="B757" s="12"/>
      <c r="C757" s="12"/>
      <c r="D757" s="12"/>
      <c r="E757" s="61"/>
      <c r="F757" s="36"/>
    </row>
    <row r="758">
      <c r="A758" s="12"/>
      <c r="B758" s="12"/>
      <c r="C758" s="12"/>
      <c r="D758" s="12"/>
      <c r="E758" s="61"/>
      <c r="F758" s="36"/>
    </row>
    <row r="759">
      <c r="A759" s="12"/>
      <c r="B759" s="12"/>
      <c r="C759" s="12"/>
      <c r="D759" s="12"/>
      <c r="E759" s="61"/>
      <c r="F759" s="36"/>
    </row>
    <row r="760">
      <c r="A760" s="12"/>
      <c r="B760" s="12"/>
      <c r="C760" s="12"/>
      <c r="D760" s="12"/>
      <c r="E760" s="61"/>
      <c r="F760" s="36"/>
    </row>
    <row r="761">
      <c r="A761" s="12"/>
      <c r="B761" s="12"/>
      <c r="C761" s="12"/>
      <c r="D761" s="12"/>
      <c r="E761" s="61"/>
      <c r="F761" s="36"/>
    </row>
    <row r="762">
      <c r="A762" s="12"/>
      <c r="B762" s="12"/>
      <c r="C762" s="12"/>
      <c r="D762" s="12"/>
      <c r="E762" s="61"/>
      <c r="F762" s="36"/>
    </row>
    <row r="763">
      <c r="A763" s="12"/>
      <c r="B763" s="12"/>
      <c r="C763" s="12"/>
      <c r="D763" s="12"/>
      <c r="E763" s="61"/>
      <c r="F763" s="36"/>
    </row>
    <row r="764">
      <c r="A764" s="12"/>
      <c r="B764" s="12"/>
      <c r="C764" s="12"/>
      <c r="D764" s="12"/>
      <c r="E764" s="61"/>
      <c r="F764" s="36"/>
    </row>
    <row r="765">
      <c r="A765" s="12"/>
      <c r="B765" s="12"/>
      <c r="C765" s="12"/>
      <c r="D765" s="12"/>
      <c r="E765" s="61"/>
      <c r="F765" s="36"/>
    </row>
    <row r="766">
      <c r="A766" s="12"/>
      <c r="B766" s="12"/>
      <c r="C766" s="12"/>
      <c r="D766" s="12"/>
      <c r="E766" s="61"/>
      <c r="F766" s="36"/>
    </row>
    <row r="767">
      <c r="A767" s="12"/>
      <c r="B767" s="12"/>
      <c r="C767" s="12"/>
      <c r="D767" s="12"/>
      <c r="E767" s="61"/>
      <c r="F767" s="36"/>
    </row>
    <row r="768">
      <c r="A768" s="12"/>
      <c r="B768" s="12"/>
      <c r="C768" s="12"/>
      <c r="D768" s="12"/>
      <c r="E768" s="61"/>
      <c r="F768" s="36"/>
    </row>
    <row r="769">
      <c r="A769" s="12"/>
      <c r="B769" s="12"/>
      <c r="C769" s="12"/>
      <c r="D769" s="12"/>
      <c r="E769" s="61"/>
      <c r="F769" s="36"/>
    </row>
    <row r="770">
      <c r="A770" s="12"/>
      <c r="B770" s="12"/>
      <c r="C770" s="12"/>
      <c r="D770" s="12"/>
      <c r="E770" s="61"/>
      <c r="F770" s="36"/>
    </row>
    <row r="771">
      <c r="A771" s="12"/>
      <c r="B771" s="12"/>
      <c r="C771" s="12"/>
      <c r="D771" s="12"/>
      <c r="E771" s="61"/>
      <c r="F771" s="36"/>
    </row>
    <row r="772">
      <c r="A772" s="12"/>
      <c r="B772" s="12"/>
      <c r="C772" s="12"/>
      <c r="D772" s="12"/>
      <c r="E772" s="61"/>
      <c r="F772" s="36"/>
    </row>
    <row r="773">
      <c r="A773" s="12"/>
      <c r="B773" s="12"/>
      <c r="C773" s="12"/>
      <c r="D773" s="12"/>
      <c r="E773" s="61"/>
      <c r="F773" s="36"/>
    </row>
    <row r="774">
      <c r="A774" s="12"/>
      <c r="B774" s="12"/>
      <c r="C774" s="12"/>
      <c r="D774" s="12"/>
      <c r="E774" s="61"/>
      <c r="F774" s="36"/>
    </row>
    <row r="775">
      <c r="A775" s="12"/>
      <c r="B775" s="12"/>
      <c r="C775" s="12"/>
      <c r="D775" s="12"/>
      <c r="E775" s="61"/>
      <c r="F775" s="36"/>
    </row>
    <row r="776">
      <c r="A776" s="12"/>
      <c r="B776" s="12"/>
      <c r="C776" s="12"/>
      <c r="D776" s="12"/>
      <c r="E776" s="61"/>
      <c r="F776" s="36"/>
    </row>
    <row r="777">
      <c r="A777" s="12"/>
      <c r="B777" s="12"/>
      <c r="C777" s="12"/>
      <c r="D777" s="12"/>
      <c r="E777" s="61"/>
      <c r="F777" s="36"/>
    </row>
    <row r="778">
      <c r="A778" s="12"/>
      <c r="B778" s="12"/>
      <c r="C778" s="12"/>
      <c r="D778" s="12"/>
      <c r="E778" s="61"/>
      <c r="F778" s="36"/>
    </row>
    <row r="779">
      <c r="A779" s="12"/>
      <c r="B779" s="12"/>
      <c r="C779" s="12"/>
      <c r="D779" s="12"/>
      <c r="E779" s="61"/>
      <c r="F779" s="36"/>
    </row>
    <row r="780">
      <c r="A780" s="12"/>
      <c r="B780" s="12"/>
      <c r="C780" s="12"/>
      <c r="D780" s="12"/>
      <c r="E780" s="61"/>
      <c r="F780" s="36"/>
    </row>
    <row r="781">
      <c r="A781" s="12"/>
      <c r="B781" s="12"/>
      <c r="C781" s="12"/>
      <c r="D781" s="12"/>
      <c r="E781" s="61"/>
      <c r="F781" s="36"/>
    </row>
    <row r="782">
      <c r="A782" s="12"/>
      <c r="B782" s="12"/>
      <c r="C782" s="12"/>
      <c r="D782" s="12"/>
      <c r="E782" s="61"/>
      <c r="F782" s="36"/>
    </row>
    <row r="783">
      <c r="A783" s="12"/>
      <c r="B783" s="12"/>
      <c r="C783" s="12"/>
      <c r="D783" s="12"/>
      <c r="E783" s="61"/>
      <c r="F783" s="36"/>
    </row>
    <row r="784">
      <c r="A784" s="12"/>
      <c r="B784" s="12"/>
      <c r="C784" s="12"/>
      <c r="D784" s="12"/>
      <c r="E784" s="61"/>
      <c r="F784" s="36"/>
    </row>
    <row r="785">
      <c r="A785" s="12"/>
      <c r="B785" s="12"/>
      <c r="C785" s="12"/>
      <c r="D785" s="12"/>
      <c r="E785" s="61"/>
      <c r="F785" s="36"/>
    </row>
    <row r="786">
      <c r="A786" s="12"/>
      <c r="B786" s="12"/>
      <c r="C786" s="12"/>
      <c r="D786" s="12"/>
      <c r="E786" s="61"/>
      <c r="F786" s="36"/>
    </row>
    <row r="787">
      <c r="A787" s="12"/>
      <c r="B787" s="12"/>
      <c r="C787" s="12"/>
      <c r="D787" s="12"/>
      <c r="E787" s="61"/>
      <c r="F787" s="36"/>
    </row>
    <row r="788">
      <c r="A788" s="12"/>
      <c r="B788" s="12"/>
      <c r="C788" s="12"/>
      <c r="D788" s="12"/>
      <c r="E788" s="61"/>
      <c r="F788" s="36"/>
    </row>
    <row r="789">
      <c r="A789" s="12"/>
      <c r="B789" s="12"/>
      <c r="C789" s="12"/>
      <c r="D789" s="12"/>
      <c r="E789" s="61"/>
      <c r="F789" s="36"/>
    </row>
    <row r="790">
      <c r="A790" s="12"/>
      <c r="B790" s="12"/>
      <c r="C790" s="12"/>
      <c r="D790" s="12"/>
      <c r="E790" s="61"/>
      <c r="F790" s="36"/>
    </row>
    <row r="791">
      <c r="A791" s="12"/>
      <c r="B791" s="12"/>
      <c r="C791" s="12"/>
      <c r="D791" s="12"/>
      <c r="E791" s="61"/>
      <c r="F791" s="36"/>
    </row>
    <row r="792">
      <c r="A792" s="12"/>
      <c r="B792" s="12"/>
      <c r="C792" s="12"/>
      <c r="D792" s="12"/>
      <c r="E792" s="61"/>
      <c r="F792" s="36"/>
    </row>
    <row r="793">
      <c r="A793" s="12"/>
      <c r="B793" s="12"/>
      <c r="C793" s="12"/>
      <c r="D793" s="12"/>
      <c r="E793" s="61"/>
      <c r="F793" s="36"/>
    </row>
    <row r="794">
      <c r="A794" s="12"/>
      <c r="B794" s="12"/>
      <c r="C794" s="12"/>
      <c r="D794" s="12"/>
      <c r="E794" s="61"/>
      <c r="F794" s="36"/>
    </row>
    <row r="795">
      <c r="A795" s="12"/>
      <c r="B795" s="12"/>
      <c r="C795" s="12"/>
      <c r="D795" s="12"/>
      <c r="E795" s="61"/>
      <c r="F795" s="36"/>
    </row>
    <row r="796">
      <c r="A796" s="12"/>
      <c r="B796" s="12"/>
      <c r="C796" s="12"/>
      <c r="D796" s="12"/>
      <c r="E796" s="61"/>
      <c r="F796" s="36"/>
    </row>
    <row r="797">
      <c r="A797" s="12"/>
      <c r="B797" s="12"/>
      <c r="C797" s="12"/>
      <c r="D797" s="12"/>
      <c r="E797" s="61"/>
      <c r="F797" s="36"/>
    </row>
    <row r="798">
      <c r="A798" s="12"/>
      <c r="B798" s="12"/>
      <c r="C798" s="12"/>
      <c r="D798" s="12"/>
      <c r="E798" s="61"/>
      <c r="F798" s="36"/>
    </row>
    <row r="799">
      <c r="A799" s="12"/>
      <c r="B799" s="12"/>
      <c r="C799" s="12"/>
      <c r="D799" s="12"/>
      <c r="E799" s="61"/>
      <c r="F799" s="36"/>
    </row>
    <row r="800">
      <c r="A800" s="12"/>
      <c r="B800" s="12"/>
      <c r="C800" s="12"/>
      <c r="D800" s="12"/>
      <c r="E800" s="61"/>
      <c r="F800" s="36"/>
    </row>
    <row r="801">
      <c r="A801" s="12"/>
      <c r="B801" s="12"/>
      <c r="C801" s="12"/>
      <c r="D801" s="12"/>
      <c r="E801" s="61"/>
      <c r="F801" s="36"/>
    </row>
    <row r="802">
      <c r="A802" s="12"/>
      <c r="B802" s="12"/>
      <c r="C802" s="12"/>
      <c r="D802" s="12"/>
      <c r="E802" s="61"/>
      <c r="F802" s="36"/>
    </row>
    <row r="803">
      <c r="A803" s="12"/>
      <c r="B803" s="12"/>
      <c r="C803" s="12"/>
      <c r="D803" s="12"/>
      <c r="E803" s="61"/>
      <c r="F803" s="36"/>
    </row>
    <row r="804">
      <c r="A804" s="12"/>
      <c r="B804" s="12"/>
      <c r="C804" s="12"/>
      <c r="D804" s="12"/>
      <c r="E804" s="61"/>
      <c r="F804" s="36"/>
    </row>
    <row r="805">
      <c r="A805" s="12"/>
      <c r="B805" s="12"/>
      <c r="C805" s="12"/>
      <c r="D805" s="12"/>
      <c r="E805" s="61"/>
      <c r="F805" s="36"/>
    </row>
    <row r="806">
      <c r="A806" s="12"/>
      <c r="B806" s="12"/>
      <c r="C806" s="12"/>
      <c r="D806" s="12"/>
      <c r="E806" s="61"/>
      <c r="F806" s="36"/>
    </row>
    <row r="807">
      <c r="A807" s="12"/>
      <c r="B807" s="12"/>
      <c r="C807" s="12"/>
      <c r="D807" s="12"/>
      <c r="E807" s="61"/>
      <c r="F807" s="36"/>
    </row>
    <row r="808">
      <c r="A808" s="12"/>
      <c r="B808" s="12"/>
      <c r="C808" s="12"/>
      <c r="D808" s="12"/>
      <c r="E808" s="61"/>
      <c r="F808" s="36"/>
    </row>
    <row r="809">
      <c r="A809" s="12"/>
      <c r="B809" s="12"/>
      <c r="C809" s="12"/>
      <c r="D809" s="12"/>
      <c r="E809" s="61"/>
      <c r="F809" s="36"/>
    </row>
    <row r="810">
      <c r="A810" s="12"/>
      <c r="B810" s="12"/>
      <c r="C810" s="12"/>
      <c r="D810" s="12"/>
      <c r="E810" s="61"/>
      <c r="F810" s="36"/>
    </row>
    <row r="811">
      <c r="A811" s="12"/>
      <c r="B811" s="12"/>
      <c r="C811" s="12"/>
      <c r="D811" s="12"/>
      <c r="E811" s="61"/>
      <c r="F811" s="36"/>
    </row>
    <row r="812">
      <c r="A812" s="12"/>
      <c r="B812" s="12"/>
      <c r="C812" s="12"/>
      <c r="D812" s="12"/>
      <c r="E812" s="61"/>
      <c r="F812" s="36"/>
    </row>
    <row r="813">
      <c r="A813" s="12"/>
      <c r="B813" s="12"/>
      <c r="C813" s="12"/>
      <c r="D813" s="12"/>
      <c r="E813" s="61"/>
      <c r="F813" s="36"/>
    </row>
    <row r="814">
      <c r="A814" s="12"/>
      <c r="B814" s="12"/>
      <c r="C814" s="12"/>
      <c r="D814" s="12"/>
      <c r="E814" s="61"/>
      <c r="F814" s="36"/>
    </row>
    <row r="815">
      <c r="A815" s="12"/>
      <c r="B815" s="12"/>
      <c r="C815" s="12"/>
      <c r="D815" s="12"/>
      <c r="E815" s="61"/>
      <c r="F815" s="36"/>
    </row>
    <row r="816">
      <c r="A816" s="12"/>
      <c r="B816" s="12"/>
      <c r="C816" s="12"/>
      <c r="D816" s="12"/>
      <c r="E816" s="61"/>
      <c r="F816" s="36"/>
    </row>
    <row r="817">
      <c r="A817" s="12"/>
      <c r="B817" s="12"/>
      <c r="C817" s="12"/>
      <c r="D817" s="12"/>
      <c r="E817" s="61"/>
      <c r="F817" s="36"/>
    </row>
    <row r="818">
      <c r="A818" s="12"/>
      <c r="B818" s="12"/>
      <c r="C818" s="12"/>
      <c r="D818" s="12"/>
      <c r="E818" s="61"/>
      <c r="F818" s="36"/>
    </row>
    <row r="819">
      <c r="A819" s="12"/>
      <c r="B819" s="12"/>
      <c r="C819" s="12"/>
      <c r="D819" s="12"/>
      <c r="E819" s="61"/>
      <c r="F819" s="36"/>
    </row>
    <row r="820">
      <c r="A820" s="12"/>
      <c r="B820" s="12"/>
      <c r="C820" s="12"/>
      <c r="D820" s="12"/>
      <c r="E820" s="61"/>
      <c r="F820" s="36"/>
    </row>
    <row r="821">
      <c r="A821" s="12"/>
      <c r="B821" s="12"/>
      <c r="C821" s="12"/>
      <c r="D821" s="12"/>
      <c r="E821" s="61"/>
      <c r="F821" s="36"/>
    </row>
    <row r="822">
      <c r="A822" s="12"/>
      <c r="B822" s="12"/>
      <c r="C822" s="12"/>
      <c r="D822" s="12"/>
      <c r="E822" s="61"/>
      <c r="F822" s="36"/>
    </row>
    <row r="823">
      <c r="A823" s="12"/>
      <c r="B823" s="12"/>
      <c r="C823" s="12"/>
      <c r="D823" s="12"/>
      <c r="E823" s="61"/>
      <c r="F823" s="36"/>
    </row>
    <row r="824">
      <c r="A824" s="12"/>
      <c r="B824" s="12"/>
      <c r="C824" s="12"/>
      <c r="D824" s="12"/>
      <c r="E824" s="61"/>
      <c r="F824" s="36"/>
    </row>
    <row r="825">
      <c r="A825" s="12"/>
      <c r="B825" s="12"/>
      <c r="C825" s="12"/>
      <c r="D825" s="12"/>
      <c r="E825" s="61"/>
      <c r="F825" s="36"/>
    </row>
    <row r="826">
      <c r="A826" s="12"/>
      <c r="B826" s="12"/>
      <c r="C826" s="12"/>
      <c r="D826" s="12"/>
      <c r="E826" s="61"/>
      <c r="F826" s="36"/>
    </row>
    <row r="827">
      <c r="A827" s="12"/>
      <c r="B827" s="12"/>
      <c r="C827" s="12"/>
      <c r="D827" s="12"/>
      <c r="E827" s="61"/>
      <c r="F827" s="36"/>
    </row>
    <row r="828">
      <c r="A828" s="12"/>
      <c r="B828" s="12"/>
      <c r="C828" s="12"/>
      <c r="D828" s="12"/>
      <c r="E828" s="61"/>
      <c r="F828" s="36"/>
    </row>
    <row r="829">
      <c r="A829" s="12"/>
      <c r="B829" s="12"/>
      <c r="C829" s="12"/>
      <c r="D829" s="12"/>
      <c r="E829" s="61"/>
      <c r="F829" s="36"/>
    </row>
    <row r="830">
      <c r="A830" s="12"/>
      <c r="B830" s="12"/>
      <c r="C830" s="12"/>
      <c r="D830" s="12"/>
      <c r="E830" s="61"/>
      <c r="F830" s="36"/>
    </row>
    <row r="831">
      <c r="A831" s="12"/>
      <c r="B831" s="12"/>
      <c r="C831" s="12"/>
      <c r="D831" s="12"/>
      <c r="E831" s="61"/>
      <c r="F831" s="36"/>
    </row>
    <row r="832">
      <c r="A832" s="12"/>
      <c r="B832" s="12"/>
      <c r="C832" s="12"/>
      <c r="D832" s="12"/>
      <c r="E832" s="61"/>
      <c r="F832" s="36"/>
    </row>
    <row r="833">
      <c r="A833" s="12"/>
      <c r="B833" s="12"/>
      <c r="C833" s="12"/>
      <c r="D833" s="12"/>
      <c r="E833" s="61"/>
      <c r="F833" s="36"/>
    </row>
    <row r="834">
      <c r="A834" s="12"/>
      <c r="B834" s="12"/>
      <c r="C834" s="12"/>
      <c r="D834" s="12"/>
      <c r="E834" s="61"/>
      <c r="F834" s="36"/>
    </row>
    <row r="835">
      <c r="A835" s="12"/>
      <c r="B835" s="12"/>
      <c r="C835" s="12"/>
      <c r="D835" s="12"/>
      <c r="E835" s="61"/>
      <c r="F835" s="36"/>
    </row>
    <row r="836">
      <c r="A836" s="12"/>
      <c r="B836" s="12"/>
      <c r="C836" s="12"/>
      <c r="D836" s="12"/>
      <c r="E836" s="61"/>
      <c r="F836" s="36"/>
    </row>
    <row r="837">
      <c r="A837" s="12"/>
      <c r="B837" s="12"/>
      <c r="C837" s="12"/>
      <c r="D837" s="12"/>
      <c r="E837" s="61"/>
      <c r="F837" s="36"/>
    </row>
    <row r="838">
      <c r="A838" s="12"/>
      <c r="B838" s="12"/>
      <c r="C838" s="12"/>
      <c r="D838" s="12"/>
      <c r="E838" s="61"/>
      <c r="F838" s="36"/>
    </row>
    <row r="839">
      <c r="A839" s="12"/>
      <c r="B839" s="12"/>
      <c r="C839" s="12"/>
      <c r="D839" s="12"/>
      <c r="E839" s="61"/>
      <c r="F839" s="36"/>
    </row>
    <row r="840">
      <c r="A840" s="12"/>
      <c r="B840" s="12"/>
      <c r="C840" s="12"/>
      <c r="D840" s="12"/>
      <c r="E840" s="61"/>
      <c r="F840" s="36"/>
    </row>
    <row r="841">
      <c r="A841" s="12"/>
      <c r="B841" s="12"/>
      <c r="C841" s="12"/>
      <c r="D841" s="12"/>
      <c r="E841" s="61"/>
      <c r="F841" s="36"/>
    </row>
    <row r="842">
      <c r="A842" s="12"/>
      <c r="B842" s="12"/>
      <c r="C842" s="12"/>
      <c r="D842" s="12"/>
      <c r="E842" s="61"/>
      <c r="F842" s="36"/>
    </row>
    <row r="843">
      <c r="A843" s="12"/>
      <c r="B843" s="12"/>
      <c r="C843" s="12"/>
      <c r="D843" s="12"/>
      <c r="E843" s="61"/>
      <c r="F843" s="36"/>
    </row>
    <row r="844">
      <c r="A844" s="12"/>
      <c r="B844" s="12"/>
      <c r="C844" s="12"/>
      <c r="D844" s="12"/>
      <c r="E844" s="61"/>
      <c r="F844" s="36"/>
    </row>
    <row r="845">
      <c r="A845" s="12"/>
      <c r="B845" s="12"/>
      <c r="C845" s="12"/>
      <c r="D845" s="12"/>
      <c r="E845" s="61"/>
      <c r="F845" s="36"/>
    </row>
    <row r="846">
      <c r="A846" s="12"/>
      <c r="B846" s="12"/>
      <c r="C846" s="12"/>
      <c r="D846" s="12"/>
      <c r="E846" s="61"/>
      <c r="F846" s="36"/>
    </row>
    <row r="847">
      <c r="A847" s="12"/>
      <c r="B847" s="12"/>
      <c r="C847" s="12"/>
      <c r="D847" s="12"/>
      <c r="E847" s="61"/>
      <c r="F847" s="36"/>
    </row>
    <row r="848">
      <c r="A848" s="12"/>
      <c r="B848" s="12"/>
      <c r="C848" s="12"/>
      <c r="D848" s="12"/>
      <c r="E848" s="61"/>
      <c r="F848" s="36"/>
    </row>
    <row r="849">
      <c r="A849" s="12"/>
      <c r="B849" s="12"/>
      <c r="C849" s="12"/>
      <c r="D849" s="12"/>
      <c r="E849" s="61"/>
      <c r="F849" s="36"/>
    </row>
    <row r="850">
      <c r="A850" s="12"/>
      <c r="B850" s="12"/>
      <c r="C850" s="12"/>
      <c r="D850" s="12"/>
      <c r="E850" s="61"/>
      <c r="F850" s="36"/>
    </row>
    <row r="851">
      <c r="A851" s="12"/>
      <c r="B851" s="12"/>
      <c r="C851" s="12"/>
      <c r="D851" s="12"/>
      <c r="E851" s="61"/>
      <c r="F851" s="36"/>
    </row>
    <row r="852">
      <c r="A852" s="12"/>
      <c r="B852" s="12"/>
      <c r="C852" s="12"/>
      <c r="D852" s="12"/>
      <c r="E852" s="61"/>
      <c r="F852" s="36"/>
    </row>
    <row r="853">
      <c r="A853" s="12"/>
      <c r="B853" s="12"/>
      <c r="C853" s="12"/>
      <c r="D853" s="12"/>
      <c r="E853" s="61"/>
      <c r="F853" s="36"/>
    </row>
    <row r="854">
      <c r="A854" s="12"/>
      <c r="B854" s="12"/>
      <c r="C854" s="12"/>
      <c r="D854" s="12"/>
      <c r="E854" s="61"/>
      <c r="F854" s="36"/>
    </row>
    <row r="855">
      <c r="A855" s="12"/>
      <c r="B855" s="12"/>
      <c r="C855" s="12"/>
      <c r="D855" s="12"/>
      <c r="E855" s="61"/>
      <c r="F855" s="36"/>
    </row>
    <row r="856">
      <c r="A856" s="12"/>
      <c r="B856" s="12"/>
      <c r="C856" s="12"/>
      <c r="D856" s="12"/>
      <c r="E856" s="61"/>
      <c r="F856" s="36"/>
    </row>
    <row r="857">
      <c r="A857" s="12"/>
      <c r="B857" s="12"/>
      <c r="C857" s="12"/>
      <c r="D857" s="12"/>
      <c r="E857" s="61"/>
      <c r="F857" s="36"/>
    </row>
    <row r="858">
      <c r="A858" s="12"/>
      <c r="B858" s="12"/>
      <c r="C858" s="12"/>
      <c r="D858" s="12"/>
      <c r="E858" s="61"/>
      <c r="F858" s="36"/>
    </row>
    <row r="859">
      <c r="A859" s="12"/>
      <c r="B859" s="12"/>
      <c r="C859" s="12"/>
      <c r="D859" s="12"/>
      <c r="E859" s="61"/>
      <c r="F859" s="36"/>
    </row>
    <row r="860">
      <c r="A860" s="12"/>
      <c r="B860" s="12"/>
      <c r="C860" s="12"/>
      <c r="D860" s="12"/>
      <c r="E860" s="61"/>
      <c r="F860" s="36"/>
    </row>
    <row r="861">
      <c r="A861" s="12"/>
      <c r="B861" s="12"/>
      <c r="C861" s="12"/>
      <c r="D861" s="12"/>
      <c r="E861" s="61"/>
      <c r="F861" s="36"/>
    </row>
    <row r="862">
      <c r="A862" s="12"/>
      <c r="B862" s="12"/>
      <c r="C862" s="12"/>
      <c r="D862" s="12"/>
      <c r="E862" s="61"/>
      <c r="F862" s="36"/>
    </row>
    <row r="863">
      <c r="A863" s="12"/>
      <c r="B863" s="12"/>
      <c r="C863" s="12"/>
      <c r="D863" s="12"/>
      <c r="E863" s="61"/>
      <c r="F863" s="36"/>
    </row>
    <row r="864">
      <c r="A864" s="12"/>
      <c r="B864" s="12"/>
      <c r="C864" s="12"/>
      <c r="D864" s="12"/>
      <c r="E864" s="61"/>
      <c r="F864" s="36"/>
    </row>
    <row r="865">
      <c r="A865" s="12"/>
      <c r="B865" s="12"/>
      <c r="C865" s="12"/>
      <c r="D865" s="12"/>
      <c r="E865" s="61"/>
      <c r="F865" s="36"/>
    </row>
    <row r="866">
      <c r="A866" s="12"/>
      <c r="B866" s="12"/>
      <c r="C866" s="12"/>
      <c r="D866" s="12"/>
      <c r="E866" s="61"/>
      <c r="F866" s="36"/>
    </row>
    <row r="867">
      <c r="A867" s="12"/>
      <c r="B867" s="12"/>
      <c r="C867" s="12"/>
      <c r="D867" s="12"/>
      <c r="E867" s="61"/>
      <c r="F867" s="36"/>
    </row>
    <row r="868">
      <c r="A868" s="12"/>
      <c r="B868" s="12"/>
      <c r="C868" s="12"/>
      <c r="D868" s="12"/>
      <c r="E868" s="61"/>
      <c r="F868" s="36"/>
    </row>
    <row r="869">
      <c r="A869" s="12"/>
      <c r="B869" s="12"/>
      <c r="C869" s="12"/>
      <c r="D869" s="12"/>
      <c r="E869" s="61"/>
      <c r="F869" s="36"/>
    </row>
    <row r="870">
      <c r="A870" s="12"/>
      <c r="B870" s="12"/>
      <c r="C870" s="12"/>
      <c r="D870" s="12"/>
      <c r="E870" s="61"/>
      <c r="F870" s="36"/>
    </row>
    <row r="871">
      <c r="A871" s="12"/>
      <c r="B871" s="12"/>
      <c r="C871" s="12"/>
      <c r="D871" s="12"/>
      <c r="E871" s="61"/>
      <c r="F871" s="36"/>
    </row>
    <row r="872">
      <c r="A872" s="12"/>
      <c r="B872" s="12"/>
      <c r="C872" s="12"/>
      <c r="D872" s="12"/>
      <c r="E872" s="61"/>
      <c r="F872" s="36"/>
    </row>
    <row r="873">
      <c r="A873" s="12"/>
      <c r="B873" s="12"/>
      <c r="C873" s="12"/>
      <c r="D873" s="12"/>
      <c r="E873" s="61"/>
      <c r="F873" s="36"/>
    </row>
    <row r="874">
      <c r="A874" s="12"/>
      <c r="B874" s="12"/>
      <c r="C874" s="12"/>
      <c r="D874" s="12"/>
      <c r="E874" s="61"/>
      <c r="F874" s="36"/>
    </row>
    <row r="875">
      <c r="A875" s="12"/>
      <c r="B875" s="12"/>
      <c r="C875" s="12"/>
      <c r="D875" s="12"/>
      <c r="E875" s="61"/>
      <c r="F875" s="36"/>
    </row>
    <row r="876">
      <c r="A876" s="12"/>
      <c r="B876" s="12"/>
      <c r="C876" s="12"/>
      <c r="D876" s="12"/>
      <c r="E876" s="61"/>
      <c r="F876" s="36"/>
    </row>
    <row r="877">
      <c r="A877" s="12"/>
      <c r="B877" s="12"/>
      <c r="C877" s="12"/>
      <c r="D877" s="12"/>
      <c r="E877" s="61"/>
      <c r="F877" s="36"/>
    </row>
    <row r="878">
      <c r="A878" s="12"/>
      <c r="B878" s="12"/>
      <c r="C878" s="12"/>
      <c r="D878" s="12"/>
      <c r="E878" s="61"/>
      <c r="F878" s="36"/>
    </row>
    <row r="879">
      <c r="A879" s="12"/>
      <c r="B879" s="12"/>
      <c r="C879" s="12"/>
      <c r="D879" s="12"/>
      <c r="E879" s="61"/>
      <c r="F879" s="36"/>
    </row>
    <row r="880">
      <c r="A880" s="12"/>
      <c r="B880" s="12"/>
      <c r="C880" s="12"/>
      <c r="D880" s="12"/>
      <c r="E880" s="61"/>
      <c r="F880" s="36"/>
    </row>
    <row r="881">
      <c r="A881" s="12"/>
      <c r="B881" s="12"/>
      <c r="C881" s="12"/>
      <c r="D881" s="12"/>
      <c r="E881" s="61"/>
      <c r="F881" s="36"/>
    </row>
    <row r="882">
      <c r="A882" s="12"/>
      <c r="B882" s="12"/>
      <c r="C882" s="12"/>
      <c r="D882" s="12"/>
      <c r="E882" s="61"/>
      <c r="F882" s="36"/>
    </row>
    <row r="883">
      <c r="A883" s="12"/>
      <c r="B883" s="12"/>
      <c r="C883" s="12"/>
      <c r="D883" s="12"/>
      <c r="E883" s="61"/>
      <c r="F883" s="36"/>
    </row>
    <row r="884">
      <c r="A884" s="12"/>
      <c r="B884" s="12"/>
      <c r="C884" s="12"/>
      <c r="D884" s="12"/>
      <c r="E884" s="61"/>
      <c r="F884" s="36"/>
    </row>
    <row r="885">
      <c r="A885" s="12"/>
      <c r="B885" s="12"/>
      <c r="C885" s="12"/>
      <c r="D885" s="12"/>
      <c r="E885" s="61"/>
      <c r="F885" s="36"/>
    </row>
    <row r="886">
      <c r="A886" s="12"/>
      <c r="B886" s="12"/>
      <c r="C886" s="12"/>
      <c r="D886" s="12"/>
      <c r="E886" s="61"/>
      <c r="F886" s="36"/>
    </row>
    <row r="887">
      <c r="A887" s="12"/>
      <c r="B887" s="12"/>
      <c r="C887" s="12"/>
      <c r="D887" s="12"/>
      <c r="E887" s="61"/>
      <c r="F887" s="36"/>
    </row>
    <row r="888">
      <c r="A888" s="12"/>
      <c r="B888" s="12"/>
      <c r="C888" s="12"/>
      <c r="D888" s="12"/>
      <c r="E888" s="61"/>
      <c r="F888" s="36"/>
    </row>
    <row r="889">
      <c r="A889" s="12"/>
      <c r="B889" s="12"/>
      <c r="C889" s="12"/>
      <c r="D889" s="12"/>
      <c r="E889" s="61"/>
      <c r="F889" s="36"/>
    </row>
    <row r="890">
      <c r="A890" s="12"/>
      <c r="B890" s="12"/>
      <c r="C890" s="12"/>
      <c r="D890" s="12"/>
      <c r="E890" s="61"/>
      <c r="F890" s="36"/>
    </row>
    <row r="891">
      <c r="A891" s="12"/>
      <c r="B891" s="12"/>
      <c r="C891" s="12"/>
      <c r="D891" s="12"/>
      <c r="E891" s="61"/>
      <c r="F891" s="36"/>
    </row>
    <row r="892">
      <c r="A892" s="12"/>
      <c r="B892" s="12"/>
      <c r="C892" s="12"/>
      <c r="D892" s="12"/>
      <c r="E892" s="61"/>
      <c r="F892" s="36"/>
    </row>
    <row r="893">
      <c r="A893" s="12"/>
      <c r="B893" s="12"/>
      <c r="C893" s="12"/>
      <c r="D893" s="12"/>
      <c r="E893" s="61"/>
      <c r="F893" s="36"/>
    </row>
    <row r="894">
      <c r="A894" s="12"/>
      <c r="B894" s="12"/>
      <c r="C894" s="12"/>
      <c r="D894" s="12"/>
      <c r="E894" s="61"/>
      <c r="F894" s="36"/>
    </row>
    <row r="895">
      <c r="A895" s="12"/>
      <c r="B895" s="12"/>
      <c r="C895" s="12"/>
      <c r="D895" s="12"/>
      <c r="E895" s="61"/>
      <c r="F895" s="36"/>
    </row>
    <row r="896">
      <c r="A896" s="12"/>
      <c r="B896" s="12"/>
      <c r="C896" s="12"/>
      <c r="D896" s="12"/>
      <c r="E896" s="61"/>
      <c r="F896" s="36"/>
    </row>
    <row r="897">
      <c r="A897" s="12"/>
      <c r="B897" s="12"/>
      <c r="C897" s="12"/>
      <c r="D897" s="12"/>
      <c r="E897" s="61"/>
      <c r="F897" s="36"/>
    </row>
    <row r="898">
      <c r="A898" s="12"/>
      <c r="B898" s="12"/>
      <c r="C898" s="12"/>
      <c r="D898" s="12"/>
      <c r="E898" s="61"/>
      <c r="F898" s="36"/>
    </row>
    <row r="899">
      <c r="A899" s="12"/>
      <c r="B899" s="12"/>
      <c r="C899" s="12"/>
      <c r="D899" s="12"/>
      <c r="E899" s="61"/>
      <c r="F899" s="36"/>
    </row>
    <row r="900">
      <c r="A900" s="12"/>
      <c r="B900" s="12"/>
      <c r="C900" s="12"/>
      <c r="D900" s="12"/>
      <c r="E900" s="61"/>
      <c r="F900" s="36"/>
    </row>
    <row r="901">
      <c r="A901" s="12"/>
      <c r="B901" s="12"/>
      <c r="C901" s="12"/>
      <c r="D901" s="12"/>
      <c r="E901" s="61"/>
      <c r="F901" s="36"/>
    </row>
    <row r="902">
      <c r="A902" s="12"/>
      <c r="B902" s="12"/>
      <c r="C902" s="12"/>
      <c r="D902" s="12"/>
      <c r="E902" s="61"/>
      <c r="F902" s="36"/>
    </row>
    <row r="903">
      <c r="A903" s="12"/>
      <c r="B903" s="12"/>
      <c r="C903" s="12"/>
      <c r="D903" s="12"/>
      <c r="E903" s="61"/>
      <c r="F903" s="36"/>
    </row>
    <row r="904">
      <c r="A904" s="12"/>
      <c r="B904" s="12"/>
      <c r="C904" s="12"/>
      <c r="D904" s="12"/>
      <c r="E904" s="61"/>
      <c r="F904" s="36"/>
    </row>
    <row r="905">
      <c r="A905" s="12"/>
      <c r="B905" s="12"/>
      <c r="C905" s="12"/>
      <c r="D905" s="12"/>
      <c r="E905" s="61"/>
      <c r="F905" s="36"/>
    </row>
    <row r="906">
      <c r="A906" s="12"/>
      <c r="B906" s="12"/>
      <c r="C906" s="12"/>
      <c r="D906" s="12"/>
      <c r="E906" s="61"/>
      <c r="F906" s="36"/>
    </row>
    <row r="907">
      <c r="A907" s="12"/>
      <c r="B907" s="12"/>
      <c r="C907" s="12"/>
      <c r="D907" s="12"/>
      <c r="E907" s="61"/>
      <c r="F907" s="36"/>
    </row>
    <row r="908">
      <c r="A908" s="12"/>
      <c r="B908" s="12"/>
      <c r="C908" s="12"/>
      <c r="D908" s="12"/>
      <c r="E908" s="61"/>
      <c r="F908" s="36"/>
    </row>
    <row r="909">
      <c r="A909" s="12"/>
      <c r="B909" s="12"/>
      <c r="C909" s="12"/>
      <c r="D909" s="12"/>
      <c r="E909" s="61"/>
      <c r="F909" s="36"/>
    </row>
    <row r="910">
      <c r="A910" s="12"/>
      <c r="B910" s="12"/>
      <c r="C910" s="12"/>
      <c r="D910" s="12"/>
      <c r="E910" s="61"/>
      <c r="F910" s="36"/>
    </row>
    <row r="911">
      <c r="A911" s="12"/>
      <c r="B911" s="12"/>
      <c r="C911" s="12"/>
      <c r="D911" s="12"/>
      <c r="E911" s="61"/>
      <c r="F911" s="36"/>
    </row>
    <row r="912">
      <c r="A912" s="12"/>
      <c r="B912" s="12"/>
      <c r="C912" s="12"/>
      <c r="D912" s="12"/>
      <c r="E912" s="61"/>
      <c r="F912" s="36"/>
    </row>
    <row r="913">
      <c r="A913" s="12"/>
      <c r="B913" s="12"/>
      <c r="C913" s="12"/>
      <c r="D913" s="12"/>
      <c r="E913" s="61"/>
      <c r="F913" s="36"/>
    </row>
    <row r="914">
      <c r="A914" s="12"/>
      <c r="B914" s="12"/>
      <c r="C914" s="12"/>
      <c r="D914" s="12"/>
      <c r="E914" s="61"/>
      <c r="F914" s="36"/>
    </row>
    <row r="915">
      <c r="A915" s="12"/>
      <c r="B915" s="12"/>
      <c r="C915" s="12"/>
      <c r="D915" s="12"/>
      <c r="E915" s="61"/>
      <c r="F915" s="36"/>
    </row>
    <row r="916">
      <c r="A916" s="12"/>
      <c r="B916" s="12"/>
      <c r="C916" s="12"/>
      <c r="D916" s="12"/>
      <c r="E916" s="61"/>
      <c r="F916" s="36"/>
    </row>
    <row r="917">
      <c r="A917" s="12"/>
      <c r="B917" s="12"/>
      <c r="C917" s="12"/>
      <c r="D917" s="12"/>
      <c r="E917" s="61"/>
      <c r="F917" s="36"/>
    </row>
    <row r="918">
      <c r="A918" s="12"/>
      <c r="B918" s="12"/>
      <c r="C918" s="12"/>
      <c r="D918" s="12"/>
      <c r="E918" s="61"/>
      <c r="F918" s="36"/>
    </row>
    <row r="919">
      <c r="A919" s="12"/>
      <c r="B919" s="12"/>
      <c r="C919" s="12"/>
      <c r="D919" s="12"/>
      <c r="E919" s="61"/>
      <c r="F919" s="36"/>
    </row>
    <row r="920">
      <c r="A920" s="12"/>
      <c r="B920" s="12"/>
      <c r="C920" s="12"/>
      <c r="D920" s="12"/>
      <c r="E920" s="61"/>
      <c r="F920" s="36"/>
    </row>
    <row r="921">
      <c r="A921" s="12"/>
      <c r="B921" s="12"/>
      <c r="C921" s="12"/>
      <c r="D921" s="12"/>
      <c r="E921" s="61"/>
      <c r="F921" s="36"/>
    </row>
    <row r="922">
      <c r="A922" s="12"/>
      <c r="B922" s="12"/>
      <c r="C922" s="12"/>
      <c r="D922" s="12"/>
      <c r="E922" s="61"/>
      <c r="F922" s="36"/>
    </row>
    <row r="923">
      <c r="A923" s="12"/>
      <c r="B923" s="12"/>
      <c r="C923" s="12"/>
      <c r="D923" s="12"/>
      <c r="E923" s="61"/>
      <c r="F923" s="36"/>
    </row>
    <row r="924">
      <c r="A924" s="12"/>
      <c r="B924" s="12"/>
      <c r="C924" s="12"/>
      <c r="D924" s="12"/>
      <c r="E924" s="61"/>
      <c r="F924" s="36"/>
    </row>
    <row r="925">
      <c r="A925" s="12"/>
      <c r="B925" s="12"/>
      <c r="C925" s="12"/>
      <c r="D925" s="12"/>
      <c r="E925" s="61"/>
      <c r="F925" s="36"/>
    </row>
    <row r="926">
      <c r="A926" s="12"/>
      <c r="B926" s="12"/>
      <c r="C926" s="12"/>
      <c r="D926" s="12"/>
      <c r="E926" s="61"/>
      <c r="F926" s="36"/>
    </row>
    <row r="927">
      <c r="A927" s="12"/>
      <c r="B927" s="12"/>
      <c r="C927" s="12"/>
      <c r="D927" s="12"/>
      <c r="E927" s="61"/>
      <c r="F927" s="36"/>
    </row>
    <row r="928">
      <c r="A928" s="12"/>
      <c r="B928" s="12"/>
      <c r="C928" s="12"/>
      <c r="D928" s="12"/>
      <c r="E928" s="61"/>
      <c r="F928" s="36"/>
    </row>
    <row r="929">
      <c r="A929" s="12"/>
      <c r="B929" s="12"/>
      <c r="C929" s="12"/>
      <c r="D929" s="12"/>
      <c r="E929" s="61"/>
      <c r="F929" s="36"/>
    </row>
    <row r="930">
      <c r="A930" s="12"/>
      <c r="B930" s="12"/>
      <c r="C930" s="12"/>
      <c r="D930" s="12"/>
      <c r="E930" s="61"/>
      <c r="F930" s="36"/>
    </row>
    <row r="931">
      <c r="A931" s="12"/>
      <c r="B931" s="12"/>
      <c r="C931" s="12"/>
      <c r="D931" s="12"/>
      <c r="E931" s="61"/>
      <c r="F931" s="36"/>
    </row>
    <row r="932">
      <c r="A932" s="12"/>
      <c r="B932" s="12"/>
      <c r="C932" s="12"/>
      <c r="D932" s="12"/>
      <c r="E932" s="61"/>
      <c r="F932" s="36"/>
    </row>
    <row r="933">
      <c r="A933" s="12"/>
      <c r="B933" s="12"/>
      <c r="C933" s="12"/>
      <c r="D933" s="12"/>
      <c r="E933" s="61"/>
      <c r="F933" s="36"/>
    </row>
    <row r="934">
      <c r="A934" s="12"/>
      <c r="B934" s="12"/>
      <c r="C934" s="12"/>
      <c r="D934" s="12"/>
      <c r="E934" s="61"/>
      <c r="F934" s="36"/>
    </row>
    <row r="935">
      <c r="A935" s="12"/>
      <c r="B935" s="12"/>
      <c r="C935" s="12"/>
      <c r="D935" s="12"/>
      <c r="E935" s="61"/>
      <c r="F935" s="36"/>
    </row>
    <row r="936">
      <c r="A936" s="12"/>
      <c r="B936" s="12"/>
      <c r="C936" s="12"/>
      <c r="D936" s="12"/>
      <c r="E936" s="61"/>
      <c r="F936" s="36"/>
    </row>
    <row r="937">
      <c r="A937" s="12"/>
      <c r="B937" s="12"/>
      <c r="C937" s="12"/>
      <c r="D937" s="12"/>
      <c r="E937" s="61"/>
      <c r="F937" s="36"/>
    </row>
    <row r="938">
      <c r="A938" s="12"/>
      <c r="B938" s="12"/>
      <c r="C938" s="12"/>
      <c r="D938" s="12"/>
      <c r="E938" s="61"/>
      <c r="F938" s="36"/>
    </row>
    <row r="939">
      <c r="A939" s="12"/>
      <c r="B939" s="12"/>
      <c r="C939" s="12"/>
      <c r="D939" s="12"/>
      <c r="E939" s="61"/>
      <c r="F939" s="36"/>
    </row>
    <row r="940">
      <c r="A940" s="12"/>
      <c r="B940" s="12"/>
      <c r="C940" s="12"/>
      <c r="D940" s="12"/>
      <c r="E940" s="61"/>
      <c r="F940" s="36"/>
    </row>
    <row r="941">
      <c r="A941" s="12"/>
      <c r="B941" s="12"/>
      <c r="C941" s="12"/>
      <c r="D941" s="12"/>
      <c r="E941" s="61"/>
      <c r="F941" s="36"/>
    </row>
    <row r="942">
      <c r="A942" s="12"/>
      <c r="B942" s="12"/>
      <c r="C942" s="12"/>
      <c r="D942" s="12"/>
      <c r="E942" s="61"/>
      <c r="F942" s="36"/>
    </row>
    <row r="943">
      <c r="A943" s="12"/>
      <c r="B943" s="12"/>
      <c r="C943" s="12"/>
      <c r="D943" s="12"/>
      <c r="E943" s="61"/>
      <c r="F943" s="36"/>
    </row>
    <row r="944">
      <c r="A944" s="12"/>
      <c r="B944" s="12"/>
      <c r="C944" s="12"/>
      <c r="D944" s="12"/>
      <c r="E944" s="61"/>
      <c r="F944" s="36"/>
    </row>
    <row r="945">
      <c r="A945" s="12"/>
      <c r="B945" s="12"/>
      <c r="C945" s="12"/>
      <c r="D945" s="12"/>
      <c r="E945" s="61"/>
      <c r="F945" s="36"/>
    </row>
    <row r="946">
      <c r="A946" s="12"/>
      <c r="B946" s="12"/>
      <c r="C946" s="12"/>
      <c r="D946" s="12"/>
      <c r="E946" s="61"/>
      <c r="F946" s="36"/>
    </row>
    <row r="947">
      <c r="A947" s="12"/>
      <c r="B947" s="12"/>
      <c r="C947" s="12"/>
      <c r="D947" s="12"/>
      <c r="E947" s="61"/>
      <c r="F947" s="36"/>
    </row>
    <row r="948">
      <c r="A948" s="12"/>
      <c r="B948" s="12"/>
      <c r="C948" s="12"/>
      <c r="D948" s="12"/>
      <c r="E948" s="61"/>
      <c r="F948" s="36"/>
    </row>
    <row r="949">
      <c r="A949" s="12"/>
      <c r="B949" s="12"/>
      <c r="C949" s="12"/>
      <c r="D949" s="12"/>
      <c r="E949" s="61"/>
      <c r="F949" s="36"/>
    </row>
    <row r="950">
      <c r="A950" s="12"/>
      <c r="B950" s="12"/>
      <c r="C950" s="12"/>
      <c r="D950" s="12"/>
      <c r="E950" s="61"/>
      <c r="F950" s="36"/>
    </row>
    <row r="951">
      <c r="A951" s="12"/>
      <c r="B951" s="12"/>
      <c r="C951" s="12"/>
      <c r="D951" s="12"/>
      <c r="E951" s="61"/>
      <c r="F951" s="36"/>
    </row>
    <row r="952">
      <c r="A952" s="12"/>
      <c r="B952" s="12"/>
      <c r="C952" s="12"/>
      <c r="D952" s="12"/>
      <c r="E952" s="61"/>
      <c r="F952" s="36"/>
    </row>
    <row r="953">
      <c r="A953" s="12"/>
      <c r="B953" s="12"/>
      <c r="C953" s="12"/>
      <c r="D953" s="12"/>
      <c r="E953" s="61"/>
      <c r="F953" s="36"/>
    </row>
    <row r="954">
      <c r="A954" s="12"/>
      <c r="B954" s="12"/>
      <c r="C954" s="12"/>
      <c r="D954" s="12"/>
      <c r="E954" s="61"/>
      <c r="F954" s="36"/>
    </row>
    <row r="955">
      <c r="A955" s="12"/>
      <c r="B955" s="12"/>
      <c r="C955" s="12"/>
      <c r="D955" s="12"/>
      <c r="E955" s="61"/>
      <c r="F955" s="36"/>
    </row>
    <row r="956">
      <c r="A956" s="12"/>
      <c r="B956" s="12"/>
      <c r="C956" s="12"/>
      <c r="D956" s="12"/>
      <c r="E956" s="61"/>
      <c r="F956" s="36"/>
    </row>
    <row r="957">
      <c r="A957" s="12"/>
      <c r="B957" s="12"/>
      <c r="C957" s="12"/>
      <c r="D957" s="12"/>
      <c r="E957" s="61"/>
      <c r="F957" s="36"/>
    </row>
    <row r="958">
      <c r="A958" s="12"/>
      <c r="B958" s="12"/>
      <c r="C958" s="12"/>
      <c r="D958" s="12"/>
      <c r="E958" s="61"/>
      <c r="F958" s="36"/>
    </row>
    <row r="959">
      <c r="A959" s="12"/>
      <c r="B959" s="12"/>
      <c r="C959" s="12"/>
      <c r="D959" s="12"/>
      <c r="E959" s="61"/>
      <c r="F959" s="36"/>
    </row>
    <row r="960">
      <c r="A960" s="12"/>
      <c r="B960" s="12"/>
      <c r="C960" s="12"/>
      <c r="D960" s="12"/>
      <c r="E960" s="61"/>
      <c r="F960" s="36"/>
    </row>
    <row r="961">
      <c r="A961" s="12"/>
      <c r="B961" s="12"/>
      <c r="C961" s="12"/>
      <c r="D961" s="12"/>
      <c r="E961" s="61"/>
      <c r="F961" s="36"/>
    </row>
    <row r="962">
      <c r="A962" s="12"/>
      <c r="B962" s="12"/>
      <c r="C962" s="12"/>
      <c r="D962" s="12"/>
      <c r="E962" s="61"/>
      <c r="F962" s="36"/>
    </row>
    <row r="963">
      <c r="A963" s="12"/>
      <c r="B963" s="12"/>
      <c r="C963" s="12"/>
      <c r="D963" s="12"/>
      <c r="E963" s="61"/>
      <c r="F963" s="36"/>
    </row>
    <row r="964">
      <c r="A964" s="12"/>
      <c r="B964" s="12"/>
      <c r="C964" s="12"/>
      <c r="D964" s="12"/>
      <c r="E964" s="61"/>
      <c r="F964" s="36"/>
    </row>
    <row r="965">
      <c r="A965" s="12"/>
      <c r="B965" s="12"/>
      <c r="C965" s="12"/>
      <c r="D965" s="12"/>
      <c r="E965" s="61"/>
      <c r="F965" s="36"/>
    </row>
    <row r="966">
      <c r="A966" s="12"/>
      <c r="B966" s="12"/>
      <c r="C966" s="12"/>
      <c r="D966" s="12"/>
      <c r="E966" s="61"/>
      <c r="F966" s="36"/>
    </row>
    <row r="967">
      <c r="A967" s="12"/>
      <c r="B967" s="12"/>
      <c r="C967" s="12"/>
      <c r="D967" s="12"/>
      <c r="E967" s="61"/>
      <c r="F967" s="36"/>
    </row>
    <row r="968">
      <c r="A968" s="12"/>
      <c r="B968" s="12"/>
      <c r="C968" s="12"/>
      <c r="D968" s="12"/>
      <c r="E968" s="61"/>
      <c r="F968" s="36"/>
    </row>
    <row r="969">
      <c r="A969" s="12"/>
      <c r="B969" s="12"/>
      <c r="C969" s="12"/>
      <c r="D969" s="12"/>
      <c r="E969" s="61"/>
      <c r="F969" s="36"/>
    </row>
    <row r="970">
      <c r="A970" s="12"/>
      <c r="B970" s="12"/>
      <c r="C970" s="12"/>
      <c r="D970" s="12"/>
      <c r="E970" s="61"/>
      <c r="F970" s="36"/>
    </row>
    <row r="971">
      <c r="A971" s="12"/>
      <c r="B971" s="12"/>
      <c r="C971" s="12"/>
      <c r="D971" s="12"/>
      <c r="E971" s="61"/>
      <c r="F971" s="36"/>
    </row>
    <row r="972">
      <c r="A972" s="12"/>
      <c r="B972" s="12"/>
      <c r="C972" s="12"/>
      <c r="D972" s="12"/>
      <c r="E972" s="61"/>
      <c r="F972" s="36"/>
    </row>
    <row r="973">
      <c r="A973" s="12"/>
      <c r="B973" s="12"/>
      <c r="C973" s="12"/>
      <c r="D973" s="12"/>
      <c r="E973" s="61"/>
      <c r="F973" s="36"/>
    </row>
    <row r="974">
      <c r="A974" s="12"/>
      <c r="B974" s="12"/>
      <c r="C974" s="12"/>
      <c r="D974" s="12"/>
      <c r="E974" s="61"/>
      <c r="F974" s="36"/>
    </row>
    <row r="975">
      <c r="A975" s="12"/>
      <c r="B975" s="12"/>
      <c r="C975" s="12"/>
      <c r="D975" s="12"/>
      <c r="E975" s="61"/>
      <c r="F975" s="36"/>
    </row>
    <row r="976">
      <c r="A976" s="12"/>
      <c r="B976" s="12"/>
      <c r="C976" s="12"/>
      <c r="D976" s="12"/>
      <c r="E976" s="61"/>
      <c r="F976" s="36"/>
    </row>
    <row r="977">
      <c r="A977" s="12"/>
      <c r="B977" s="12"/>
      <c r="C977" s="12"/>
      <c r="D977" s="12"/>
      <c r="E977" s="61"/>
      <c r="F977" s="36"/>
    </row>
    <row r="978">
      <c r="A978" s="12"/>
      <c r="B978" s="12"/>
      <c r="C978" s="12"/>
      <c r="D978" s="12"/>
      <c r="E978" s="61"/>
      <c r="F978" s="36"/>
    </row>
    <row r="979">
      <c r="A979" s="12"/>
      <c r="B979" s="12"/>
      <c r="C979" s="12"/>
      <c r="D979" s="12"/>
      <c r="E979" s="61"/>
      <c r="F979" s="36"/>
    </row>
    <row r="980">
      <c r="A980" s="12"/>
      <c r="B980" s="12"/>
      <c r="C980" s="12"/>
      <c r="D980" s="12"/>
      <c r="E980" s="61"/>
      <c r="F980" s="36"/>
    </row>
    <row r="981">
      <c r="A981" s="12"/>
      <c r="B981" s="12"/>
      <c r="C981" s="12"/>
      <c r="D981" s="12"/>
      <c r="E981" s="61"/>
      <c r="F981" s="36"/>
    </row>
    <row r="982">
      <c r="A982" s="12"/>
      <c r="B982" s="12"/>
      <c r="C982" s="12"/>
      <c r="D982" s="12"/>
      <c r="E982" s="61"/>
      <c r="F982" s="36"/>
    </row>
    <row r="983">
      <c r="A983" s="12"/>
      <c r="B983" s="12"/>
      <c r="C983" s="12"/>
      <c r="D983" s="12"/>
      <c r="E983" s="61"/>
      <c r="F983" s="36"/>
    </row>
    <row r="984">
      <c r="A984" s="12"/>
      <c r="B984" s="12"/>
      <c r="C984" s="12"/>
      <c r="D984" s="12"/>
      <c r="E984" s="61"/>
      <c r="F984" s="36"/>
    </row>
    <row r="985">
      <c r="A985" s="12"/>
      <c r="B985" s="12"/>
      <c r="C985" s="12"/>
      <c r="D985" s="12"/>
      <c r="E985" s="61"/>
      <c r="F985" s="36"/>
    </row>
    <row r="986">
      <c r="A986" s="12"/>
      <c r="B986" s="12"/>
      <c r="C986" s="12"/>
      <c r="D986" s="12"/>
      <c r="E986" s="61"/>
      <c r="F986" s="36"/>
    </row>
    <row r="987">
      <c r="A987" s="12"/>
      <c r="B987" s="12"/>
      <c r="C987" s="12"/>
      <c r="D987" s="12"/>
      <c r="E987" s="61"/>
      <c r="F987" s="36"/>
    </row>
    <row r="988">
      <c r="A988" s="12"/>
      <c r="B988" s="12"/>
      <c r="C988" s="12"/>
      <c r="D988" s="12"/>
      <c r="E988" s="61"/>
      <c r="F988" s="36"/>
    </row>
    <row r="989">
      <c r="A989" s="12"/>
      <c r="B989" s="12"/>
      <c r="C989" s="12"/>
      <c r="D989" s="12"/>
      <c r="E989" s="61"/>
      <c r="F989" s="36"/>
    </row>
    <row r="990">
      <c r="A990" s="12"/>
      <c r="B990" s="12"/>
      <c r="C990" s="12"/>
      <c r="D990" s="12"/>
      <c r="E990" s="61"/>
      <c r="F990" s="36"/>
    </row>
    <row r="991">
      <c r="A991" s="12"/>
      <c r="B991" s="12"/>
      <c r="C991" s="12"/>
      <c r="D991" s="12"/>
      <c r="E991" s="61"/>
      <c r="F991" s="36"/>
    </row>
    <row r="992">
      <c r="A992" s="12"/>
      <c r="B992" s="12"/>
      <c r="C992" s="12"/>
      <c r="D992" s="12"/>
      <c r="E992" s="61"/>
      <c r="F992" s="36"/>
    </row>
    <row r="993">
      <c r="A993" s="12"/>
      <c r="B993" s="12"/>
      <c r="C993" s="12"/>
      <c r="D993" s="12"/>
      <c r="E993" s="61"/>
      <c r="F993" s="36"/>
    </row>
    <row r="994">
      <c r="A994" s="12"/>
      <c r="B994" s="12"/>
      <c r="C994" s="12"/>
      <c r="D994" s="12"/>
      <c r="E994" s="61"/>
      <c r="F994" s="36"/>
    </row>
    <row r="995">
      <c r="A995" s="12"/>
      <c r="B995" s="12"/>
      <c r="C995" s="12"/>
      <c r="D995" s="12"/>
      <c r="E995" s="61"/>
      <c r="F995" s="36"/>
    </row>
    <row r="996">
      <c r="A996" s="12"/>
      <c r="B996" s="12"/>
      <c r="C996" s="12"/>
      <c r="D996" s="12"/>
      <c r="E996" s="61"/>
      <c r="F996" s="36"/>
    </row>
    <row r="997">
      <c r="A997" s="12"/>
      <c r="B997" s="12"/>
      <c r="C997" s="12"/>
      <c r="D997" s="12"/>
      <c r="E997" s="61"/>
      <c r="F997" s="36"/>
    </row>
    <row r="998">
      <c r="A998" s="12"/>
      <c r="B998" s="12"/>
      <c r="C998" s="12"/>
      <c r="D998" s="12"/>
      <c r="E998" s="61"/>
      <c r="F998" s="36"/>
    </row>
    <row r="999">
      <c r="A999" s="12"/>
      <c r="B999" s="12"/>
      <c r="C999" s="12"/>
      <c r="D999" s="12"/>
      <c r="E999" s="61"/>
      <c r="F999" s="36"/>
    </row>
    <row r="1000">
      <c r="A1000" s="12"/>
      <c r="B1000" s="12"/>
      <c r="C1000" s="12"/>
      <c r="D1000" s="12"/>
      <c r="E1000" s="61"/>
      <c r="F1000" s="36"/>
    </row>
    <row r="1001">
      <c r="A1001" s="12"/>
      <c r="B1001" s="12"/>
      <c r="C1001" s="12"/>
      <c r="D1001" s="12"/>
      <c r="E1001" s="61"/>
      <c r="F1001" s="36"/>
    </row>
    <row r="1002">
      <c r="A1002" s="12"/>
      <c r="B1002" s="12"/>
      <c r="C1002" s="12"/>
      <c r="D1002" s="12"/>
      <c r="E1002" s="61"/>
      <c r="F1002" s="36"/>
    </row>
    <row r="1003">
      <c r="A1003" s="12"/>
      <c r="B1003" s="12"/>
      <c r="C1003" s="12"/>
      <c r="D1003" s="12"/>
      <c r="E1003" s="61"/>
      <c r="F1003" s="36"/>
    </row>
    <row r="1004">
      <c r="A1004" s="12"/>
      <c r="B1004" s="12"/>
      <c r="C1004" s="12"/>
      <c r="D1004" s="12"/>
      <c r="E1004" s="61"/>
      <c r="F1004" s="36"/>
    </row>
    <row r="1005">
      <c r="A1005" s="12"/>
      <c r="B1005" s="12"/>
      <c r="C1005" s="12"/>
      <c r="D1005" s="12"/>
      <c r="E1005" s="61"/>
      <c r="F1005" s="36"/>
    </row>
    <row r="1006">
      <c r="A1006" s="12"/>
      <c r="B1006" s="12"/>
      <c r="C1006" s="12"/>
      <c r="D1006" s="12"/>
      <c r="E1006" s="61"/>
      <c r="F1006" s="36"/>
    </row>
    <row r="1007">
      <c r="A1007" s="12"/>
      <c r="B1007" s="12"/>
      <c r="C1007" s="12"/>
      <c r="D1007" s="12"/>
      <c r="E1007" s="61"/>
      <c r="F1007" s="36"/>
    </row>
    <row r="1008">
      <c r="A1008" s="12"/>
      <c r="B1008" s="12"/>
      <c r="C1008" s="12"/>
      <c r="D1008" s="12"/>
      <c r="E1008" s="61"/>
      <c r="F1008" s="36"/>
    </row>
    <row r="1009">
      <c r="A1009" s="12"/>
      <c r="B1009" s="12"/>
      <c r="C1009" s="12"/>
      <c r="D1009" s="12"/>
      <c r="E1009" s="61"/>
      <c r="F1009" s="36"/>
    </row>
    <row r="1010">
      <c r="A1010" s="12"/>
      <c r="B1010" s="12"/>
      <c r="C1010" s="12"/>
      <c r="D1010" s="12"/>
      <c r="E1010" s="61"/>
      <c r="F1010" s="36"/>
    </row>
    <row r="1011">
      <c r="A1011" s="12"/>
      <c r="B1011" s="12"/>
      <c r="C1011" s="12"/>
      <c r="D1011" s="12"/>
      <c r="E1011" s="61"/>
      <c r="F1011" s="36"/>
    </row>
    <row r="1012">
      <c r="A1012" s="12"/>
      <c r="B1012" s="12"/>
      <c r="C1012" s="12"/>
      <c r="D1012" s="12"/>
      <c r="E1012" s="61"/>
      <c r="F1012" s="36"/>
    </row>
    <row r="1013">
      <c r="A1013" s="12"/>
      <c r="B1013" s="12"/>
      <c r="C1013" s="12"/>
      <c r="D1013" s="12"/>
      <c r="E1013" s="61"/>
      <c r="F1013" s="36"/>
    </row>
    <row r="1014">
      <c r="A1014" s="12"/>
      <c r="B1014" s="12"/>
      <c r="C1014" s="12"/>
      <c r="D1014" s="12"/>
      <c r="E1014" s="61"/>
      <c r="F1014" s="36"/>
    </row>
    <row r="1015">
      <c r="A1015" s="12"/>
      <c r="B1015" s="12"/>
      <c r="C1015" s="12"/>
      <c r="D1015" s="12"/>
      <c r="E1015" s="61"/>
      <c r="F1015" s="36"/>
    </row>
    <row r="1016">
      <c r="A1016" s="12"/>
      <c r="B1016" s="12"/>
      <c r="C1016" s="12"/>
      <c r="D1016" s="12"/>
      <c r="E1016" s="61"/>
      <c r="F1016" s="36"/>
    </row>
    <row r="1017">
      <c r="A1017" s="12"/>
      <c r="B1017" s="12"/>
      <c r="C1017" s="12"/>
      <c r="D1017" s="12"/>
      <c r="E1017" s="61"/>
      <c r="F1017" s="36"/>
    </row>
    <row r="1018">
      <c r="A1018" s="12"/>
      <c r="B1018" s="12"/>
      <c r="C1018" s="12"/>
      <c r="D1018" s="12"/>
      <c r="E1018" s="61"/>
      <c r="F1018" s="36"/>
    </row>
    <row r="1019">
      <c r="A1019" s="12"/>
      <c r="B1019" s="12"/>
      <c r="C1019" s="12"/>
      <c r="D1019" s="12"/>
      <c r="E1019" s="61"/>
      <c r="F1019" s="36"/>
    </row>
    <row r="1020">
      <c r="A1020" s="12"/>
      <c r="B1020" s="12"/>
      <c r="C1020" s="12"/>
      <c r="D1020" s="12"/>
      <c r="E1020" s="61"/>
      <c r="F1020" s="36"/>
    </row>
    <row r="1021">
      <c r="A1021" s="12"/>
      <c r="B1021" s="12"/>
      <c r="C1021" s="12"/>
      <c r="D1021" s="12"/>
      <c r="E1021" s="61"/>
      <c r="F1021" s="36"/>
    </row>
    <row r="1022">
      <c r="A1022" s="12"/>
      <c r="B1022" s="12"/>
      <c r="C1022" s="12"/>
      <c r="D1022" s="12"/>
      <c r="E1022" s="61"/>
      <c r="F1022" s="36"/>
    </row>
    <row r="1023">
      <c r="A1023" s="12"/>
      <c r="B1023" s="12"/>
      <c r="C1023" s="12"/>
      <c r="D1023" s="12"/>
      <c r="E1023" s="61"/>
      <c r="F1023" s="36"/>
    </row>
  </sheetData>
  <autoFilter ref="$B$23:$B$46">
    <filterColumn colId="0">
      <filters>
        <filter val="Gifting"/>
        <filter val="Sport &amp; Team"/>
        <filter val="/use/work-commute/laptop-bags/"/>
        <filter val="/use/sport-team/team-holdalls/"/>
        <filter val="Work &amp; Commute"/>
        <filter val="/use/travel/wash-bags-organisers/"/>
        <filter val="/use/work-commute/roll-top-backpacks/"/>
        <filter val="Travel"/>
        <filter val="/use/travel/wheelie-bags/"/>
        <filter val="/use/gifting/pouches-cases/"/>
        <filter val="/use/sport-team/team-backpacks/"/>
        <filter val="/use/gifting/travel-accessories/"/>
      </filters>
    </filterColumn>
  </autoFilter>
  <mergeCells count="3">
    <mergeCell ref="B2:C2"/>
    <mergeCell ref="B3:F3"/>
    <mergeCell ref="B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4" width="29.88"/>
    <col customWidth="1" min="5" max="5" width="18.38"/>
    <col customWidth="1" min="6" max="6" width="3.5"/>
  </cols>
  <sheetData>
    <row r="1" ht="15.0" customHeight="1">
      <c r="A1" s="12"/>
      <c r="B1" s="59"/>
      <c r="C1" s="59"/>
      <c r="D1" s="59"/>
      <c r="E1" s="60"/>
      <c r="F1" s="118"/>
    </row>
    <row r="2" ht="73.5" customHeight="1">
      <c r="A2" s="12"/>
      <c r="B2" s="62"/>
      <c r="C2" s="63"/>
      <c r="D2" s="63"/>
      <c r="E2" s="64"/>
      <c r="F2" s="119"/>
    </row>
    <row r="3">
      <c r="A3" s="12"/>
      <c r="B3" s="143" t="s">
        <v>206</v>
      </c>
      <c r="E3" s="66"/>
      <c r="F3" s="144"/>
    </row>
    <row r="4">
      <c r="A4" s="12"/>
      <c r="B4" s="145" t="s">
        <v>97</v>
      </c>
      <c r="E4" s="66"/>
      <c r="F4" s="36"/>
    </row>
    <row r="5">
      <c r="A5" s="12"/>
      <c r="B5" s="121" t="s">
        <v>98</v>
      </c>
      <c r="C5" s="122" t="s">
        <v>99</v>
      </c>
      <c r="D5" s="122" t="s">
        <v>100</v>
      </c>
      <c r="E5" s="124" t="s">
        <v>101</v>
      </c>
      <c r="F5" s="36"/>
    </row>
    <row r="6">
      <c r="A6" s="12"/>
      <c r="B6" s="146" t="s">
        <v>22</v>
      </c>
      <c r="C6" s="127" t="s">
        <v>207</v>
      </c>
      <c r="D6" s="127" t="s">
        <v>208</v>
      </c>
      <c r="E6" s="147">
        <v>10.0</v>
      </c>
      <c r="F6" s="36"/>
    </row>
    <row r="7">
      <c r="A7" s="12"/>
      <c r="B7" s="148" t="s">
        <v>33</v>
      </c>
      <c r="C7" s="131" t="s">
        <v>209</v>
      </c>
      <c r="D7" s="131" t="s">
        <v>210</v>
      </c>
      <c r="E7" s="149" t="s">
        <v>116</v>
      </c>
      <c r="F7" s="36"/>
    </row>
    <row r="8">
      <c r="A8" s="12"/>
      <c r="B8" s="148" t="s">
        <v>44</v>
      </c>
      <c r="C8" s="131" t="s">
        <v>211</v>
      </c>
      <c r="D8" s="131" t="s">
        <v>212</v>
      </c>
      <c r="E8" s="149" t="s">
        <v>116</v>
      </c>
      <c r="F8" s="36"/>
    </row>
    <row r="9">
      <c r="A9" s="12"/>
      <c r="B9" s="148" t="s">
        <v>53</v>
      </c>
      <c r="C9" s="131" t="s">
        <v>213</v>
      </c>
      <c r="D9" s="131" t="s">
        <v>214</v>
      </c>
      <c r="E9" s="149">
        <v>20.0</v>
      </c>
      <c r="F9" s="36"/>
    </row>
    <row r="10">
      <c r="A10" s="12"/>
      <c r="B10" s="148" t="s">
        <v>61</v>
      </c>
      <c r="C10" s="131" t="s">
        <v>215</v>
      </c>
      <c r="D10" s="131" t="s">
        <v>216</v>
      </c>
      <c r="E10" s="149" t="s">
        <v>116</v>
      </c>
      <c r="F10" s="36"/>
    </row>
    <row r="11">
      <c r="A11" s="12"/>
      <c r="B11" s="148" t="s">
        <v>69</v>
      </c>
      <c r="C11" s="131" t="s">
        <v>217</v>
      </c>
      <c r="D11" s="131" t="s">
        <v>218</v>
      </c>
      <c r="E11" s="149" t="s">
        <v>116</v>
      </c>
      <c r="F11" s="36"/>
    </row>
    <row r="12">
      <c r="A12" s="12"/>
      <c r="B12" s="29" t="s">
        <v>76</v>
      </c>
      <c r="C12" s="131" t="s">
        <v>219</v>
      </c>
      <c r="D12" s="12" t="s">
        <v>220</v>
      </c>
      <c r="E12" s="33">
        <v>10.0</v>
      </c>
      <c r="F12" s="61"/>
    </row>
    <row r="13">
      <c r="A13" s="12"/>
      <c r="B13" s="29" t="s">
        <v>81</v>
      </c>
      <c r="C13" s="131" t="s">
        <v>221</v>
      </c>
      <c r="D13" s="12" t="s">
        <v>222</v>
      </c>
      <c r="E13" s="33" t="s">
        <v>116</v>
      </c>
      <c r="F13" s="61"/>
    </row>
    <row r="14">
      <c r="A14" s="12"/>
      <c r="B14" s="29" t="s">
        <v>83</v>
      </c>
      <c r="C14" s="12" t="s">
        <v>223</v>
      </c>
      <c r="D14" s="12" t="s">
        <v>224</v>
      </c>
      <c r="E14" s="33" t="s">
        <v>116</v>
      </c>
      <c r="F14" s="61"/>
    </row>
    <row r="15">
      <c r="A15" s="12"/>
      <c r="B15" s="29" t="s">
        <v>84</v>
      </c>
      <c r="C15" s="12" t="s">
        <v>225</v>
      </c>
      <c r="D15" s="12" t="s">
        <v>226</v>
      </c>
      <c r="E15" s="33" t="s">
        <v>116</v>
      </c>
      <c r="F15" s="61"/>
    </row>
    <row r="16">
      <c r="A16" s="12"/>
      <c r="B16" s="29" t="s">
        <v>85</v>
      </c>
      <c r="C16" s="12" t="s">
        <v>227</v>
      </c>
      <c r="D16" s="12" t="s">
        <v>103</v>
      </c>
      <c r="E16" s="33" t="s">
        <v>103</v>
      </c>
      <c r="F16" s="61"/>
    </row>
    <row r="17">
      <c r="A17" s="12"/>
      <c r="B17" s="29" t="s">
        <v>86</v>
      </c>
      <c r="C17" s="12" t="s">
        <v>228</v>
      </c>
      <c r="D17" s="12" t="s">
        <v>229</v>
      </c>
      <c r="E17" s="33" t="s">
        <v>116</v>
      </c>
      <c r="F17" s="61"/>
    </row>
    <row r="18">
      <c r="A18" s="12"/>
      <c r="B18" s="29" t="s">
        <v>87</v>
      </c>
      <c r="C18" s="12" t="s">
        <v>230</v>
      </c>
      <c r="D18" s="12" t="s">
        <v>103</v>
      </c>
      <c r="E18" s="33" t="s">
        <v>103</v>
      </c>
      <c r="F18" s="61"/>
    </row>
    <row r="19">
      <c r="A19" s="12"/>
      <c r="B19" s="77" t="s">
        <v>88</v>
      </c>
      <c r="C19" s="31" t="s">
        <v>231</v>
      </c>
      <c r="D19" s="31" t="s">
        <v>103</v>
      </c>
      <c r="E19" s="78" t="s">
        <v>103</v>
      </c>
      <c r="F19" s="61"/>
    </row>
    <row r="20">
      <c r="A20" s="12"/>
      <c r="B20" s="114"/>
      <c r="C20" s="50"/>
      <c r="D20" s="50"/>
      <c r="E20" s="12"/>
      <c r="F20" s="61"/>
    </row>
    <row r="21">
      <c r="A21" s="12"/>
      <c r="B21" s="12"/>
      <c r="C21" s="12"/>
      <c r="D21" s="12"/>
      <c r="E21" s="12"/>
      <c r="F21" s="61"/>
    </row>
    <row r="22">
      <c r="A22" s="12"/>
      <c r="B22" s="12"/>
      <c r="C22" s="12"/>
      <c r="D22" s="12"/>
      <c r="E22" s="12"/>
      <c r="F22" s="36"/>
    </row>
    <row r="23">
      <c r="A23" s="12"/>
      <c r="B23" s="12"/>
      <c r="C23" s="12"/>
      <c r="D23" s="12"/>
      <c r="E23" s="12"/>
      <c r="F23" s="36"/>
    </row>
    <row r="24">
      <c r="A24" s="12"/>
      <c r="B24" s="12"/>
      <c r="C24" s="12"/>
      <c r="D24" s="12"/>
      <c r="E24" s="12"/>
      <c r="F24" s="36"/>
    </row>
    <row r="25">
      <c r="A25" s="12"/>
      <c r="B25" s="12"/>
      <c r="C25" s="12"/>
      <c r="D25" s="12"/>
      <c r="E25" s="12"/>
      <c r="F25" s="36"/>
    </row>
    <row r="26">
      <c r="A26" s="12"/>
      <c r="B26" s="12"/>
      <c r="C26" s="12"/>
      <c r="D26" s="12"/>
      <c r="E26" s="12"/>
      <c r="F26" s="36"/>
    </row>
    <row r="27">
      <c r="A27" s="12"/>
      <c r="B27" s="12"/>
      <c r="C27" s="12"/>
      <c r="D27" s="12"/>
      <c r="E27" s="12"/>
      <c r="F27" s="36"/>
    </row>
  </sheetData>
  <mergeCells count="3">
    <mergeCell ref="B2:D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1.38"/>
    <col customWidth="1" min="3" max="3" width="34.63"/>
    <col customWidth="1" min="4" max="4" width="30.75"/>
    <col customWidth="1" min="5" max="5" width="4.75"/>
  </cols>
  <sheetData>
    <row r="1" ht="15.0" customHeight="1">
      <c r="A1" s="12"/>
      <c r="B1" s="59"/>
      <c r="C1" s="60"/>
      <c r="D1" s="60"/>
      <c r="E1" s="118"/>
    </row>
    <row r="2" ht="73.5" customHeight="1">
      <c r="A2" s="12"/>
      <c r="B2" s="62"/>
      <c r="C2" s="64"/>
      <c r="D2" s="64"/>
      <c r="E2" s="119"/>
    </row>
    <row r="3">
      <c r="A3" s="12"/>
      <c r="B3" s="65" t="s">
        <v>232</v>
      </c>
      <c r="E3" s="66"/>
    </row>
    <row r="4">
      <c r="A4" s="12"/>
      <c r="B4" s="120" t="s">
        <v>110</v>
      </c>
      <c r="E4" s="66"/>
    </row>
    <row r="5">
      <c r="A5" s="12"/>
      <c r="B5" s="121" t="s">
        <v>98</v>
      </c>
      <c r="C5" s="123" t="s">
        <v>99</v>
      </c>
      <c r="D5" s="123" t="s">
        <v>100</v>
      </c>
      <c r="E5" s="124" t="s">
        <v>101</v>
      </c>
    </row>
    <row r="6">
      <c r="A6" s="12"/>
      <c r="B6" s="125" t="s">
        <v>23</v>
      </c>
      <c r="C6" s="126" t="s">
        <v>233</v>
      </c>
      <c r="D6" s="150" t="s">
        <v>234</v>
      </c>
      <c r="E6" s="128" t="s">
        <v>116</v>
      </c>
    </row>
    <row r="7">
      <c r="A7" s="12"/>
      <c r="B7" s="129" t="s">
        <v>34</v>
      </c>
      <c r="C7" s="130" t="s">
        <v>235</v>
      </c>
      <c r="D7" s="151" t="s">
        <v>236</v>
      </c>
      <c r="E7" s="132" t="s">
        <v>116</v>
      </c>
    </row>
    <row r="8">
      <c r="A8" s="12"/>
      <c r="B8" s="129" t="s">
        <v>45</v>
      </c>
      <c r="C8" s="130" t="s">
        <v>237</v>
      </c>
      <c r="D8" s="151" t="s">
        <v>103</v>
      </c>
      <c r="E8" s="132" t="s">
        <v>103</v>
      </c>
    </row>
    <row r="9">
      <c r="A9" s="12"/>
      <c r="B9" s="129" t="s">
        <v>54</v>
      </c>
      <c r="C9" s="130" t="s">
        <v>238</v>
      </c>
      <c r="D9" s="151" t="s">
        <v>239</v>
      </c>
      <c r="E9" s="132">
        <v>20.0</v>
      </c>
    </row>
    <row r="10">
      <c r="A10" s="12"/>
      <c r="B10" s="129" t="s">
        <v>62</v>
      </c>
      <c r="C10" s="130" t="s">
        <v>240</v>
      </c>
      <c r="D10" s="151" t="s">
        <v>103</v>
      </c>
      <c r="E10" s="132" t="s">
        <v>103</v>
      </c>
    </row>
    <row r="11">
      <c r="A11" s="12"/>
      <c r="B11" s="129" t="s">
        <v>70</v>
      </c>
      <c r="C11" s="130" t="s">
        <v>241</v>
      </c>
      <c r="D11" s="151" t="s">
        <v>242</v>
      </c>
      <c r="E11" s="132">
        <v>30.0</v>
      </c>
    </row>
    <row r="12">
      <c r="A12" s="12"/>
      <c r="B12" s="133" t="s">
        <v>77</v>
      </c>
      <c r="C12" s="134" t="s">
        <v>243</v>
      </c>
      <c r="D12" s="152" t="s">
        <v>103</v>
      </c>
      <c r="E12" s="136" t="s">
        <v>103</v>
      </c>
    </row>
    <row r="13">
      <c r="A13" s="12"/>
      <c r="B13" s="153"/>
      <c r="C13" s="130"/>
      <c r="D13" s="151"/>
      <c r="E13" s="151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36"/>
    </row>
    <row r="16">
      <c r="A16" s="12"/>
      <c r="B16" s="154"/>
      <c r="C16" s="12"/>
      <c r="D16" s="12"/>
      <c r="E16" s="61"/>
    </row>
    <row r="17">
      <c r="A17" s="12"/>
      <c r="B17" s="155"/>
      <c r="C17" s="12"/>
      <c r="D17" s="12"/>
      <c r="E17" s="61"/>
    </row>
    <row r="18">
      <c r="A18" s="12"/>
      <c r="B18" s="155"/>
      <c r="C18" s="12"/>
      <c r="D18" s="12"/>
      <c r="E18" s="61"/>
    </row>
    <row r="19">
      <c r="A19" s="12"/>
      <c r="B19" s="156"/>
      <c r="C19" s="12"/>
      <c r="D19" s="61"/>
      <c r="E19" s="61"/>
    </row>
    <row r="20">
      <c r="A20" s="12"/>
      <c r="B20" s="155"/>
      <c r="C20" s="12"/>
      <c r="D20" s="61"/>
      <c r="E20" s="61"/>
    </row>
    <row r="21">
      <c r="A21" s="12"/>
      <c r="B21" s="155"/>
      <c r="C21" s="12"/>
      <c r="D21" s="61"/>
      <c r="E21" s="61"/>
    </row>
    <row r="22">
      <c r="A22" s="12"/>
      <c r="B22" s="155"/>
      <c r="C22" s="12"/>
      <c r="D22" s="61"/>
      <c r="E22" s="61"/>
    </row>
    <row r="23">
      <c r="A23" s="12"/>
      <c r="B23" s="155"/>
      <c r="C23" s="12"/>
      <c r="D23" s="61"/>
      <c r="E23" s="61"/>
    </row>
    <row r="24">
      <c r="A24" s="12"/>
      <c r="B24" s="12"/>
      <c r="C24" s="12"/>
      <c r="D24" s="61"/>
      <c r="E24" s="36"/>
    </row>
  </sheetData>
  <mergeCells count="2">
    <mergeCell ref="B3:E3"/>
    <mergeCell ref="B4:E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4" width="29.88"/>
    <col customWidth="1" min="5" max="5" width="18.38"/>
    <col customWidth="1" min="7" max="7" width="3.5"/>
    <col customWidth="1" min="8" max="8" width="29.5"/>
    <col customWidth="1" min="9" max="9" width="47.5"/>
    <col customWidth="1" min="10" max="10" width="5.25"/>
    <col customWidth="1" min="11" max="13" width="47.5"/>
    <col customWidth="1" min="14" max="14" width="26.38"/>
    <col customWidth="1" min="15" max="15" width="12.88"/>
  </cols>
  <sheetData>
    <row r="1" ht="15.0" customHeight="1">
      <c r="A1" s="12"/>
      <c r="B1" s="59"/>
      <c r="C1" s="59"/>
      <c r="D1" s="59"/>
      <c r="E1" s="60"/>
      <c r="F1" s="60"/>
      <c r="G1" s="118"/>
      <c r="H1" s="118"/>
      <c r="I1" s="118"/>
      <c r="J1" s="118"/>
      <c r="K1" s="118"/>
      <c r="L1" s="118"/>
      <c r="M1" s="118"/>
      <c r="N1" s="118"/>
      <c r="O1" s="118"/>
    </row>
    <row r="2" ht="73.5" customHeight="1">
      <c r="A2" s="12"/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>
      <c r="A3" s="65" t="s">
        <v>244</v>
      </c>
      <c r="O3" s="66"/>
    </row>
    <row r="4">
      <c r="A4" s="12"/>
      <c r="B4" s="67" t="s">
        <v>97</v>
      </c>
      <c r="F4" s="66"/>
      <c r="G4" s="36"/>
      <c r="H4" s="11" t="s">
        <v>245</v>
      </c>
      <c r="I4" s="66"/>
      <c r="J4" s="11"/>
      <c r="K4" s="11" t="s">
        <v>246</v>
      </c>
      <c r="O4" s="66"/>
    </row>
    <row r="5">
      <c r="A5" s="12"/>
      <c r="B5" s="68" t="s">
        <v>98</v>
      </c>
      <c r="C5" s="69" t="s">
        <v>247</v>
      </c>
      <c r="D5" s="69" t="s">
        <v>99</v>
      </c>
      <c r="E5" s="70" t="s">
        <v>100</v>
      </c>
      <c r="F5" s="71" t="s">
        <v>101</v>
      </c>
      <c r="G5" s="36"/>
      <c r="H5" s="68" t="s">
        <v>98</v>
      </c>
      <c r="I5" s="157" t="s">
        <v>99</v>
      </c>
      <c r="J5" s="69"/>
      <c r="K5" s="158" t="s">
        <v>98</v>
      </c>
      <c r="L5" s="159" t="s">
        <v>247</v>
      </c>
      <c r="M5" s="160" t="s">
        <v>99</v>
      </c>
      <c r="N5" s="161" t="s">
        <v>100</v>
      </c>
      <c r="O5" s="162" t="s">
        <v>101</v>
      </c>
    </row>
    <row r="6">
      <c r="A6" s="12"/>
      <c r="B6" s="19" t="s">
        <v>2</v>
      </c>
      <c r="C6" s="73" t="s">
        <v>248</v>
      </c>
      <c r="D6" s="73" t="s">
        <v>248</v>
      </c>
      <c r="E6" s="74" t="s">
        <v>103</v>
      </c>
      <c r="F6" s="163" t="s">
        <v>103</v>
      </c>
      <c r="G6" s="36"/>
      <c r="H6" s="164" t="s">
        <v>25</v>
      </c>
      <c r="I6" s="165" t="s">
        <v>249</v>
      </c>
      <c r="J6" s="25"/>
      <c r="K6" s="166" t="s">
        <v>24</v>
      </c>
      <c r="L6" s="167" t="s">
        <v>250</v>
      </c>
      <c r="M6" s="167" t="s">
        <v>251</v>
      </c>
      <c r="N6" s="150" t="s">
        <v>252</v>
      </c>
      <c r="O6" s="128" t="s">
        <v>116</v>
      </c>
    </row>
    <row r="7">
      <c r="A7" s="12"/>
      <c r="B7" s="99"/>
      <c r="C7" s="100"/>
      <c r="D7" s="100"/>
      <c r="E7" s="100"/>
      <c r="F7" s="101"/>
      <c r="G7" s="36"/>
      <c r="H7" s="95"/>
      <c r="I7" s="66"/>
      <c r="J7" s="25"/>
      <c r="K7" s="168" t="s">
        <v>35</v>
      </c>
      <c r="L7" s="153" t="s">
        <v>253</v>
      </c>
      <c r="M7" s="153" t="s">
        <v>254</v>
      </c>
      <c r="N7" s="151" t="s">
        <v>255</v>
      </c>
      <c r="O7" s="132">
        <v>50.0</v>
      </c>
    </row>
    <row r="8">
      <c r="A8" s="12"/>
      <c r="B8" s="12"/>
      <c r="C8" s="12"/>
      <c r="D8" s="12"/>
      <c r="E8" s="12"/>
      <c r="F8" s="12"/>
      <c r="G8" s="61"/>
      <c r="H8" s="95"/>
      <c r="I8" s="66"/>
      <c r="J8" s="61"/>
      <c r="K8" s="168" t="s">
        <v>46</v>
      </c>
      <c r="L8" s="153" t="s">
        <v>256</v>
      </c>
      <c r="M8" s="153" t="s">
        <v>257</v>
      </c>
      <c r="N8" s="151" t="s">
        <v>258</v>
      </c>
      <c r="O8" s="132">
        <v>350.0</v>
      </c>
    </row>
    <row r="9">
      <c r="A9" s="12"/>
      <c r="B9" s="12"/>
      <c r="C9" s="12"/>
      <c r="D9" s="12"/>
      <c r="E9" s="12"/>
      <c r="F9" s="61"/>
      <c r="G9" s="61"/>
      <c r="H9" s="95"/>
      <c r="I9" s="66"/>
      <c r="J9" s="61"/>
      <c r="K9" s="169" t="s">
        <v>55</v>
      </c>
      <c r="L9" s="170" t="s">
        <v>253</v>
      </c>
      <c r="M9" s="170" t="s">
        <v>259</v>
      </c>
      <c r="N9" s="151" t="s">
        <v>130</v>
      </c>
      <c r="O9" s="132" t="s">
        <v>116</v>
      </c>
    </row>
    <row r="10">
      <c r="A10" s="12"/>
      <c r="B10" s="12"/>
      <c r="C10" s="12"/>
      <c r="D10" s="12"/>
      <c r="E10" s="12"/>
      <c r="F10" s="61"/>
      <c r="G10" s="61"/>
      <c r="H10" s="95"/>
      <c r="I10" s="66"/>
      <c r="J10" s="61"/>
      <c r="K10" s="171" t="s">
        <v>63</v>
      </c>
      <c r="L10" s="172" t="s">
        <v>253</v>
      </c>
      <c r="M10" s="172" t="s">
        <v>260</v>
      </c>
      <c r="N10" s="151" t="s">
        <v>261</v>
      </c>
      <c r="O10" s="132" t="s">
        <v>116</v>
      </c>
    </row>
    <row r="11">
      <c r="A11" s="12"/>
      <c r="B11" s="12"/>
      <c r="C11" s="12"/>
      <c r="D11" s="12"/>
      <c r="E11" s="12"/>
      <c r="F11" s="61"/>
      <c r="G11" s="61"/>
      <c r="H11" s="95"/>
      <c r="I11" s="66"/>
      <c r="J11" s="61"/>
      <c r="K11" s="171" t="s">
        <v>71</v>
      </c>
      <c r="L11" s="172" t="s">
        <v>262</v>
      </c>
      <c r="M11" s="172" t="s">
        <v>263</v>
      </c>
      <c r="N11" s="151" t="s">
        <v>264</v>
      </c>
      <c r="O11" s="132">
        <v>10.0</v>
      </c>
    </row>
    <row r="12">
      <c r="A12" s="12"/>
      <c r="B12" s="12"/>
      <c r="C12" s="12"/>
      <c r="D12" s="12"/>
      <c r="E12" s="12"/>
      <c r="F12" s="61"/>
      <c r="G12" s="61"/>
      <c r="H12" s="95"/>
      <c r="I12" s="66"/>
      <c r="J12" s="61"/>
      <c r="K12" s="171" t="s">
        <v>78</v>
      </c>
      <c r="L12" s="172" t="s">
        <v>265</v>
      </c>
      <c r="M12" s="172" t="s">
        <v>266</v>
      </c>
      <c r="N12" s="151" t="s">
        <v>267</v>
      </c>
      <c r="O12" s="132">
        <v>40.0</v>
      </c>
    </row>
    <row r="13">
      <c r="A13" s="12"/>
      <c r="B13" s="12"/>
      <c r="C13" s="12"/>
      <c r="D13" s="12"/>
      <c r="E13" s="12"/>
      <c r="F13" s="61"/>
      <c r="G13" s="61"/>
      <c r="H13" s="99"/>
      <c r="I13" s="101"/>
      <c r="J13" s="12"/>
      <c r="K13" s="171" t="s">
        <v>82</v>
      </c>
      <c r="L13" s="172" t="s">
        <v>268</v>
      </c>
      <c r="M13" s="172" t="s">
        <v>269</v>
      </c>
      <c r="N13" s="151" t="s">
        <v>270</v>
      </c>
      <c r="O13" s="132">
        <v>10.0</v>
      </c>
    </row>
    <row r="14">
      <c r="A14" s="12"/>
      <c r="B14" s="12"/>
      <c r="C14" s="12"/>
      <c r="D14" s="12"/>
      <c r="E14" s="12"/>
      <c r="F14" s="61"/>
      <c r="G14" s="12" t="s">
        <v>271</v>
      </c>
      <c r="H14" s="173" t="s">
        <v>36</v>
      </c>
      <c r="I14" s="174" t="s">
        <v>272</v>
      </c>
      <c r="J14" s="12"/>
      <c r="K14" s="148" t="s">
        <v>273</v>
      </c>
      <c r="L14" s="175"/>
      <c r="M14" s="175" t="s">
        <v>274</v>
      </c>
      <c r="N14" s="175"/>
      <c r="O14" s="176"/>
    </row>
    <row r="15">
      <c r="A15" s="12"/>
      <c r="B15" s="12"/>
      <c r="C15" s="12"/>
      <c r="D15" s="12"/>
      <c r="E15" s="12"/>
      <c r="F15" s="61"/>
      <c r="G15" s="12"/>
      <c r="H15" s="12"/>
      <c r="I15" s="12"/>
      <c r="J15" s="12"/>
      <c r="K15" s="29" t="s">
        <v>275</v>
      </c>
      <c r="L15" s="12"/>
      <c r="M15" s="27" t="s">
        <v>276</v>
      </c>
      <c r="N15" s="12"/>
      <c r="O15" s="33"/>
    </row>
    <row r="16">
      <c r="A16" s="12"/>
      <c r="B16" s="12"/>
      <c r="C16" s="12"/>
      <c r="D16" s="12"/>
      <c r="E16" s="12"/>
      <c r="F16" s="61"/>
      <c r="G16" s="12"/>
      <c r="H16" s="12"/>
      <c r="I16" s="12"/>
      <c r="J16" s="12"/>
      <c r="K16" s="29" t="s">
        <v>277</v>
      </c>
      <c r="L16" s="12"/>
      <c r="M16" s="27" t="s">
        <v>278</v>
      </c>
      <c r="N16" s="12"/>
      <c r="O16" s="33"/>
    </row>
    <row r="17">
      <c r="A17" s="12"/>
      <c r="B17" s="12"/>
      <c r="C17" s="12"/>
      <c r="D17" s="12"/>
      <c r="E17" s="12"/>
      <c r="F17" s="61"/>
      <c r="G17" s="12"/>
      <c r="H17" s="12"/>
      <c r="I17" s="12"/>
      <c r="J17" s="12"/>
      <c r="K17" s="29" t="s">
        <v>279</v>
      </c>
      <c r="L17" s="12"/>
      <c r="M17" s="27" t="s">
        <v>280</v>
      </c>
      <c r="N17" s="12"/>
      <c r="O17" s="33"/>
    </row>
    <row r="18">
      <c r="A18" s="12"/>
      <c r="B18" s="12"/>
      <c r="C18" s="12"/>
      <c r="D18" s="12"/>
      <c r="E18" s="12"/>
      <c r="F18" s="61"/>
      <c r="G18" s="12"/>
      <c r="H18" s="12"/>
      <c r="I18" s="12"/>
      <c r="J18" s="12"/>
      <c r="K18" s="29" t="s">
        <v>35</v>
      </c>
      <c r="L18" s="12"/>
      <c r="M18" s="27" t="s">
        <v>281</v>
      </c>
      <c r="N18" s="12"/>
      <c r="O18" s="33"/>
    </row>
    <row r="19">
      <c r="A19" s="12"/>
      <c r="B19" s="12"/>
      <c r="C19" s="12"/>
      <c r="D19" s="12"/>
      <c r="E19" s="12"/>
      <c r="F19" s="61"/>
      <c r="G19" s="12"/>
      <c r="H19" s="12"/>
      <c r="I19" s="12"/>
      <c r="J19" s="12"/>
      <c r="K19" s="29" t="s">
        <v>282</v>
      </c>
      <c r="L19" s="12"/>
      <c r="M19" s="27" t="s">
        <v>283</v>
      </c>
      <c r="N19" s="12"/>
      <c r="O19" s="33"/>
    </row>
    <row r="20">
      <c r="A20" s="12"/>
      <c r="B20" s="12"/>
      <c r="C20" s="12"/>
      <c r="D20" s="12"/>
      <c r="E20" s="12"/>
      <c r="F20" s="61"/>
      <c r="G20" s="12"/>
      <c r="H20" s="12"/>
      <c r="I20" s="12"/>
      <c r="J20" s="12"/>
      <c r="K20" s="29" t="s">
        <v>284</v>
      </c>
      <c r="L20" s="12"/>
      <c r="M20" s="27" t="s">
        <v>285</v>
      </c>
      <c r="N20" s="12"/>
      <c r="O20" s="33"/>
    </row>
    <row r="21">
      <c r="A21" s="12"/>
      <c r="B21" s="12"/>
      <c r="C21" s="12"/>
      <c r="D21" s="12"/>
      <c r="E21" s="12"/>
      <c r="F21" s="61"/>
      <c r="G21" s="12"/>
      <c r="H21" s="12"/>
      <c r="I21" s="12"/>
      <c r="J21" s="12"/>
      <c r="K21" s="29" t="s">
        <v>286</v>
      </c>
      <c r="L21" s="12"/>
      <c r="M21" s="27" t="s">
        <v>287</v>
      </c>
      <c r="N21" s="12"/>
      <c r="O21" s="33"/>
    </row>
    <row r="22">
      <c r="A22" s="12"/>
      <c r="B22" s="12"/>
      <c r="C22" s="12"/>
      <c r="D22" s="12"/>
      <c r="E22" s="12"/>
      <c r="F22" s="61"/>
      <c r="G22" s="12"/>
      <c r="H22" s="12"/>
      <c r="I22" s="12"/>
      <c r="J22" s="12"/>
      <c r="K22" s="29" t="s">
        <v>288</v>
      </c>
      <c r="L22" s="12"/>
      <c r="M22" s="27" t="s">
        <v>289</v>
      </c>
      <c r="N22" s="12"/>
      <c r="O22" s="33"/>
    </row>
    <row r="23">
      <c r="A23" s="12"/>
      <c r="B23" s="12"/>
      <c r="C23" s="12"/>
      <c r="D23" s="12"/>
      <c r="E23" s="12"/>
      <c r="F23" s="61"/>
      <c r="G23" s="12"/>
      <c r="H23" s="12"/>
      <c r="I23" s="12"/>
      <c r="J23" s="12"/>
      <c r="K23" s="29" t="s">
        <v>290</v>
      </c>
      <c r="L23" s="12"/>
      <c r="M23" s="27" t="s">
        <v>291</v>
      </c>
      <c r="N23" s="12"/>
      <c r="O23" s="33"/>
    </row>
    <row r="24">
      <c r="A24" s="12"/>
      <c r="B24" s="12"/>
      <c r="C24" s="12"/>
      <c r="D24" s="12"/>
      <c r="E24" s="12"/>
      <c r="F24" s="61"/>
      <c r="G24" s="12"/>
      <c r="H24" s="12"/>
      <c r="I24" s="12"/>
      <c r="J24" s="12"/>
      <c r="K24" s="29" t="s">
        <v>292</v>
      </c>
      <c r="L24" s="12"/>
      <c r="M24" s="27" t="s">
        <v>293</v>
      </c>
      <c r="N24" s="12"/>
      <c r="O24" s="33"/>
    </row>
    <row r="25">
      <c r="A25" s="12"/>
      <c r="B25" s="12"/>
      <c r="C25" s="12"/>
      <c r="D25" s="12"/>
      <c r="E25" s="12"/>
      <c r="F25" s="61"/>
      <c r="G25" s="12"/>
      <c r="H25" s="12"/>
      <c r="I25" s="12"/>
      <c r="J25" s="12"/>
      <c r="K25" s="29" t="s">
        <v>294</v>
      </c>
      <c r="L25" s="12"/>
      <c r="M25" s="27" t="s">
        <v>295</v>
      </c>
      <c r="N25" s="12"/>
      <c r="O25" s="33"/>
    </row>
    <row r="26">
      <c r="A26" s="12"/>
      <c r="B26" s="12"/>
      <c r="C26" s="12"/>
      <c r="D26" s="12"/>
      <c r="E26" s="12"/>
      <c r="F26" s="61"/>
      <c r="G26" s="12"/>
      <c r="H26" s="12"/>
      <c r="I26" s="12"/>
      <c r="J26" s="12"/>
      <c r="K26" s="29" t="s">
        <v>296</v>
      </c>
      <c r="L26" s="12"/>
      <c r="M26" s="27" t="s">
        <v>297</v>
      </c>
      <c r="N26" s="12"/>
      <c r="O26" s="33"/>
    </row>
    <row r="27">
      <c r="A27" s="12"/>
      <c r="B27" s="12"/>
      <c r="C27" s="12"/>
      <c r="D27" s="12"/>
      <c r="E27" s="12"/>
      <c r="F27" s="61"/>
      <c r="G27" s="12"/>
      <c r="H27" s="12"/>
      <c r="I27" s="12"/>
      <c r="J27" s="12"/>
      <c r="K27" s="29" t="s">
        <v>298</v>
      </c>
      <c r="L27" s="12"/>
      <c r="M27" s="27" t="s">
        <v>299</v>
      </c>
      <c r="N27" s="12"/>
      <c r="O27" s="33"/>
    </row>
    <row r="28">
      <c r="A28" s="12"/>
      <c r="B28" s="12"/>
      <c r="C28" s="12"/>
      <c r="D28" s="12"/>
      <c r="E28" s="12"/>
      <c r="F28" s="61"/>
      <c r="G28" s="12"/>
      <c r="H28" s="12"/>
      <c r="I28" s="12"/>
      <c r="J28" s="12"/>
      <c r="K28" s="29" t="s">
        <v>300</v>
      </c>
      <c r="L28" s="12"/>
      <c r="M28" s="27" t="s">
        <v>301</v>
      </c>
      <c r="N28" s="12"/>
      <c r="O28" s="33"/>
    </row>
    <row r="29">
      <c r="A29" s="12"/>
      <c r="B29" s="12"/>
      <c r="C29" s="12"/>
      <c r="D29" s="12"/>
      <c r="E29" s="12"/>
      <c r="F29" s="61"/>
      <c r="G29" s="12"/>
      <c r="H29" s="12"/>
      <c r="I29" s="12"/>
      <c r="J29" s="12"/>
      <c r="K29" s="29" t="s">
        <v>302</v>
      </c>
      <c r="L29" s="12"/>
      <c r="M29" s="27" t="s">
        <v>303</v>
      </c>
      <c r="N29" s="12"/>
      <c r="O29" s="33"/>
    </row>
    <row r="30">
      <c r="A30" s="12"/>
      <c r="B30" s="12"/>
      <c r="C30" s="12"/>
      <c r="D30" s="12"/>
      <c r="E30" s="12"/>
      <c r="F30" s="61"/>
      <c r="G30" s="12"/>
      <c r="H30" s="12"/>
      <c r="I30" s="12"/>
      <c r="J30" s="12"/>
      <c r="K30" s="29" t="s">
        <v>304</v>
      </c>
      <c r="L30" s="12"/>
      <c r="M30" s="27" t="s">
        <v>305</v>
      </c>
      <c r="N30" s="12"/>
      <c r="O30" s="33"/>
    </row>
    <row r="31">
      <c r="A31" s="12"/>
      <c r="B31" s="12"/>
      <c r="C31" s="12"/>
      <c r="D31" s="12"/>
      <c r="E31" s="12"/>
      <c r="F31" s="61"/>
      <c r="G31" s="12"/>
      <c r="H31" s="12"/>
      <c r="I31" s="12"/>
      <c r="J31" s="12"/>
      <c r="K31" s="29" t="s">
        <v>306</v>
      </c>
      <c r="L31" s="12"/>
      <c r="M31" s="27" t="s">
        <v>307</v>
      </c>
      <c r="N31" s="12"/>
      <c r="O31" s="33"/>
    </row>
    <row r="32">
      <c r="A32" s="12"/>
      <c r="B32" s="12"/>
      <c r="C32" s="12"/>
      <c r="D32" s="12"/>
      <c r="E32" s="12"/>
      <c r="F32" s="61"/>
      <c r="G32" s="12"/>
      <c r="H32" s="12"/>
      <c r="I32" s="12"/>
      <c r="J32" s="12"/>
      <c r="K32" s="29" t="s">
        <v>308</v>
      </c>
      <c r="L32" s="12"/>
      <c r="M32" s="27" t="s">
        <v>309</v>
      </c>
      <c r="N32" s="12"/>
      <c r="O32" s="33"/>
    </row>
    <row r="33">
      <c r="A33" s="12"/>
      <c r="B33" s="12"/>
      <c r="C33" s="12"/>
      <c r="D33" s="12"/>
      <c r="E33" s="12"/>
      <c r="F33" s="61"/>
      <c r="G33" s="12"/>
      <c r="H33" s="12"/>
      <c r="I33" s="12"/>
      <c r="J33" s="12"/>
      <c r="K33" s="29" t="s">
        <v>310</v>
      </c>
      <c r="L33" s="12"/>
      <c r="M33" s="27" t="s">
        <v>311</v>
      </c>
      <c r="N33" s="12"/>
      <c r="O33" s="33"/>
    </row>
    <row r="34">
      <c r="A34" s="12"/>
      <c r="B34" s="12"/>
      <c r="C34" s="12"/>
      <c r="D34" s="12"/>
      <c r="E34" s="12"/>
      <c r="F34" s="61"/>
      <c r="G34" s="12"/>
      <c r="H34" s="12"/>
      <c r="I34" s="12"/>
      <c r="J34" s="12"/>
      <c r="K34" s="29" t="s">
        <v>312</v>
      </c>
      <c r="L34" s="12"/>
      <c r="M34" s="27" t="s">
        <v>313</v>
      </c>
      <c r="N34" s="12"/>
      <c r="O34" s="33"/>
    </row>
    <row r="35">
      <c r="A35" s="12"/>
      <c r="B35" s="12"/>
      <c r="C35" s="12"/>
      <c r="D35" s="12"/>
      <c r="E35" s="12"/>
      <c r="F35" s="61"/>
      <c r="G35" s="12"/>
      <c r="H35" s="12"/>
      <c r="I35" s="12"/>
      <c r="J35" s="12"/>
      <c r="K35" s="29" t="s">
        <v>314</v>
      </c>
      <c r="L35" s="12"/>
      <c r="M35" s="27" t="s">
        <v>315</v>
      </c>
      <c r="N35" s="12"/>
      <c r="O35" s="33"/>
    </row>
    <row r="36">
      <c r="A36" s="12"/>
      <c r="B36" s="12"/>
      <c r="C36" s="12"/>
      <c r="D36" s="12"/>
      <c r="E36" s="12"/>
      <c r="F36" s="61"/>
      <c r="G36" s="12"/>
      <c r="H36" s="12"/>
      <c r="I36" s="12"/>
      <c r="J36" s="12"/>
      <c r="K36" s="77" t="s">
        <v>70</v>
      </c>
      <c r="L36" s="31"/>
      <c r="M36" s="177" t="s">
        <v>316</v>
      </c>
      <c r="N36" s="31"/>
      <c r="O36" s="78"/>
    </row>
    <row r="37">
      <c r="A37" s="12"/>
      <c r="B37" s="12"/>
      <c r="C37" s="12"/>
      <c r="D37" s="12"/>
      <c r="E37" s="12"/>
      <c r="F37" s="61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2"/>
      <c r="B38" s="12"/>
      <c r="C38" s="12"/>
      <c r="D38" s="12"/>
      <c r="E38" s="12"/>
      <c r="F38" s="61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12"/>
      <c r="B39" s="12"/>
      <c r="C39" s="12"/>
      <c r="D39" s="12"/>
      <c r="E39" s="12"/>
      <c r="F39" s="61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12"/>
      <c r="B40" s="12"/>
      <c r="C40" s="12"/>
      <c r="D40" s="12"/>
      <c r="E40" s="12"/>
      <c r="F40" s="61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12"/>
      <c r="B41" s="12"/>
      <c r="C41" s="12"/>
      <c r="D41" s="12"/>
      <c r="E41" s="12"/>
      <c r="F41" s="61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12"/>
      <c r="B42" s="12"/>
      <c r="C42" s="12"/>
      <c r="D42" s="12"/>
      <c r="E42" s="12"/>
      <c r="F42" s="61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12"/>
      <c r="B43" s="12"/>
      <c r="C43" s="12"/>
      <c r="D43" s="12"/>
      <c r="E43" s="12"/>
      <c r="F43" s="61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12"/>
      <c r="B44" s="12"/>
      <c r="C44" s="12"/>
      <c r="D44" s="12"/>
      <c r="E44" s="12"/>
      <c r="F44" s="61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12"/>
      <c r="B45" s="12"/>
      <c r="C45" s="12"/>
      <c r="D45" s="12"/>
      <c r="E45" s="12"/>
      <c r="F45" s="61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12"/>
      <c r="B46" s="12"/>
      <c r="C46" s="12"/>
      <c r="D46" s="12"/>
      <c r="E46" s="12"/>
      <c r="F46" s="61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12"/>
      <c r="B47" s="12"/>
      <c r="C47" s="12"/>
      <c r="D47" s="12"/>
      <c r="E47" s="12"/>
      <c r="F47" s="61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12"/>
      <c r="B48" s="12"/>
      <c r="C48" s="12"/>
      <c r="D48" s="12"/>
      <c r="E48" s="12"/>
      <c r="F48" s="61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12"/>
      <c r="B49" s="12"/>
      <c r="C49" s="12"/>
      <c r="D49" s="12"/>
      <c r="E49" s="12"/>
      <c r="F49" s="61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12"/>
      <c r="B50" s="12"/>
      <c r="C50" s="12"/>
      <c r="D50" s="12"/>
      <c r="E50" s="12"/>
      <c r="F50" s="61"/>
      <c r="G50" s="12"/>
      <c r="H50" s="12"/>
      <c r="I50" s="12"/>
      <c r="J50" s="12"/>
      <c r="K50" s="12"/>
      <c r="L50" s="12"/>
      <c r="M50" s="12"/>
      <c r="N50" s="12"/>
      <c r="O50" s="12"/>
    </row>
  </sheetData>
  <mergeCells count="12">
    <mergeCell ref="D6:D7"/>
    <mergeCell ref="E6:E7"/>
    <mergeCell ref="H6:H13"/>
    <mergeCell ref="I6:I13"/>
    <mergeCell ref="B2:O2"/>
    <mergeCell ref="A3:O3"/>
    <mergeCell ref="B4:F4"/>
    <mergeCell ref="H4:I4"/>
    <mergeCell ref="K4:O4"/>
    <mergeCell ref="B6:B7"/>
    <mergeCell ref="C6:C7"/>
    <mergeCell ref="F6:F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9" width="47.5"/>
    <col customWidth="1" min="10" max="10" width="26.0"/>
  </cols>
  <sheetData>
    <row r="1" ht="15.0" customHeight="1">
      <c r="A1" s="12"/>
      <c r="B1" s="59"/>
      <c r="C1" s="59"/>
      <c r="D1" s="60"/>
      <c r="E1" s="60"/>
      <c r="F1" s="118"/>
      <c r="G1" s="118"/>
      <c r="H1" s="118"/>
      <c r="I1" s="118"/>
      <c r="J1" s="118"/>
      <c r="K1" s="118"/>
    </row>
    <row r="2" ht="73.5" customHeight="1">
      <c r="A2" s="12"/>
      <c r="B2" s="62"/>
      <c r="C2" s="63"/>
      <c r="D2" s="63"/>
      <c r="E2" s="63"/>
      <c r="F2" s="63"/>
      <c r="G2" s="63"/>
      <c r="H2" s="63"/>
      <c r="I2" s="63"/>
      <c r="J2" s="63"/>
      <c r="K2" s="63"/>
    </row>
    <row r="3">
      <c r="A3" s="12"/>
      <c r="B3" s="65" t="s">
        <v>3</v>
      </c>
      <c r="K3" s="66"/>
    </row>
    <row r="4">
      <c r="A4" s="12"/>
      <c r="B4" s="67" t="s">
        <v>97</v>
      </c>
      <c r="E4" s="66"/>
      <c r="F4" s="36"/>
      <c r="G4" s="67" t="s">
        <v>110</v>
      </c>
      <c r="K4" s="66"/>
    </row>
    <row r="5">
      <c r="A5" s="12"/>
      <c r="B5" s="68" t="s">
        <v>98</v>
      </c>
      <c r="C5" s="69" t="s">
        <v>99</v>
      </c>
      <c r="D5" s="70" t="s">
        <v>100</v>
      </c>
      <c r="E5" s="71" t="s">
        <v>101</v>
      </c>
      <c r="F5" s="36"/>
      <c r="G5" s="68" t="s">
        <v>98</v>
      </c>
      <c r="H5" s="69" t="s">
        <v>247</v>
      </c>
      <c r="I5" s="69" t="s">
        <v>99</v>
      </c>
      <c r="J5" s="70" t="s">
        <v>100</v>
      </c>
      <c r="K5" s="71" t="s">
        <v>101</v>
      </c>
    </row>
    <row r="6">
      <c r="A6" s="12"/>
      <c r="B6" s="19" t="s">
        <v>3</v>
      </c>
      <c r="C6" s="73" t="s">
        <v>317</v>
      </c>
      <c r="D6" s="74" t="s">
        <v>103</v>
      </c>
      <c r="E6" s="163" t="s">
        <v>103</v>
      </c>
      <c r="F6" s="36"/>
      <c r="G6" s="178" t="s">
        <v>26</v>
      </c>
      <c r="H6" s="179" t="s">
        <v>253</v>
      </c>
      <c r="I6" s="179" t="s">
        <v>318</v>
      </c>
      <c r="J6" s="180" t="s">
        <v>103</v>
      </c>
      <c r="K6" s="181" t="s">
        <v>103</v>
      </c>
    </row>
    <row r="7">
      <c r="A7" s="12"/>
      <c r="B7" s="95"/>
      <c r="E7" s="66"/>
      <c r="F7" s="61"/>
      <c r="G7" s="182" t="s">
        <v>37</v>
      </c>
      <c r="H7" s="31" t="s">
        <v>253</v>
      </c>
      <c r="I7" s="31" t="s">
        <v>319</v>
      </c>
      <c r="J7" s="31"/>
      <c r="K7" s="183"/>
    </row>
    <row r="8">
      <c r="A8" s="12"/>
      <c r="B8" s="95"/>
      <c r="E8" s="66"/>
      <c r="F8" s="36"/>
      <c r="G8" s="184" t="s">
        <v>47</v>
      </c>
      <c r="H8" s="31" t="s">
        <v>253</v>
      </c>
      <c r="I8" s="31" t="s">
        <v>320</v>
      </c>
      <c r="J8" s="31" t="s">
        <v>103</v>
      </c>
      <c r="K8" s="183" t="s">
        <v>103</v>
      </c>
    </row>
    <row r="9">
      <c r="A9" s="12"/>
      <c r="B9" s="95"/>
      <c r="E9" s="66"/>
      <c r="F9" s="61"/>
      <c r="G9" s="173" t="s">
        <v>56</v>
      </c>
      <c r="H9" s="185" t="s">
        <v>321</v>
      </c>
      <c r="I9" s="186" t="s">
        <v>322</v>
      </c>
      <c r="J9" s="186" t="s">
        <v>103</v>
      </c>
      <c r="K9" s="187" t="s">
        <v>103</v>
      </c>
    </row>
    <row r="10">
      <c r="A10" s="12"/>
      <c r="B10" s="95"/>
      <c r="E10" s="66"/>
      <c r="F10" s="36"/>
      <c r="G10" s="19" t="s">
        <v>64</v>
      </c>
      <c r="H10" s="73" t="s">
        <v>253</v>
      </c>
      <c r="I10" s="73" t="s">
        <v>323</v>
      </c>
      <c r="J10" s="188" t="s">
        <v>103</v>
      </c>
      <c r="K10" s="187" t="s">
        <v>103</v>
      </c>
    </row>
    <row r="11">
      <c r="A11" s="12"/>
      <c r="B11" s="99"/>
      <c r="C11" s="100"/>
      <c r="D11" s="100"/>
      <c r="E11" s="101"/>
      <c r="F11" s="61"/>
      <c r="G11" s="189" t="s">
        <v>72</v>
      </c>
      <c r="H11" s="188" t="s">
        <v>253</v>
      </c>
      <c r="I11" s="188" t="s">
        <v>324</v>
      </c>
      <c r="J11" s="188" t="s">
        <v>103</v>
      </c>
      <c r="K11" s="187" t="s">
        <v>103</v>
      </c>
    </row>
    <row r="12">
      <c r="A12" s="12"/>
      <c r="B12" s="12"/>
      <c r="C12" s="12"/>
      <c r="D12" s="12"/>
      <c r="E12" s="61"/>
      <c r="F12" s="61"/>
      <c r="G12" s="61"/>
      <c r="H12" s="61"/>
      <c r="I12" s="61"/>
      <c r="J12" s="61"/>
      <c r="K12" s="61"/>
    </row>
    <row r="13">
      <c r="A13" s="12"/>
      <c r="B13" s="12"/>
      <c r="C13" s="12"/>
      <c r="D13" s="12"/>
      <c r="E13" s="61"/>
      <c r="F13" s="61"/>
      <c r="G13" s="61"/>
      <c r="H13" s="61"/>
      <c r="I13" s="61"/>
      <c r="J13" s="61"/>
      <c r="K13" s="61"/>
    </row>
    <row r="14">
      <c r="A14" s="12"/>
      <c r="B14" s="12"/>
      <c r="C14" s="12"/>
      <c r="D14" s="12"/>
      <c r="E14" s="61"/>
      <c r="F14" s="61"/>
      <c r="G14" s="61"/>
      <c r="H14" s="61"/>
      <c r="I14" s="61"/>
      <c r="J14" s="61"/>
      <c r="K14" s="61"/>
    </row>
    <row r="15">
      <c r="A15" s="12"/>
      <c r="B15" s="12"/>
      <c r="C15" s="12"/>
      <c r="D15" s="12"/>
      <c r="E15" s="61"/>
      <c r="F15" s="61"/>
      <c r="G15" s="61"/>
      <c r="H15" s="61"/>
      <c r="I15" s="61"/>
      <c r="J15" s="61"/>
      <c r="K15" s="61"/>
    </row>
    <row r="16">
      <c r="A16" s="12"/>
      <c r="B16" s="12"/>
      <c r="C16" s="12"/>
      <c r="D16" s="12"/>
      <c r="E16" s="61"/>
      <c r="F16" s="61"/>
      <c r="G16" s="61"/>
      <c r="H16" s="61"/>
      <c r="I16" s="61"/>
      <c r="J16" s="61"/>
      <c r="K16" s="61"/>
    </row>
    <row r="17">
      <c r="A17" s="12"/>
      <c r="B17" s="12"/>
      <c r="C17" s="12"/>
      <c r="D17" s="12"/>
      <c r="E17" s="61"/>
      <c r="F17" s="61"/>
      <c r="G17" s="61"/>
      <c r="H17" s="61"/>
      <c r="I17" s="12"/>
      <c r="J17" s="12"/>
      <c r="K17" s="61"/>
    </row>
    <row r="18">
      <c r="A18" s="12"/>
      <c r="B18" s="12"/>
      <c r="C18" s="12"/>
      <c r="D18" s="12"/>
      <c r="E18" s="61"/>
      <c r="F18" s="61"/>
      <c r="G18" s="61"/>
      <c r="H18" s="61"/>
      <c r="I18" s="12"/>
      <c r="J18" s="12"/>
      <c r="K18" s="61"/>
    </row>
  </sheetData>
  <mergeCells count="8">
    <mergeCell ref="B2:K2"/>
    <mergeCell ref="B3:K3"/>
    <mergeCell ref="B4:E4"/>
    <mergeCell ref="G4:K4"/>
    <mergeCell ref="B6:B11"/>
    <mergeCell ref="C6:C11"/>
    <mergeCell ref="D6:D11"/>
    <mergeCell ref="E6:E11"/>
  </mergeCells>
  <hyperlinks>
    <hyperlink r:id="rId4" ref="H9"/>
  </hyperlinks>
  <drawing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7.5"/>
    <col customWidth="1" min="5" max="5" width="3.5"/>
  </cols>
  <sheetData>
    <row r="1" ht="15.0" customHeight="1">
      <c r="A1" s="12"/>
      <c r="B1" s="59"/>
      <c r="C1" s="60"/>
      <c r="D1" s="60"/>
      <c r="E1" s="118"/>
    </row>
    <row r="2" ht="73.5" customHeight="1">
      <c r="A2" s="12"/>
      <c r="B2" s="62"/>
      <c r="C2" s="64"/>
      <c r="D2" s="64"/>
      <c r="E2" s="119"/>
    </row>
    <row r="3">
      <c r="A3" s="12"/>
      <c r="B3" s="65" t="s">
        <v>4</v>
      </c>
      <c r="E3" s="66"/>
    </row>
    <row r="4">
      <c r="A4" s="12"/>
      <c r="B4" s="11" t="s">
        <v>97</v>
      </c>
      <c r="E4" s="66"/>
    </row>
    <row r="5">
      <c r="A5" s="12"/>
      <c r="B5" s="68" t="s">
        <v>98</v>
      </c>
      <c r="C5" s="69" t="s">
        <v>99</v>
      </c>
      <c r="D5" s="70" t="s">
        <v>100</v>
      </c>
      <c r="E5" s="71" t="s">
        <v>101</v>
      </c>
    </row>
    <row r="6">
      <c r="A6" s="12"/>
      <c r="B6" s="164" t="s">
        <v>325</v>
      </c>
      <c r="C6" s="190" t="s">
        <v>326</v>
      </c>
      <c r="D6" s="74" t="s">
        <v>103</v>
      </c>
      <c r="E6" s="24" t="s">
        <v>103</v>
      </c>
    </row>
    <row r="7">
      <c r="A7" s="12"/>
      <c r="B7" s="191" t="s">
        <v>38</v>
      </c>
      <c r="C7" s="192" t="s">
        <v>327</v>
      </c>
      <c r="D7" s="12" t="s">
        <v>103</v>
      </c>
      <c r="E7" s="33" t="s">
        <v>103</v>
      </c>
    </row>
    <row r="8">
      <c r="A8" s="12"/>
      <c r="B8" s="29" t="s">
        <v>48</v>
      </c>
      <c r="C8" s="192" t="s">
        <v>327</v>
      </c>
      <c r="D8" s="12" t="s">
        <v>103</v>
      </c>
      <c r="E8" s="33" t="s">
        <v>103</v>
      </c>
    </row>
    <row r="9">
      <c r="A9" s="12"/>
      <c r="B9" s="29" t="s">
        <v>57</v>
      </c>
      <c r="C9" s="192" t="s">
        <v>327</v>
      </c>
      <c r="D9" s="12" t="s">
        <v>103</v>
      </c>
      <c r="E9" s="33" t="s">
        <v>103</v>
      </c>
    </row>
    <row r="10">
      <c r="A10" s="12"/>
      <c r="B10" s="29" t="s">
        <v>65</v>
      </c>
      <c r="C10" s="12" t="s">
        <v>328</v>
      </c>
      <c r="D10" s="12" t="s">
        <v>103</v>
      </c>
      <c r="E10" s="33" t="s">
        <v>103</v>
      </c>
    </row>
    <row r="11">
      <c r="A11" s="12"/>
      <c r="B11" s="75" t="s">
        <v>73</v>
      </c>
      <c r="C11" s="12" t="s">
        <v>329</v>
      </c>
      <c r="D11" s="12" t="s">
        <v>103</v>
      </c>
      <c r="E11" s="33" t="s">
        <v>103</v>
      </c>
    </row>
    <row r="12">
      <c r="A12" s="12"/>
      <c r="B12" s="77" t="s">
        <v>79</v>
      </c>
      <c r="C12" s="31" t="s">
        <v>330</v>
      </c>
      <c r="D12" s="31" t="s">
        <v>103</v>
      </c>
      <c r="E12" s="78" t="s">
        <v>103</v>
      </c>
    </row>
    <row r="13">
      <c r="A13" s="12"/>
      <c r="B13" s="12"/>
      <c r="C13" s="12"/>
      <c r="D13" s="61"/>
      <c r="E13" s="61"/>
    </row>
  </sheetData>
  <mergeCells count="2">
    <mergeCell ref="B3:E3"/>
    <mergeCell ref="B4:E4"/>
  </mergeCells>
  <hyperlinks>
    <hyperlink r:id="rId4" ref="C7"/>
    <hyperlink r:id="rId5" ref="C8"/>
    <hyperlink r:id="rId6" ref="C9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0"/>
    <col customWidth="1" min="6" max="6" width="3.5"/>
    <col customWidth="1" min="7" max="7" width="32.13"/>
    <col customWidth="1" min="8" max="8" width="25.75"/>
    <col customWidth="1" min="9" max="9" width="61.13"/>
    <col customWidth="1" min="10" max="10" width="26.0"/>
  </cols>
  <sheetData>
    <row r="1" ht="15.0" customHeight="1">
      <c r="A1" s="12" t="s">
        <v>331</v>
      </c>
      <c r="B1" s="59"/>
      <c r="C1" s="59"/>
      <c r="D1" s="60"/>
      <c r="E1" s="60"/>
      <c r="F1" s="118"/>
      <c r="G1" s="118"/>
      <c r="H1" s="118"/>
      <c r="I1" s="118"/>
      <c r="J1" s="118"/>
      <c r="K1" s="118"/>
    </row>
    <row r="2" ht="73.5" customHeight="1">
      <c r="A2" s="12"/>
      <c r="B2" s="62"/>
      <c r="C2" s="63"/>
      <c r="D2" s="64"/>
      <c r="E2" s="64"/>
      <c r="F2" s="193"/>
      <c r="G2" s="63"/>
      <c r="H2" s="63"/>
      <c r="I2" s="63"/>
      <c r="J2" s="63"/>
      <c r="K2" s="194"/>
    </row>
    <row r="3">
      <c r="A3" s="12"/>
      <c r="B3" s="65" t="s">
        <v>332</v>
      </c>
      <c r="K3" s="66"/>
    </row>
    <row r="4">
      <c r="A4" s="12"/>
      <c r="B4" s="67" t="s">
        <v>97</v>
      </c>
      <c r="E4" s="66"/>
      <c r="F4" s="36"/>
      <c r="G4" s="11" t="s">
        <v>110</v>
      </c>
      <c r="K4" s="66"/>
    </row>
    <row r="5">
      <c r="A5" s="12"/>
      <c r="B5" s="68" t="s">
        <v>98</v>
      </c>
      <c r="C5" s="69" t="s">
        <v>247</v>
      </c>
      <c r="D5" s="70" t="s">
        <v>100</v>
      </c>
      <c r="E5" s="71" t="s">
        <v>101</v>
      </c>
      <c r="F5" s="36"/>
      <c r="G5" s="68" t="s">
        <v>98</v>
      </c>
      <c r="H5" s="69" t="s">
        <v>247</v>
      </c>
      <c r="I5" s="69" t="s">
        <v>99</v>
      </c>
      <c r="J5" s="70" t="s">
        <v>100</v>
      </c>
      <c r="K5" s="71" t="s">
        <v>101</v>
      </c>
    </row>
    <row r="6">
      <c r="A6" s="12"/>
      <c r="B6" s="19" t="s">
        <v>5</v>
      </c>
      <c r="C6" s="73" t="s">
        <v>333</v>
      </c>
      <c r="D6" s="74" t="s">
        <v>103</v>
      </c>
      <c r="E6" s="163" t="s">
        <v>103</v>
      </c>
      <c r="F6" s="36"/>
      <c r="G6" s="164" t="s">
        <v>28</v>
      </c>
      <c r="H6" s="190" t="s">
        <v>253</v>
      </c>
      <c r="I6" s="190" t="s">
        <v>334</v>
      </c>
      <c r="J6" s="74" t="s">
        <v>103</v>
      </c>
      <c r="K6" s="24" t="s">
        <v>103</v>
      </c>
    </row>
    <row r="7">
      <c r="A7" s="12"/>
      <c r="B7" s="99"/>
      <c r="C7" s="100"/>
      <c r="D7" s="100"/>
      <c r="E7" s="101"/>
      <c r="F7" s="36"/>
      <c r="G7" s="184" t="s">
        <v>39</v>
      </c>
      <c r="H7" s="34" t="s">
        <v>335</v>
      </c>
      <c r="I7" s="34" t="s">
        <v>336</v>
      </c>
      <c r="J7" s="31" t="s">
        <v>103</v>
      </c>
      <c r="K7" s="78" t="s">
        <v>103</v>
      </c>
    </row>
    <row r="8">
      <c r="A8" s="12"/>
      <c r="B8" s="12"/>
      <c r="C8" s="76"/>
      <c r="D8" s="12"/>
      <c r="E8" s="61"/>
      <c r="F8" s="36"/>
      <c r="G8" s="25"/>
      <c r="H8" s="25"/>
      <c r="I8" s="25"/>
      <c r="J8" s="12"/>
      <c r="K8" s="61"/>
    </row>
    <row r="9">
      <c r="A9" s="12"/>
      <c r="B9" s="12"/>
      <c r="C9" s="36"/>
      <c r="D9" s="12"/>
      <c r="E9" s="61"/>
      <c r="F9" s="36"/>
      <c r="G9" s="25"/>
      <c r="H9" s="25"/>
      <c r="I9" s="25"/>
      <c r="J9" s="12"/>
      <c r="K9" s="61"/>
    </row>
    <row r="10">
      <c r="A10" s="12"/>
      <c r="B10" s="12"/>
      <c r="C10" s="36"/>
      <c r="D10" s="12"/>
      <c r="E10" s="61"/>
      <c r="F10" s="36"/>
      <c r="G10" s="25"/>
      <c r="H10" s="25"/>
      <c r="I10" s="25"/>
      <c r="J10" s="12"/>
      <c r="K10" s="61"/>
    </row>
    <row r="11">
      <c r="A11" s="12"/>
      <c r="B11" s="12"/>
      <c r="C11" s="36"/>
      <c r="D11" s="12"/>
      <c r="E11" s="61"/>
      <c r="F11" s="36"/>
      <c r="G11" s="61"/>
      <c r="H11" s="61"/>
      <c r="I11" s="61"/>
      <c r="J11" s="61"/>
      <c r="K11" s="61"/>
    </row>
    <row r="12">
      <c r="A12" s="12"/>
      <c r="B12" s="12"/>
      <c r="C12" s="12"/>
      <c r="D12" s="12"/>
      <c r="E12" s="61"/>
      <c r="F12" s="61"/>
      <c r="G12" s="61"/>
      <c r="H12" s="61"/>
      <c r="I12" s="61"/>
      <c r="J12" s="61"/>
      <c r="K12" s="61"/>
    </row>
    <row r="13">
      <c r="A13" s="12"/>
      <c r="B13" s="12"/>
      <c r="C13" s="12"/>
      <c r="D13" s="12"/>
      <c r="E13" s="61"/>
      <c r="F13" s="61"/>
      <c r="G13" s="61"/>
      <c r="H13" s="61"/>
      <c r="I13" s="61"/>
      <c r="J13" s="61"/>
      <c r="K13" s="61"/>
    </row>
    <row r="14">
      <c r="A14" s="12"/>
      <c r="B14" s="12"/>
      <c r="C14" s="12"/>
      <c r="D14" s="12"/>
      <c r="E14" s="61"/>
      <c r="F14" s="61"/>
      <c r="G14" s="61"/>
      <c r="H14" s="61"/>
      <c r="I14" s="61"/>
      <c r="J14" s="61"/>
      <c r="K14" s="61"/>
    </row>
    <row r="15">
      <c r="A15" s="12"/>
      <c r="B15" s="12"/>
      <c r="C15" s="12"/>
      <c r="D15" s="12"/>
      <c r="E15" s="61"/>
      <c r="F15" s="61"/>
      <c r="G15" s="61"/>
      <c r="H15" s="61"/>
      <c r="I15" s="61"/>
      <c r="J15" s="61"/>
      <c r="K15" s="61"/>
    </row>
    <row r="16">
      <c r="A16" s="12"/>
      <c r="B16" s="12"/>
      <c r="C16" s="12"/>
      <c r="D16" s="12"/>
      <c r="E16" s="61"/>
      <c r="F16" s="61"/>
      <c r="G16" s="61"/>
      <c r="H16" s="61"/>
      <c r="I16" s="61"/>
      <c r="J16" s="61"/>
      <c r="K16" s="61"/>
    </row>
    <row r="17">
      <c r="A17" s="12"/>
      <c r="B17" s="12"/>
      <c r="C17" s="12"/>
      <c r="D17" s="12"/>
      <c r="E17" s="61"/>
      <c r="F17" s="61"/>
      <c r="G17" s="61"/>
      <c r="H17" s="61"/>
      <c r="I17" s="61"/>
      <c r="J17" s="61"/>
      <c r="K17" s="61"/>
    </row>
    <row r="18">
      <c r="A18" s="12"/>
      <c r="B18" s="12"/>
      <c r="C18" s="12"/>
      <c r="D18" s="12"/>
      <c r="E18" s="61"/>
      <c r="F18" s="61"/>
      <c r="G18" s="61"/>
      <c r="H18" s="61"/>
      <c r="I18" s="61"/>
      <c r="J18" s="61"/>
      <c r="K18" s="61"/>
    </row>
    <row r="19">
      <c r="A19" s="12"/>
      <c r="B19" s="12"/>
      <c r="C19" s="12"/>
      <c r="D19" s="12"/>
      <c r="E19" s="61"/>
      <c r="F19" s="61"/>
      <c r="G19" s="12"/>
      <c r="H19" s="12"/>
      <c r="I19" s="12"/>
      <c r="J19" s="12"/>
      <c r="K19" s="61"/>
    </row>
    <row r="20">
      <c r="A20" s="12"/>
      <c r="B20" s="12"/>
      <c r="C20" s="12"/>
      <c r="D20" s="12"/>
      <c r="E20" s="61"/>
      <c r="F20" s="36"/>
    </row>
  </sheetData>
  <mergeCells count="9">
    <mergeCell ref="D6:D7"/>
    <mergeCell ref="E6:E7"/>
    <mergeCell ref="B2:C2"/>
    <mergeCell ref="F2:K2"/>
    <mergeCell ref="B3:K3"/>
    <mergeCell ref="B4:E4"/>
    <mergeCell ref="G4:K4"/>
    <mergeCell ref="B6:B7"/>
    <mergeCell ref="C6:C7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0"/>
  </cols>
  <sheetData>
    <row r="1" ht="15.0" customHeight="1">
      <c r="A1" s="12" t="s">
        <v>331</v>
      </c>
      <c r="B1" s="59"/>
      <c r="C1" s="59"/>
      <c r="D1" s="60"/>
      <c r="E1" s="60"/>
    </row>
    <row r="2" ht="73.5" customHeight="1">
      <c r="A2" s="12"/>
      <c r="B2" s="62"/>
      <c r="C2" s="63"/>
      <c r="D2" s="64"/>
      <c r="E2" s="64"/>
    </row>
    <row r="3">
      <c r="A3" s="195"/>
      <c r="B3" s="196" t="s">
        <v>6</v>
      </c>
      <c r="E3" s="66"/>
    </row>
    <row r="4">
      <c r="A4" s="195"/>
      <c r="B4" s="197" t="s">
        <v>97</v>
      </c>
      <c r="E4" s="66"/>
    </row>
    <row r="5">
      <c r="A5" s="195"/>
      <c r="B5" s="198" t="s">
        <v>98</v>
      </c>
      <c r="C5" s="199" t="s">
        <v>99</v>
      </c>
      <c r="D5" s="200" t="s">
        <v>100</v>
      </c>
      <c r="E5" s="201" t="s">
        <v>101</v>
      </c>
    </row>
    <row r="6">
      <c r="A6" s="195"/>
      <c r="B6" s="19" t="s">
        <v>29</v>
      </c>
      <c r="C6" s="25" t="s">
        <v>337</v>
      </c>
      <c r="D6" s="202" t="s">
        <v>103</v>
      </c>
      <c r="E6" s="203" t="s">
        <v>103</v>
      </c>
    </row>
    <row r="7">
      <c r="A7" s="195"/>
      <c r="B7" s="204" t="s">
        <v>40</v>
      </c>
      <c r="C7" s="25" t="s">
        <v>338</v>
      </c>
      <c r="E7" s="66"/>
    </row>
    <row r="8">
      <c r="A8" s="195"/>
      <c r="B8" s="205" t="s">
        <v>49</v>
      </c>
      <c r="C8" s="34" t="s">
        <v>339</v>
      </c>
      <c r="D8" s="100"/>
      <c r="E8" s="101"/>
    </row>
    <row r="9">
      <c r="A9" s="12"/>
      <c r="B9" s="12"/>
      <c r="C9" s="76"/>
      <c r="D9" s="12"/>
      <c r="E9" s="61"/>
    </row>
    <row r="10">
      <c r="A10" s="12"/>
      <c r="B10" s="12"/>
      <c r="C10" s="36"/>
      <c r="D10" s="12"/>
      <c r="E10" s="61"/>
    </row>
    <row r="11">
      <c r="A11" s="12"/>
      <c r="B11" s="12"/>
      <c r="C11" s="36"/>
      <c r="D11" s="12"/>
      <c r="E11" s="61"/>
    </row>
    <row r="12">
      <c r="A12" s="12"/>
      <c r="B12" s="12"/>
      <c r="C12" s="36"/>
      <c r="D12" s="12"/>
      <c r="E12" s="61"/>
    </row>
    <row r="13">
      <c r="A13" s="12"/>
      <c r="B13" s="12"/>
      <c r="C13" s="12"/>
      <c r="D13" s="12"/>
      <c r="E13" s="61"/>
    </row>
    <row r="14">
      <c r="A14" s="12"/>
      <c r="B14" s="12"/>
      <c r="C14" s="12"/>
      <c r="D14" s="12"/>
      <c r="E14" s="61"/>
    </row>
    <row r="15">
      <c r="A15" s="12"/>
      <c r="B15" s="12"/>
      <c r="C15" s="12"/>
      <c r="D15" s="12"/>
      <c r="E15" s="61"/>
    </row>
    <row r="16">
      <c r="A16" s="12"/>
      <c r="B16" s="12"/>
      <c r="C16" s="12"/>
      <c r="D16" s="12"/>
      <c r="E16" s="61"/>
    </row>
    <row r="17">
      <c r="A17" s="12"/>
      <c r="B17" s="12"/>
      <c r="C17" s="12"/>
      <c r="D17" s="12"/>
      <c r="E17" s="61"/>
    </row>
    <row r="18">
      <c r="A18" s="12"/>
      <c r="B18" s="12"/>
      <c r="C18" s="12"/>
      <c r="D18" s="12"/>
      <c r="E18" s="61"/>
    </row>
    <row r="19">
      <c r="A19" s="12"/>
      <c r="B19" s="12"/>
      <c r="C19" s="12"/>
      <c r="D19" s="12"/>
      <c r="E19" s="61"/>
    </row>
    <row r="20">
      <c r="A20" s="12"/>
      <c r="B20" s="12"/>
      <c r="C20" s="12"/>
      <c r="D20" s="12"/>
      <c r="E20" s="61"/>
    </row>
    <row r="21">
      <c r="A21" s="12"/>
      <c r="B21" s="12"/>
      <c r="C21" s="12"/>
      <c r="D21" s="12"/>
      <c r="E21" s="61"/>
    </row>
  </sheetData>
  <mergeCells count="5">
    <mergeCell ref="B2:C2"/>
    <mergeCell ref="B3:E3"/>
    <mergeCell ref="B4:E4"/>
    <mergeCell ref="D6:D8"/>
    <mergeCell ref="E6:E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1.5"/>
    <col customWidth="1" min="3" max="4" width="40.13"/>
    <col customWidth="1" min="5" max="5" width="22.63"/>
    <col customWidth="1" min="7" max="7" width="3.5"/>
  </cols>
  <sheetData>
    <row r="1" ht="15.0" customHeight="1">
      <c r="A1" s="12"/>
      <c r="B1" s="59"/>
      <c r="C1" s="59"/>
      <c r="D1" s="59"/>
      <c r="E1" s="60"/>
      <c r="F1" s="60"/>
      <c r="G1" s="118"/>
    </row>
    <row r="2" ht="73.5" customHeight="1">
      <c r="A2" s="12"/>
      <c r="B2" s="62"/>
      <c r="C2" s="63"/>
      <c r="D2" s="206"/>
      <c r="E2" s="64"/>
      <c r="F2" s="64"/>
      <c r="G2" s="119"/>
    </row>
    <row r="3">
      <c r="A3" s="12"/>
      <c r="B3" s="65" t="s">
        <v>89</v>
      </c>
      <c r="G3" s="66"/>
    </row>
    <row r="4">
      <c r="A4" s="12"/>
      <c r="B4" s="67" t="s">
        <v>97</v>
      </c>
      <c r="F4" s="66"/>
      <c r="G4" s="36"/>
    </row>
    <row r="5">
      <c r="A5" s="12"/>
      <c r="B5" s="121" t="s">
        <v>98</v>
      </c>
      <c r="C5" s="122" t="s">
        <v>247</v>
      </c>
      <c r="D5" s="122" t="s">
        <v>99</v>
      </c>
      <c r="E5" s="123" t="s">
        <v>100</v>
      </c>
      <c r="F5" s="124" t="s">
        <v>101</v>
      </c>
      <c r="G5" s="36"/>
    </row>
    <row r="6">
      <c r="A6" s="12"/>
      <c r="B6" s="207" t="s">
        <v>5</v>
      </c>
      <c r="C6" s="208" t="s">
        <v>253</v>
      </c>
      <c r="D6" s="208" t="s">
        <v>333</v>
      </c>
      <c r="E6" s="208" t="s">
        <v>103</v>
      </c>
      <c r="F6" s="209" t="s">
        <v>103</v>
      </c>
      <c r="G6" s="36"/>
    </row>
    <row r="7">
      <c r="A7" s="12"/>
      <c r="B7" s="210" t="s">
        <v>73</v>
      </c>
      <c r="C7" s="175" t="s">
        <v>329</v>
      </c>
      <c r="D7" s="175" t="s">
        <v>329</v>
      </c>
      <c r="E7" s="175" t="s">
        <v>103</v>
      </c>
      <c r="F7" s="176" t="s">
        <v>103</v>
      </c>
      <c r="G7" s="36"/>
    </row>
    <row r="8">
      <c r="A8" s="12"/>
      <c r="B8" s="210" t="s">
        <v>7</v>
      </c>
      <c r="C8" s="175" t="s">
        <v>253</v>
      </c>
      <c r="D8" s="175" t="s">
        <v>340</v>
      </c>
      <c r="E8" s="175" t="s">
        <v>103</v>
      </c>
      <c r="F8" s="176" t="s">
        <v>103</v>
      </c>
      <c r="G8" s="36"/>
    </row>
    <row r="9">
      <c r="A9" s="12"/>
      <c r="B9" s="210" t="s">
        <v>49</v>
      </c>
      <c r="C9" s="175" t="s">
        <v>253</v>
      </c>
      <c r="D9" s="175" t="s">
        <v>339</v>
      </c>
      <c r="E9" s="60"/>
      <c r="F9" s="211"/>
      <c r="G9" s="36"/>
    </row>
    <row r="10">
      <c r="A10" s="12"/>
      <c r="B10" s="210" t="s">
        <v>40</v>
      </c>
      <c r="C10" s="175" t="s">
        <v>341</v>
      </c>
      <c r="D10" s="175" t="s">
        <v>338</v>
      </c>
      <c r="E10" s="175" t="s">
        <v>103</v>
      </c>
      <c r="F10" s="176" t="s">
        <v>103</v>
      </c>
      <c r="G10" s="36"/>
    </row>
    <row r="11">
      <c r="A11" s="12"/>
      <c r="B11" s="210" t="s">
        <v>72</v>
      </c>
      <c r="C11" s="175" t="s">
        <v>253</v>
      </c>
      <c r="D11" s="175" t="s">
        <v>324</v>
      </c>
      <c r="E11" s="175" t="s">
        <v>103</v>
      </c>
      <c r="F11" s="176" t="s">
        <v>103</v>
      </c>
      <c r="G11" s="36"/>
    </row>
    <row r="12">
      <c r="A12" s="12"/>
      <c r="B12" s="210" t="s">
        <v>95</v>
      </c>
      <c r="C12" s="212" t="s">
        <v>342</v>
      </c>
      <c r="D12" s="212" t="s">
        <v>342</v>
      </c>
      <c r="E12" s="175" t="s">
        <v>103</v>
      </c>
      <c r="F12" s="176" t="s">
        <v>103</v>
      </c>
      <c r="G12" s="36"/>
    </row>
    <row r="13">
      <c r="A13" s="12"/>
      <c r="B13" s="210" t="s">
        <v>79</v>
      </c>
      <c r="C13" s="175" t="s">
        <v>330</v>
      </c>
      <c r="D13" s="175" t="s">
        <v>343</v>
      </c>
      <c r="E13" s="175" t="s">
        <v>103</v>
      </c>
      <c r="F13" s="176" t="s">
        <v>103</v>
      </c>
      <c r="G13" s="36"/>
    </row>
    <row r="14">
      <c r="A14" s="12"/>
      <c r="B14" s="210" t="s">
        <v>92</v>
      </c>
      <c r="C14" s="175" t="s">
        <v>344</v>
      </c>
      <c r="D14" s="175" t="s">
        <v>344</v>
      </c>
      <c r="E14" s="175" t="s">
        <v>103</v>
      </c>
      <c r="F14" s="176" t="s">
        <v>103</v>
      </c>
      <c r="G14" s="36"/>
    </row>
    <row r="15">
      <c r="A15" s="12"/>
      <c r="B15" s="210" t="s">
        <v>93</v>
      </c>
      <c r="C15" s="175" t="s">
        <v>345</v>
      </c>
      <c r="D15" s="175" t="s">
        <v>345</v>
      </c>
      <c r="E15" s="175" t="s">
        <v>103</v>
      </c>
      <c r="F15" s="213" t="s">
        <v>103</v>
      </c>
      <c r="G15" s="36"/>
    </row>
    <row r="16">
      <c r="A16" s="12"/>
      <c r="B16" s="214" t="s">
        <v>94</v>
      </c>
      <c r="C16" s="215" t="s">
        <v>346</v>
      </c>
      <c r="D16" s="215" t="s">
        <v>346</v>
      </c>
      <c r="E16" s="215" t="s">
        <v>103</v>
      </c>
      <c r="F16" s="216" t="s">
        <v>103</v>
      </c>
      <c r="G16" s="12"/>
    </row>
    <row r="17">
      <c r="A17" s="12"/>
      <c r="B17" s="12"/>
      <c r="C17" s="12"/>
      <c r="D17" s="12"/>
      <c r="E17" s="12"/>
      <c r="F17" s="61"/>
      <c r="G17" s="12"/>
    </row>
    <row r="18">
      <c r="A18" s="12"/>
      <c r="B18" s="12"/>
      <c r="C18" s="12"/>
      <c r="D18" s="12"/>
      <c r="E18" s="12"/>
      <c r="F18" s="61"/>
      <c r="G18" s="12"/>
    </row>
    <row r="19">
      <c r="A19" s="12"/>
      <c r="B19" s="12"/>
      <c r="C19" s="12"/>
      <c r="D19" s="12"/>
      <c r="E19" s="12"/>
      <c r="F19" s="61"/>
      <c r="G19" s="12"/>
    </row>
    <row r="20">
      <c r="A20" s="12"/>
      <c r="B20" s="12"/>
      <c r="C20" s="12"/>
      <c r="D20" s="12"/>
      <c r="E20" s="12"/>
      <c r="F20" s="61"/>
      <c r="G20" s="12"/>
    </row>
    <row r="21">
      <c r="A21" s="12"/>
      <c r="B21" s="12"/>
      <c r="C21" s="12"/>
      <c r="D21" s="12"/>
      <c r="E21" s="12"/>
      <c r="F21" s="61"/>
      <c r="G21" s="12"/>
    </row>
    <row r="22">
      <c r="A22" s="12"/>
      <c r="B22" s="12"/>
      <c r="C22" s="12"/>
      <c r="D22" s="12"/>
      <c r="E22" s="12"/>
      <c r="F22" s="61"/>
      <c r="G22" s="12"/>
    </row>
    <row r="23">
      <c r="A23" s="12"/>
      <c r="B23" s="12"/>
      <c r="C23" s="12"/>
      <c r="D23" s="12"/>
      <c r="E23" s="12"/>
      <c r="F23" s="61"/>
      <c r="G23" s="12"/>
    </row>
    <row r="24">
      <c r="A24" s="12"/>
      <c r="B24" s="12"/>
      <c r="C24" s="12"/>
      <c r="D24" s="12"/>
      <c r="E24" s="12"/>
      <c r="F24" s="61"/>
      <c r="G24" s="12"/>
    </row>
    <row r="25">
      <c r="A25" s="12"/>
      <c r="B25" s="12"/>
      <c r="C25" s="12"/>
      <c r="D25" s="12"/>
      <c r="E25" s="12"/>
      <c r="F25" s="61"/>
      <c r="G25" s="36"/>
    </row>
    <row r="26">
      <c r="A26" s="12"/>
      <c r="B26" s="12"/>
      <c r="C26" s="12"/>
      <c r="D26" s="12"/>
      <c r="E26" s="12"/>
      <c r="F26" s="61"/>
      <c r="G26" s="36"/>
    </row>
    <row r="27">
      <c r="A27" s="12"/>
      <c r="B27" s="12"/>
      <c r="C27" s="12"/>
      <c r="D27" s="12"/>
      <c r="E27" s="12"/>
      <c r="F27" s="61"/>
      <c r="G27" s="36"/>
    </row>
    <row r="28">
      <c r="A28" s="12"/>
      <c r="B28" s="12"/>
      <c r="C28" s="12"/>
      <c r="D28" s="12"/>
      <c r="E28" s="12"/>
      <c r="F28" s="61"/>
      <c r="G28" s="36"/>
    </row>
    <row r="29">
      <c r="A29" s="12"/>
      <c r="B29" s="12"/>
      <c r="C29" s="12"/>
      <c r="D29" s="12"/>
      <c r="E29" s="12"/>
      <c r="F29" s="61"/>
      <c r="G29" s="36"/>
    </row>
    <row r="30">
      <c r="A30" s="12"/>
      <c r="B30" s="12"/>
      <c r="C30" s="12"/>
      <c r="D30" s="12"/>
      <c r="E30" s="12"/>
      <c r="F30" s="61"/>
      <c r="G30" s="36"/>
    </row>
    <row r="31">
      <c r="A31" s="12"/>
      <c r="B31" s="12"/>
      <c r="C31" s="12"/>
      <c r="D31" s="12"/>
      <c r="E31" s="12"/>
      <c r="F31" s="61"/>
      <c r="G31" s="36"/>
    </row>
    <row r="32">
      <c r="A32" s="12"/>
      <c r="B32" s="12"/>
      <c r="C32" s="12"/>
      <c r="D32" s="12"/>
      <c r="E32" s="12"/>
      <c r="F32" s="61"/>
      <c r="G32" s="36"/>
    </row>
    <row r="33">
      <c r="A33" s="12"/>
      <c r="B33" s="12"/>
      <c r="C33" s="12"/>
      <c r="D33" s="12"/>
      <c r="E33" s="12"/>
      <c r="F33" s="61"/>
      <c r="G33" s="36"/>
    </row>
    <row r="34">
      <c r="A34" s="12"/>
      <c r="B34" s="12"/>
      <c r="C34" s="12"/>
      <c r="D34" s="12"/>
      <c r="E34" s="12"/>
      <c r="F34" s="61"/>
      <c r="G34" s="36"/>
    </row>
  </sheetData>
  <mergeCells count="3">
    <mergeCell ref="B2:C2"/>
    <mergeCell ref="B3:G3"/>
    <mergeCell ref="B4:F4"/>
  </mergeCells>
  <conditionalFormatting sqref="C16:D16">
    <cfRule type="notContainsBlanks" dxfId="0" priority="1">
      <formula>LEN(TRIM(C16))&gt;0</formula>
    </cfRule>
  </conditionalFormatting>
  <hyperlinks>
    <hyperlink r:id="rId1" ref="C12"/>
    <hyperlink r:id="rId2" ref="D12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2.13"/>
    <col customWidth="1" hidden="1" min="2" max="2" width="91.25"/>
    <col customWidth="1" min="3" max="3" width="93.5"/>
  </cols>
  <sheetData>
    <row r="1">
      <c r="A1" s="217" t="s">
        <v>347</v>
      </c>
      <c r="C1" s="142" t="s">
        <v>347</v>
      </c>
    </row>
    <row r="2">
      <c r="A2" s="218" t="s">
        <v>348</v>
      </c>
      <c r="B2" s="219" t="str">
        <f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220" t="str">
        <f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219" t="s">
        <v>349</v>
      </c>
      <c r="E2" s="219" t="str">
        <f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>
      <c r="A3" s="221" t="s">
        <v>350</v>
      </c>
      <c r="B3" s="219" t="str">
        <f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220" t="str">
        <f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219" t="s">
        <v>351</v>
      </c>
      <c r="E3" s="219" t="str">
        <f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>
      <c r="A4" s="221" t="s">
        <v>352</v>
      </c>
      <c r="B4" s="219" t="str">
        <f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220" t="str">
        <f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219" t="s">
        <v>353</v>
      </c>
      <c r="E4" s="219" t="str">
        <f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>
      <c r="A5" s="221" t="s">
        <v>354</v>
      </c>
      <c r="B5" s="219" t="str">
        <f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220" t="str">
        <f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219" t="s">
        <v>355</v>
      </c>
      <c r="E5" s="219" t="str">
        <f>IFERROR(__xludf.DUMMYFUNCTION("REGEXREPLACE(D5, ""https://odysia-cruise-uk.client.prod.eu-west.dreamlake.io"", """")"),"/cruise-lines/holland-america-line/zaandam")</f>
        <v>/cruise-lines/holland-america-line/zaandam</v>
      </c>
    </row>
    <row r="6">
      <c r="A6" s="221" t="s">
        <v>356</v>
      </c>
      <c r="B6" s="219" t="str">
        <f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220" t="str">
        <f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219" t="s">
        <v>357</v>
      </c>
      <c r="E6" s="219" t="str">
        <f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>
      <c r="A7" s="221" t="s">
        <v>358</v>
      </c>
      <c r="B7" s="219" t="str">
        <f>IFERROR(__xludf.DUMMYFUNCTION("REGEXREPLACE(A7, ""&lt;loc&gt;"", """")"),"https://odysia-cruise-uk.client.prod.eu-west.dreamlake.io&lt;/loc&gt;")</f>
        <v>https://odysia-cruise-uk.client.prod.eu-west.dreamlake.io&lt;/loc&gt;</v>
      </c>
      <c r="C7" s="220" t="str">
        <f>IFERROR(__xludf.DUMMYFUNCTION("REGEXREPLACE(B7, ""&lt;/loc&gt;"", """")"),"https://odysia-cruise-uk.client.prod.eu-west.dreamlake.io")</f>
        <v>https://odysia-cruise-uk.client.prod.eu-west.dreamlake.io</v>
      </c>
    </row>
    <row r="8">
      <c r="A8" s="221" t="s">
        <v>359</v>
      </c>
      <c r="B8" s="219" t="str">
        <f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220" t="str">
        <f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222" t="s">
        <v>360</v>
      </c>
      <c r="E8" s="219" t="str">
        <f>IFERROR(__xludf.DUMMYFUNCTION("REGEXREPLACE(D8, ""https://odysia-cruise-uk.client.prod.eu-west.dreamlake.io"", """")"),"/cruise-lines/msc-cruises/msc-armonia")</f>
        <v>/cruise-lines/msc-cruises/msc-armonia</v>
      </c>
    </row>
    <row r="9">
      <c r="A9" s="221" t="s">
        <v>361</v>
      </c>
      <c r="B9" s="219" t="str">
        <f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220" t="str">
        <f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>
      <c r="A10" s="221" t="s">
        <v>362</v>
      </c>
      <c r="B10" s="219" t="str">
        <f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220" t="str">
        <f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219" t="s">
        <v>363</v>
      </c>
      <c r="E10" s="219" t="str">
        <f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>
      <c r="A11" s="221" t="s">
        <v>364</v>
      </c>
      <c r="B11" s="219" t="str">
        <f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220" t="str">
        <f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219" t="s">
        <v>365</v>
      </c>
      <c r="E11" s="219" t="str">
        <f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>
      <c r="A12" s="221" t="s">
        <v>366</v>
      </c>
      <c r="B12" s="219" t="str">
        <f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220" t="str">
        <f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219" t="s">
        <v>367</v>
      </c>
      <c r="E12" s="219" t="str">
        <f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>
      <c r="A13" s="221" t="s">
        <v>368</v>
      </c>
      <c r="B13" s="219" t="str">
        <f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220" t="str">
        <f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219" t="s">
        <v>369</v>
      </c>
      <c r="E13" s="219" t="str">
        <f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>
      <c r="A14" s="221" t="s">
        <v>370</v>
      </c>
      <c r="B14" s="219" t="str">
        <f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220" t="str">
        <f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219" t="s">
        <v>371</v>
      </c>
      <c r="E14" s="219" t="str">
        <f>IFERROR(__xludf.DUMMYFUNCTION("REGEXREPLACE(D14, ""https://odysia-cruise-uk.client.prod.eu-west.dreamlake.io"", """")"),"/cruise-lines/virgin-voyages/resilient-lady")</f>
        <v>/cruise-lines/virgin-voyages/resilient-lady</v>
      </c>
    </row>
    <row r="15">
      <c r="A15" s="221" t="s">
        <v>372</v>
      </c>
      <c r="B15" s="219" t="str">
        <f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220" t="str">
        <f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219" t="s">
        <v>373</v>
      </c>
      <c r="E15" s="219" t="str">
        <f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>
      <c r="A16" s="221" t="s">
        <v>374</v>
      </c>
      <c r="B16" s="219" t="str">
        <f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220" t="str">
        <f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219" t="s">
        <v>375</v>
      </c>
      <c r="E16" s="219" t="str">
        <f>IFERROR(__xludf.DUMMYFUNCTION("REGEXREPLACE(D16, ""https://odysia-cruise-uk.client.prod.eu-west.dreamlake.io"", """")"),"/cruise-lines/cunard/cruises")</f>
        <v>/cruise-lines/cunard/cruises</v>
      </c>
    </row>
    <row r="17">
      <c r="A17" s="221" t="s">
        <v>376</v>
      </c>
      <c r="B17" s="219" t="str">
        <f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220" t="str">
        <f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219" t="s">
        <v>377</v>
      </c>
      <c r="E17" s="219" t="str">
        <f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>
      <c r="A18" s="221" t="s">
        <v>378</v>
      </c>
      <c r="B18" s="219" t="str">
        <f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220" t="str">
        <f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219" t="s">
        <v>379</v>
      </c>
      <c r="E18" s="219" t="str">
        <f>IFERROR(__xludf.DUMMYFUNCTION("REGEXREPLACE(D18, ""https://odysia-cruise-uk.client.prod.eu-west.dreamlake.io"", """")"),"/cruise-lines/royal-caribbean/icon-of-the-seas")</f>
        <v>/cruise-lines/royal-caribbean/icon-of-the-seas</v>
      </c>
    </row>
    <row r="19">
      <c r="A19" s="221" t="s">
        <v>380</v>
      </c>
      <c r="B19" s="219" t="str">
        <f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220" t="str">
        <f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219" t="s">
        <v>381</v>
      </c>
      <c r="E19" s="219" t="str">
        <f>IFERROR(__xludf.DUMMYFUNCTION("REGEXREPLACE(D19, ""https://odysia-cruise-uk.client.prod.eu-west.dreamlake.io"", """")"),"/cruise-lines/princess-cruises/regal-princess")</f>
        <v>/cruise-lines/princess-cruises/regal-princess</v>
      </c>
    </row>
    <row r="20">
      <c r="A20" s="221" t="s">
        <v>382</v>
      </c>
      <c r="B20" s="219" t="str">
        <f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220" t="str">
        <f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219" t="s">
        <v>383</v>
      </c>
      <c r="E20" s="219" t="str">
        <f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>
      <c r="A21" s="221" t="s">
        <v>384</v>
      </c>
      <c r="B21" s="219" t="str">
        <f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220" t="str">
        <f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219" t="s">
        <v>385</v>
      </c>
      <c r="E21" s="219" t="str">
        <f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>
      <c r="A22" s="221" t="s">
        <v>386</v>
      </c>
      <c r="B22" s="219" t="str">
        <f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220" t="str">
        <f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219" t="s">
        <v>387</v>
      </c>
      <c r="E22" s="219" t="str">
        <f>IFERROR(__xludf.DUMMYFUNCTION("REGEXREPLACE(D22, ""https://odysia-cruise-uk.client.prod.eu-west.dreamlake.io"", """")"),"/cruise-lines/cunard/queen-anne/cruises")</f>
        <v>/cruise-lines/cunard/queen-anne/cruises</v>
      </c>
    </row>
    <row r="23">
      <c r="A23" s="221" t="s">
        <v>388</v>
      </c>
      <c r="B23" s="219" t="str">
        <f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220" t="str">
        <f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219" t="s">
        <v>389</v>
      </c>
      <c r="E23" s="219" t="str">
        <f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>
      <c r="A24" s="221" t="s">
        <v>390</v>
      </c>
      <c r="B24" s="219" t="str">
        <f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220" t="str">
        <f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>
      <c r="A25" s="221" t="s">
        <v>391</v>
      </c>
      <c r="B25" s="219" t="str">
        <f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220" t="str">
        <f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219" t="s">
        <v>392</v>
      </c>
      <c r="E25" s="219" t="str">
        <f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>
      <c r="A26" s="221" t="s">
        <v>393</v>
      </c>
      <c r="B26" s="219" t="str">
        <f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220" t="str">
        <f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219" t="s">
        <v>394</v>
      </c>
      <c r="E26" s="219" t="str">
        <f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>
      <c r="A27" s="221" t="s">
        <v>395</v>
      </c>
      <c r="B27" s="219" t="str">
        <f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220" t="str">
        <f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>
      <c r="A28" s="221" t="s">
        <v>396</v>
      </c>
      <c r="B28" s="219" t="str">
        <f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220" t="str">
        <f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219" t="s">
        <v>397</v>
      </c>
      <c r="E28" s="219" t="str">
        <f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>
      <c r="A29" s="221" t="s">
        <v>398</v>
      </c>
      <c r="B29" s="219" t="str">
        <f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220" t="str">
        <f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219" t="s">
        <v>399</v>
      </c>
      <c r="E29" s="219" t="str">
        <f>IFERROR(__xludf.DUMMYFUNCTION("REGEXREPLACE(D29, ""https://odysia-cruise-uk.client.prod.eu-west.dreamlake.io"", """")"),"/cruise-lines/holland-america-line/rotterdam")</f>
        <v>/cruise-lines/holland-america-line/rotterdam</v>
      </c>
    </row>
    <row r="30">
      <c r="A30" s="221" t="s">
        <v>400</v>
      </c>
      <c r="B30" s="219" t="str">
        <f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220" t="str">
        <f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219" t="s">
        <v>401</v>
      </c>
      <c r="E30" s="219" t="str">
        <f>IFERROR(__xludf.DUMMYFUNCTION("REGEXREPLACE(D30, ""https://odysia-cruise-uk.client.prod.eu-west.dreamlake.io"", """")"),"/cruise-lines/royal-caribbean/anthem-of-the-seas")</f>
        <v>/cruise-lines/royal-caribbean/anthem-of-the-seas</v>
      </c>
    </row>
    <row r="31">
      <c r="A31" s="221" t="s">
        <v>402</v>
      </c>
      <c r="B31" s="219" t="str">
        <f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220" t="str">
        <f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219" t="s">
        <v>403</v>
      </c>
    </row>
    <row r="32">
      <c r="A32" s="221" t="s">
        <v>404</v>
      </c>
      <c r="B32" s="219" t="str">
        <f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220" t="str">
        <f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219" t="s">
        <v>405</v>
      </c>
      <c r="E32" s="219" t="str">
        <f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>
      <c r="A33" s="221" t="s">
        <v>406</v>
      </c>
      <c r="B33" s="219" t="str">
        <f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220" t="str">
        <f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219" t="s">
        <v>407</v>
      </c>
      <c r="E33" s="219" t="str">
        <f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>
      <c r="A34" s="221" t="s">
        <v>408</v>
      </c>
      <c r="B34" s="219" t="str">
        <f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220" t="str">
        <f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219" t="s">
        <v>409</v>
      </c>
      <c r="E34" s="219" t="str">
        <f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>
      <c r="A35" s="221" t="s">
        <v>410</v>
      </c>
      <c r="B35" s="219" t="str">
        <f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220" t="str">
        <f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219" t="s">
        <v>411</v>
      </c>
      <c r="E35" s="219" t="str">
        <f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>
      <c r="A36" s="221" t="s">
        <v>412</v>
      </c>
      <c r="B36" s="219" t="str">
        <f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220" t="str">
        <f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219" t="s">
        <v>413</v>
      </c>
      <c r="E36" s="219" t="str">
        <f>IFERROR(__xludf.DUMMYFUNCTION("REGEXREPLACE(D36, ""https://odysia-cruise-uk.client.prod.eu-west.dreamlake.io"", """")"),"/cruise-lines/msc-cruises/msc-splendida/cruises")</f>
        <v>/cruise-lines/msc-cruises/msc-splendida/cruises</v>
      </c>
    </row>
    <row r="37">
      <c r="A37" s="221" t="s">
        <v>414</v>
      </c>
      <c r="B37" s="219" t="str">
        <f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220" t="str">
        <f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219" t="s">
        <v>415</v>
      </c>
      <c r="E37" s="219" t="str">
        <f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>
      <c r="A38" s="221" t="s">
        <v>416</v>
      </c>
      <c r="B38" s="219" t="str">
        <f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220" t="str">
        <f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219" t="s">
        <v>417</v>
      </c>
      <c r="E38" s="219" t="str">
        <f>IFERROR(__xludf.DUMMYFUNCTION("REGEXREPLACE(D38, ""https://odysia-cruise-uk.client.prod.eu-west.dreamlake.io"", """")"),"/cruise-lines/msc-cruises/msc-seascape")</f>
        <v>/cruise-lines/msc-cruises/msc-seascape</v>
      </c>
    </row>
    <row r="39">
      <c r="A39" s="221" t="s">
        <v>418</v>
      </c>
      <c r="B39" s="219" t="str">
        <f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220" t="str">
        <f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219" t="s">
        <v>419</v>
      </c>
      <c r="E39" s="219" t="str">
        <f>IFERROR(__xludf.DUMMYFUNCTION("REGEXREPLACE(D39, ""https://odysia-cruise-uk.client.prod.eu-west.dreamlake.io"", """")"),"/cruise-lines/msc-cruises/cruises")</f>
        <v>/cruise-lines/msc-cruises/cruises</v>
      </c>
    </row>
    <row r="40">
      <c r="A40" s="221" t="s">
        <v>420</v>
      </c>
      <c r="B40" s="219" t="str">
        <f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220" t="str">
        <f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219" t="s">
        <v>421</v>
      </c>
      <c r="E40" s="219" t="str">
        <f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>
      <c r="A41" s="221" t="s">
        <v>422</v>
      </c>
      <c r="B41" s="219" t="str">
        <f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220" t="str">
        <f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219" t="s">
        <v>423</v>
      </c>
    </row>
    <row r="42">
      <c r="A42" s="221" t="s">
        <v>424</v>
      </c>
      <c r="B42" s="219" t="str">
        <f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220" t="str">
        <f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219" t="s">
        <v>425</v>
      </c>
      <c r="E42" s="219" t="str">
        <f>IFERROR(__xludf.DUMMYFUNCTION("REGEXREPLACE(D42, ""https://odysia-cruise-uk.client.prod.eu-west.dreamlake.io"", """")"),"/cruise-lines/virgin-voyages/cruises")</f>
        <v>/cruise-lines/virgin-voyages/cruises</v>
      </c>
    </row>
    <row r="43">
      <c r="A43" s="221" t="s">
        <v>426</v>
      </c>
      <c r="B43" s="219" t="str">
        <f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220" t="str">
        <f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219" t="s">
        <v>427</v>
      </c>
      <c r="E43" s="219" t="str">
        <f>IFERROR(__xludf.DUMMYFUNCTION("REGEXREPLACE(D43, ""https://odysia-cruise-uk.client.prod.eu-west.dreamlake.io"", """")"),"/cruise-lines/royal-caribbean/vision-of-the-seas")</f>
        <v>/cruise-lines/royal-caribbean/vision-of-the-seas</v>
      </c>
    </row>
    <row r="44">
      <c r="A44" s="221" t="s">
        <v>428</v>
      </c>
      <c r="B44" s="219" t="str">
        <f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220" t="str">
        <f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219" t="s">
        <v>429</v>
      </c>
      <c r="E44" s="219" t="str">
        <f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>
      <c r="A45" s="221" t="s">
        <v>430</v>
      </c>
      <c r="B45" s="219" t="str">
        <f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220" t="str">
        <f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219" t="s">
        <v>431</v>
      </c>
      <c r="E45" s="219" t="str">
        <f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>
      <c r="A46" s="221" t="s">
        <v>432</v>
      </c>
      <c r="B46" s="219" t="str">
        <f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220" t="str">
        <f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219" t="s">
        <v>433</v>
      </c>
      <c r="E46" s="219" t="str">
        <f>IFERROR(__xludf.DUMMYFUNCTION("REGEXREPLACE(D46, ""https://odysia-cruise-uk.client.prod.eu-west.dreamlake.io"", """")"),"/cruise-lines/holland-america-line/eurodam")</f>
        <v>/cruise-lines/holland-america-line/eurodam</v>
      </c>
    </row>
    <row r="47">
      <c r="A47" s="221" t="s">
        <v>434</v>
      </c>
      <c r="B47" s="219" t="str">
        <f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220" t="str">
        <f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219" t="s">
        <v>435</v>
      </c>
      <c r="E47" s="219" t="str">
        <f>IFERROR(__xludf.DUMMYFUNCTION("REGEXREPLACE(D47, ""https://odysia-cruise-uk.client.prod.eu-west.dreamlake.io"", """")"),"/cruise-lines/princess-cruises/majestic-princess")</f>
        <v>/cruise-lines/princess-cruises/majestic-princess</v>
      </c>
    </row>
    <row r="48">
      <c r="A48" s="221" t="s">
        <v>436</v>
      </c>
      <c r="B48" s="219" t="str">
        <f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220" t="str">
        <f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219" t="s">
        <v>437</v>
      </c>
      <c r="E48" s="219" t="str">
        <f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>
      <c r="A49" s="221" t="s">
        <v>438</v>
      </c>
      <c r="B49" s="219" t="str">
        <f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220" t="str">
        <f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219" t="s">
        <v>439</v>
      </c>
      <c r="E49" s="219" t="str">
        <f>IFERROR(__xludf.DUMMYFUNCTION("REGEXREPLACE(D49, ""https://odysia-cruise-uk.client.prod.eu-west.dreamlake.io"", """")"),"/cruise-lines/holland-america-line/koningsdam")</f>
        <v>/cruise-lines/holland-america-line/koningsdam</v>
      </c>
    </row>
    <row r="50">
      <c r="A50" s="221" t="s">
        <v>440</v>
      </c>
      <c r="B50" s="219" t="str">
        <f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220" t="str">
        <f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219" t="s">
        <v>441</v>
      </c>
      <c r="E50" s="219" t="str">
        <f>IFERROR(__xludf.DUMMYFUNCTION("REGEXREPLACE(D50, ""https://odysia-cruise-uk.client.prod.eu-west.dreamlake.io"", """")"),"/cruise-lines/oceania-cruises/cruises")</f>
        <v>/cruise-lines/oceania-cruises/cruises</v>
      </c>
    </row>
    <row r="51">
      <c r="A51" s="221" t="s">
        <v>442</v>
      </c>
      <c r="B51" s="219" t="str">
        <f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220" t="str">
        <f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219" t="s">
        <v>443</v>
      </c>
      <c r="E51" s="219" t="str">
        <f>IFERROR(__xludf.DUMMYFUNCTION("REGEXREPLACE(D51, ""https://odysia-cruise-uk.client.prod.eu-west.dreamlake.io"", """")"),"/cruise-lines/msc-cruises/msc-euribia/cruises")</f>
        <v>/cruise-lines/msc-cruises/msc-euribia/cruises</v>
      </c>
    </row>
    <row r="52">
      <c r="A52" s="221" t="s">
        <v>444</v>
      </c>
      <c r="B52" s="219" t="str">
        <f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220" t="str">
        <f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>
      <c r="A53" s="221" t="s">
        <v>445</v>
      </c>
      <c r="B53" s="219" t="str">
        <f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220" t="str">
        <f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>
      <c r="A54" s="221" t="s">
        <v>446</v>
      </c>
      <c r="B54" s="219" t="str">
        <f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220" t="str">
        <f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219" t="s">
        <v>447</v>
      </c>
      <c r="E54" s="219" t="str">
        <f>IFERROR(__xludf.DUMMYFUNCTION("REGEXREPLACE(D54, ""https://odysia-cruise-uk.client.prod.eu-west.dreamlake.io"", """")"),"/cruise-lines/msc-cruises/msc-euribia")</f>
        <v>/cruise-lines/msc-cruises/msc-euribia</v>
      </c>
    </row>
    <row r="55">
      <c r="A55" s="221" t="s">
        <v>448</v>
      </c>
      <c r="B55" s="219" t="str">
        <f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220" t="str">
        <f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219" t="s">
        <v>449</v>
      </c>
    </row>
    <row r="56">
      <c r="A56" s="221" t="s">
        <v>450</v>
      </c>
      <c r="B56" s="219" t="str">
        <f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220" t="str">
        <f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219" t="s">
        <v>451</v>
      </c>
      <c r="E56" s="219" t="str">
        <f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>
      <c r="A57" s="221" t="s">
        <v>452</v>
      </c>
      <c r="B57" s="219" t="str">
        <f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220" t="str">
        <f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219" t="s">
        <v>453</v>
      </c>
      <c r="E57" s="219" t="str">
        <f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>
      <c r="A58" s="221" t="s">
        <v>454</v>
      </c>
      <c r="B58" s="219" t="str">
        <f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220" t="str">
        <f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219" t="s">
        <v>455</v>
      </c>
      <c r="E58" s="219" t="str">
        <f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>
      <c r="A59" s="221" t="s">
        <v>456</v>
      </c>
      <c r="B59" s="219" t="str">
        <f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220" t="str">
        <f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>
      <c r="A60" s="221" t="s">
        <v>457</v>
      </c>
      <c r="B60" s="219" t="str">
        <f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220" t="str">
        <f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219" t="s">
        <v>458</v>
      </c>
      <c r="E60" s="219" t="str">
        <f>IFERROR(__xludf.DUMMYFUNCTION("REGEXREPLACE(D60, ""https://odysia-cruise-uk.client.prod.eu-west.dreamlake.io"", """")"),"/cruise-lines/celebrity-cruises/celebrity-edge")</f>
        <v>/cruise-lines/celebrity-cruises/celebrity-edge</v>
      </c>
    </row>
    <row r="61">
      <c r="A61" s="221" t="s">
        <v>459</v>
      </c>
      <c r="B61" s="219" t="str">
        <f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220" t="str">
        <f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219" t="s">
        <v>460</v>
      </c>
      <c r="E61" s="219" t="str">
        <f>IFERROR(__xludf.DUMMYFUNCTION("REGEXREPLACE(D61, ""https://odysia-cruise-uk.client.prod.eu-west.dreamlake.io"", """")"),"/cruise-lines/celebrity-cruises/cruises")</f>
        <v>/cruise-lines/celebrity-cruises/cruises</v>
      </c>
    </row>
    <row r="62">
      <c r="A62" s="221" t="s">
        <v>461</v>
      </c>
      <c r="B62" s="219" t="str">
        <f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220" t="str">
        <f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219" t="s">
        <v>462</v>
      </c>
      <c r="E62" s="219" t="str">
        <f>IFERROR(__xludf.DUMMYFUNCTION("REGEXREPLACE(D62, ""https://odysia-cruise-uk.client.prod.eu-west.dreamlake.io"", """")"),"/cruise-lines/seabourn/seabourn-pursuit/cruises")</f>
        <v>/cruise-lines/seabourn/seabourn-pursuit/cruises</v>
      </c>
    </row>
    <row r="63">
      <c r="A63" s="221" t="s">
        <v>463</v>
      </c>
      <c r="B63" s="219" t="str">
        <f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220" t="str">
        <f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219" t="s">
        <v>464</v>
      </c>
      <c r="E63" s="219" t="str">
        <f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>
      <c r="A64" s="221" t="s">
        <v>465</v>
      </c>
      <c r="B64" s="219" t="str">
        <f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220" t="str">
        <f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>
      <c r="A65" s="221" t="s">
        <v>466</v>
      </c>
      <c r="B65" s="219" t="str">
        <f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220" t="str">
        <f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219" t="s">
        <v>467</v>
      </c>
      <c r="E65" s="219" t="str">
        <f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>
      <c r="A66" s="221" t="s">
        <v>468</v>
      </c>
      <c r="B66" s="219" t="str">
        <f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220" t="str">
        <f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219" t="s">
        <v>469</v>
      </c>
      <c r="E66" s="219" t="str">
        <f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>
      <c r="A67" s="221" t="s">
        <v>470</v>
      </c>
      <c r="B67" s="219" t="str">
        <f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220" t="str">
        <f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219" t="s">
        <v>471</v>
      </c>
      <c r="E67" s="219" t="str">
        <f>IFERROR(__xludf.DUMMYFUNCTION("REGEXREPLACE(D67, ""https://odysia-cruise-uk.client.prod.eu-west.dreamlake.io"", """")"),"/cruise-lines/regent-seven-seas-cruises")</f>
        <v>/cruise-lines/regent-seven-seas-cruises</v>
      </c>
    </row>
    <row r="68">
      <c r="A68" s="221" t="s">
        <v>472</v>
      </c>
      <c r="B68" s="219" t="str">
        <f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220" t="str">
        <f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219" t="s">
        <v>473</v>
      </c>
      <c r="E68" s="219" t="str">
        <f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>
      <c r="A69" s="221" t="s">
        <v>474</v>
      </c>
      <c r="B69" s="219" t="str">
        <f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220" t="str">
        <f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219" t="s">
        <v>475</v>
      </c>
    </row>
    <row r="70">
      <c r="A70" s="221" t="s">
        <v>476</v>
      </c>
      <c r="B70" s="219" t="str">
        <f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220" t="str">
        <f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>
      <c r="A71" s="221" t="s">
        <v>477</v>
      </c>
      <c r="B71" s="219" t="str">
        <f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220" t="str">
        <f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219" t="s">
        <v>478</v>
      </c>
    </row>
    <row r="72">
      <c r="A72" s="221" t="s">
        <v>479</v>
      </c>
      <c r="B72" s="219" t="str">
        <f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220" t="str">
        <f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219" t="s">
        <v>480</v>
      </c>
    </row>
    <row r="73">
      <c r="A73" s="221" t="s">
        <v>481</v>
      </c>
      <c r="B73" s="219" t="str">
        <f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220" t="str">
        <f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219" t="s">
        <v>482</v>
      </c>
      <c r="E73" s="219" t="str">
        <f>IFERROR(__xludf.DUMMYFUNCTION("REGEXREPLACE(D73, ""https://odysia-cruise-uk.client.prod.eu-west.dreamlake.io"", """")"),"/cruise-lines/virgin-voyages/scarlet-lady")</f>
        <v>/cruise-lines/virgin-voyages/scarlet-lady</v>
      </c>
    </row>
    <row r="74">
      <c r="A74" s="221" t="s">
        <v>483</v>
      </c>
      <c r="B74" s="219" t="str">
        <f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220" t="str">
        <f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219" t="s">
        <v>484</v>
      </c>
      <c r="E74" s="219" t="str">
        <f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>
      <c r="A75" s="221" t="s">
        <v>485</v>
      </c>
      <c r="B75" s="219" t="str">
        <f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220" t="str">
        <f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219" t="s">
        <v>486</v>
      </c>
      <c r="E75" s="219" t="str">
        <f>IFERROR(__xludf.DUMMYFUNCTION("REGEXREPLACE(D75, ""https://odysia-cruise-uk.client.prod.eu-west.dreamlake.io"", """")"),"/cruise-lines/princess-cruises/emerald-princess")</f>
        <v>/cruise-lines/princess-cruises/emerald-princess</v>
      </c>
    </row>
    <row r="76">
      <c r="A76" s="221" t="s">
        <v>487</v>
      </c>
      <c r="B76" s="219" t="str">
        <f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220" t="str">
        <f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219" t="s">
        <v>488</v>
      </c>
      <c r="E76" s="219" t="str">
        <f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>
      <c r="A77" s="221" t="s">
        <v>489</v>
      </c>
      <c r="B77" s="219" t="str">
        <f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220" t="str">
        <f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>
      <c r="A78" s="221" t="s">
        <v>490</v>
      </c>
      <c r="B78" s="219" t="str">
        <f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220" t="str">
        <f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219" t="s">
        <v>491</v>
      </c>
      <c r="E78" s="219" t="str">
        <f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>
      <c r="A79" s="221" t="s">
        <v>492</v>
      </c>
      <c r="B79" s="219" t="str">
        <f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220" t="str">
        <f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219" t="s">
        <v>493</v>
      </c>
      <c r="E79" s="219" t="str">
        <f>IFERROR(__xludf.DUMMYFUNCTION("REGEXREPLACE(D79, ""https://odysia-cruise-uk.client.prod.eu-west.dreamlake.io"", """")"),"/cruise-lines/princess-cruises")</f>
        <v>/cruise-lines/princess-cruises</v>
      </c>
    </row>
    <row r="80">
      <c r="A80" s="221" t="s">
        <v>494</v>
      </c>
      <c r="B80" s="219" t="str">
        <f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220" t="str">
        <f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219" t="s">
        <v>495</v>
      </c>
      <c r="E80" s="219" t="str">
        <f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>
      <c r="A81" s="221" t="s">
        <v>496</v>
      </c>
      <c r="B81" s="219" t="str">
        <f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220" t="str">
        <f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219" t="s">
        <v>497</v>
      </c>
      <c r="E81" s="219" t="str">
        <f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>
      <c r="A82" s="221" t="s">
        <v>498</v>
      </c>
      <c r="B82" s="219" t="str">
        <f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220" t="str">
        <f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219" t="s">
        <v>499</v>
      </c>
      <c r="E82" s="219" t="str">
        <f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>
      <c r="A83" s="221" t="s">
        <v>500</v>
      </c>
      <c r="B83" s="219" t="str">
        <f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220" t="str">
        <f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219" t="s">
        <v>501</v>
      </c>
      <c r="E83" s="219" t="str">
        <f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>
      <c r="A84" s="221" t="s">
        <v>502</v>
      </c>
      <c r="B84" s="219" t="str">
        <f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220" t="str">
        <f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219" t="s">
        <v>503</v>
      </c>
      <c r="E84" s="219" t="str">
        <f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>
      <c r="A85" s="221" t="s">
        <v>504</v>
      </c>
      <c r="B85" s="219" t="str">
        <f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220" t="str">
        <f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219" t="s">
        <v>505</v>
      </c>
      <c r="E85" s="219" t="str">
        <f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>
      <c r="A86" s="221" t="s">
        <v>506</v>
      </c>
      <c r="B86" s="219" t="str">
        <f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220" t="str">
        <f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219" t="s">
        <v>507</v>
      </c>
      <c r="E86" s="219" t="str">
        <f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>
      <c r="A87" s="221" t="s">
        <v>508</v>
      </c>
      <c r="B87" s="219" t="str">
        <f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220" t="str">
        <f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219" t="s">
        <v>509</v>
      </c>
      <c r="E87" s="219" t="str">
        <f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>
      <c r="A88" s="221" t="s">
        <v>510</v>
      </c>
      <c r="B88" s="219" t="str">
        <f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220" t="str">
        <f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>
      <c r="A89" s="221" t="s">
        <v>511</v>
      </c>
      <c r="B89" s="219" t="str">
        <f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220" t="str">
        <f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219" t="s">
        <v>512</v>
      </c>
      <c r="E89" s="219" t="str">
        <f>IFERROR(__xludf.DUMMYFUNCTION("REGEXREPLACE(D89, ""https://odysia-cruise-uk.client.prod.eu-west.dreamlake.io"", """")"),"/cruise-lines/msc-cruises/msc-musica")</f>
        <v>/cruise-lines/msc-cruises/msc-musica</v>
      </c>
    </row>
    <row r="90">
      <c r="A90" s="221" t="s">
        <v>513</v>
      </c>
      <c r="B90" s="219" t="str">
        <f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220" t="str">
        <f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219" t="s">
        <v>514</v>
      </c>
      <c r="E90" s="219" t="str">
        <f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>
      <c r="A91" s="221" t="s">
        <v>515</v>
      </c>
      <c r="B91" s="219" t="str">
        <f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220" t="str">
        <f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219" t="s">
        <v>516</v>
      </c>
      <c r="E91" s="219" t="str">
        <f>IFERROR(__xludf.DUMMYFUNCTION("REGEXREPLACE(D91, ""https://odysia-cruise-uk.client.prod.eu-west.dreamlake.io"", """")"),"/cruise-lines/costa-cruises")</f>
        <v>/cruise-lines/costa-cruises</v>
      </c>
    </row>
    <row r="92">
      <c r="A92" s="221" t="s">
        <v>517</v>
      </c>
      <c r="B92" s="219" t="str">
        <f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220" t="str">
        <f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219" t="s">
        <v>518</v>
      </c>
      <c r="E92" s="219" t="str">
        <f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>
      <c r="A93" s="221" t="s">
        <v>519</v>
      </c>
      <c r="B93" s="219" t="str">
        <f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220" t="str">
        <f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219" t="s">
        <v>520</v>
      </c>
      <c r="E93" s="219" t="str">
        <f>IFERROR(__xludf.DUMMYFUNCTION("REGEXREPLACE(D93, ""https://odysia-cruise-uk.client.prod.eu-west.dreamlake.io"", """")"),"/cruise-lines/costa-cruises/costa-serena/cruises")</f>
        <v>/cruise-lines/costa-cruises/costa-serena/cruises</v>
      </c>
    </row>
    <row r="94">
      <c r="A94" s="221" t="s">
        <v>521</v>
      </c>
      <c r="B94" s="219" t="str">
        <f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220" t="str">
        <f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219" t="s">
        <v>522</v>
      </c>
      <c r="E94" s="219" t="str">
        <f>IFERROR(__xludf.DUMMYFUNCTION("REGEXREPLACE(D94, ""https://odysia-cruise-uk.client.prod.eu-west.dreamlake.io"", """")"),"/cruise-lines/msc-cruises")</f>
        <v>/cruise-lines/msc-cruises</v>
      </c>
    </row>
    <row r="95">
      <c r="A95" s="221" t="s">
        <v>523</v>
      </c>
      <c r="B95" s="219" t="str">
        <f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220" t="str">
        <f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219" t="s">
        <v>524</v>
      </c>
      <c r="E95" s="219" t="str">
        <f>IFERROR(__xludf.DUMMYFUNCTION("REGEXREPLACE(D95, ""https://odysia-cruise-uk.client.prod.eu-west.dreamlake.io"", """")"),"/cruise-lines/cunard/queen-victoria")</f>
        <v>/cruise-lines/cunard/queen-victoria</v>
      </c>
    </row>
    <row r="96">
      <c r="A96" s="221" t="s">
        <v>525</v>
      </c>
      <c r="B96" s="219" t="str">
        <f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220" t="str">
        <f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219" t="s">
        <v>526</v>
      </c>
      <c r="E96" s="219" t="str">
        <f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>
      <c r="A97" s="221" t="s">
        <v>527</v>
      </c>
      <c r="B97" s="219" t="str">
        <f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220" t="str">
        <f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219" t="s">
        <v>528</v>
      </c>
      <c r="E97" s="219" t="str">
        <f>IFERROR(__xludf.DUMMYFUNCTION("REGEXREPLACE(D97, ""https://odysia-cruise-uk.client.prod.eu-west.dreamlake.io"", """")"),"/cruise-lines/po-cruises/arvia")</f>
        <v>/cruise-lines/po-cruises/arvia</v>
      </c>
    </row>
    <row r="98">
      <c r="A98" s="221" t="s">
        <v>529</v>
      </c>
      <c r="B98" s="219" t="str">
        <f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220" t="str">
        <f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219" t="s">
        <v>530</v>
      </c>
      <c r="E98" s="219" t="str">
        <f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>
      <c r="A99" s="221" t="s">
        <v>531</v>
      </c>
      <c r="B99" s="219" t="str">
        <f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220" t="str">
        <f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219" t="s">
        <v>532</v>
      </c>
      <c r="E99" s="219" t="str">
        <f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>
      <c r="A100" s="221" t="s">
        <v>533</v>
      </c>
      <c r="B100" s="219" t="str">
        <f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220" t="str">
        <f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>
      <c r="A101" s="221" t="s">
        <v>534</v>
      </c>
      <c r="B101" s="219" t="str">
        <f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220" t="str">
        <f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219" t="s">
        <v>535</v>
      </c>
      <c r="E101" s="219" t="str">
        <f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>
      <c r="A102" s="221" t="s">
        <v>536</v>
      </c>
      <c r="B102" s="219" t="str">
        <f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220" t="str">
        <f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219" t="s">
        <v>537</v>
      </c>
      <c r="E102" s="219" t="str">
        <f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>
      <c r="A103" s="221" t="s">
        <v>538</v>
      </c>
      <c r="B103" s="219" t="str">
        <f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220" t="str">
        <f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219" t="s">
        <v>539</v>
      </c>
      <c r="E103" s="219" t="str">
        <f>IFERROR(__xludf.DUMMYFUNCTION("REGEXREPLACE(D103, ""https://odysia-cruise-uk.client.prod.eu-west.dreamlake.io"", """")"),"/cruise-lines/explora-journeys/explora-ii")</f>
        <v>/cruise-lines/explora-journeys/explora-ii</v>
      </c>
    </row>
    <row r="104">
      <c r="A104" s="221" t="s">
        <v>540</v>
      </c>
      <c r="B104" s="219" t="str">
        <f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220" t="str">
        <f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219" t="s">
        <v>541</v>
      </c>
      <c r="E104" s="219" t="str">
        <f>IFERROR(__xludf.DUMMYFUNCTION("REGEXREPLACE(D104, ""https://odysia-cruise-uk.client.prod.eu-west.dreamlake.io"", """")"),"/cruise-lines/seabourn/seabourn-venture/cruises")</f>
        <v>/cruise-lines/seabourn/seabourn-venture/cruises</v>
      </c>
    </row>
    <row r="105">
      <c r="A105" s="221" t="s">
        <v>542</v>
      </c>
      <c r="B105" s="219" t="str">
        <f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220" t="str">
        <f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219" t="s">
        <v>543</v>
      </c>
      <c r="E105" s="219" t="str">
        <f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>
      <c r="A106" s="221" t="s">
        <v>544</v>
      </c>
      <c r="B106" s="219" t="str">
        <f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220" t="str">
        <f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219" t="s">
        <v>545</v>
      </c>
      <c r="E106" s="219" t="str">
        <f>IFERROR(__xludf.DUMMYFUNCTION("REGEXREPLACE(D106, ""https://odysia-cruise-uk.client.prod.eu-west.dreamlake.io"", """")"),"/cruise-lines/msc-cruises/msc-virtuosa/cruises")</f>
        <v>/cruise-lines/msc-cruises/msc-virtuosa/cruises</v>
      </c>
    </row>
    <row r="107">
      <c r="A107" s="221" t="s">
        <v>546</v>
      </c>
      <c r="B107" s="219" t="str">
        <f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220" t="str">
        <f>IFERROR(__xludf.DUMMYFUNCTION("REGEXREPLACE(B107, ""&lt;/loc&gt;"", """")"),"https://odysia-cruise-uk.client.prod.eu-west.dreamlake.io/cruise-lines")</f>
        <v>https://odysia-cruise-uk.client.prod.eu-west.dreamlake.io/cruise-lines</v>
      </c>
    </row>
    <row r="108">
      <c r="A108" s="221" t="s">
        <v>547</v>
      </c>
      <c r="B108" s="219" t="str">
        <f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220" t="str">
        <f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219" t="s">
        <v>548</v>
      </c>
      <c r="E108" s="219" t="str">
        <f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>
      <c r="A109" s="221" t="s">
        <v>549</v>
      </c>
      <c r="B109" s="219" t="str">
        <f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220" t="str">
        <f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219" t="s">
        <v>550</v>
      </c>
      <c r="E109" s="219" t="str">
        <f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>
      <c r="A110" s="221" t="s">
        <v>551</v>
      </c>
      <c r="B110" s="219" t="str">
        <f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220" t="str">
        <f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219" t="s">
        <v>552</v>
      </c>
      <c r="E110" s="219" t="str">
        <f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>
      <c r="A111" s="221" t="s">
        <v>553</v>
      </c>
      <c r="B111" s="219" t="str">
        <f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220" t="str">
        <f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219" t="s">
        <v>554</v>
      </c>
      <c r="E111" s="219" t="str">
        <f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>
      <c r="A112" s="221" t="s">
        <v>555</v>
      </c>
      <c r="B112" s="219" t="str">
        <f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220" t="str">
        <f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219" t="s">
        <v>556</v>
      </c>
      <c r="E112" s="219" t="str">
        <f>IFERROR(__xludf.DUMMYFUNCTION("REGEXREPLACE(D112, ""https://odysia-cruise-uk.client.prod.eu-west.dreamlake.io"", """")"),"/cruise-lines/princess-cruises/star-princess")</f>
        <v>/cruise-lines/princess-cruises/star-princess</v>
      </c>
    </row>
    <row r="113">
      <c r="A113" s="221" t="s">
        <v>557</v>
      </c>
      <c r="B113" s="219" t="str">
        <f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220" t="str">
        <f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>
      <c r="A114" s="221" t="s">
        <v>558</v>
      </c>
      <c r="B114" s="219" t="str">
        <f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220" t="str">
        <f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219" t="s">
        <v>559</v>
      </c>
      <c r="E114" s="219" t="str">
        <f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>
      <c r="A115" s="221" t="s">
        <v>560</v>
      </c>
      <c r="B115" s="219" t="str">
        <f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220" t="str">
        <f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219" t="s">
        <v>561</v>
      </c>
      <c r="E115" s="219" t="str">
        <f>IFERROR(__xludf.DUMMYFUNCTION("REGEXREPLACE(D115, ""https://odysia-cruise-uk.client.prod.eu-west.dreamlake.io"", """")"),"/cruise-lines/princess-cruises/island-princess")</f>
        <v>/cruise-lines/princess-cruises/island-princess</v>
      </c>
    </row>
    <row r="116">
      <c r="A116" s="221" t="s">
        <v>562</v>
      </c>
      <c r="B116" s="219" t="str">
        <f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220" t="str">
        <f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219" t="s">
        <v>563</v>
      </c>
      <c r="E116" s="219" t="str">
        <f>IFERROR(__xludf.DUMMYFUNCTION("REGEXREPLACE(D116, ""https://odysia-cruise-uk.client.prod.eu-west.dreamlake.io"", """")"),"/cruise-lines/ambassador-cruise-line")</f>
        <v>/cruise-lines/ambassador-cruise-line</v>
      </c>
    </row>
    <row r="117">
      <c r="A117" s="221" t="s">
        <v>564</v>
      </c>
      <c r="B117" s="219" t="str">
        <f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220" t="str">
        <f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219" t="s">
        <v>565</v>
      </c>
      <c r="E117" s="219" t="str">
        <f>IFERROR(__xludf.DUMMYFUNCTION("REGEXREPLACE(D117, ""https://odysia-cruise-uk.client.prod.eu-west.dreamlake.io"", """")"),"/cruise-lines/cunard/queen-mary-2/cruises")</f>
        <v>/cruise-lines/cunard/queen-mary-2/cruises</v>
      </c>
    </row>
    <row r="118">
      <c r="A118" s="221" t="s">
        <v>566</v>
      </c>
      <c r="B118" s="219" t="str">
        <f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220" t="str">
        <f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219" t="s">
        <v>567</v>
      </c>
      <c r="E118" s="219" t="str">
        <f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>
      <c r="A119" s="221" t="s">
        <v>568</v>
      </c>
      <c r="B119" s="219" t="str">
        <f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220" t="str">
        <f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219" t="s">
        <v>569</v>
      </c>
      <c r="E119" s="219" t="str">
        <f>IFERROR(__xludf.DUMMYFUNCTION("REGEXREPLACE(D119, ""https://odysia-cruise-uk.client.prod.eu-west.dreamlake.io"", """")"),"/cruise-lines/oceania-cruises/oceania-regatta")</f>
        <v>/cruise-lines/oceania-cruises/oceania-regatta</v>
      </c>
    </row>
    <row r="120">
      <c r="A120" s="221" t="s">
        <v>570</v>
      </c>
      <c r="B120" s="219" t="str">
        <f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220" t="str">
        <f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219" t="s">
        <v>571</v>
      </c>
      <c r="E120" s="219" t="str">
        <f>IFERROR(__xludf.DUMMYFUNCTION("REGEXREPLACE(D120, ""https://odysia-cruise-uk.client.prod.eu-west.dreamlake.io"", """")"),"/cruise-lines/po-cruises/iona/cruises")</f>
        <v>/cruise-lines/po-cruises/iona/cruises</v>
      </c>
    </row>
    <row r="121">
      <c r="A121" s="221" t="s">
        <v>572</v>
      </c>
      <c r="B121" s="219" t="str">
        <f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220" t="str">
        <f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219" t="s">
        <v>573</v>
      </c>
      <c r="E121" s="219" t="str">
        <f>IFERROR(__xludf.DUMMYFUNCTION("REGEXREPLACE(D121, ""https://odysia-cruise-uk.client.prod.eu-west.dreamlake.io"", """")"),"/cruise-lines/virgin-voyages")</f>
        <v>/cruise-lines/virgin-voyages</v>
      </c>
    </row>
    <row r="122">
      <c r="A122" s="221" t="s">
        <v>574</v>
      </c>
      <c r="B122" s="219" t="str">
        <f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220" t="str">
        <f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219" t="s">
        <v>575</v>
      </c>
      <c r="E122" s="219" t="str">
        <f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>
      <c r="A123" s="221" t="s">
        <v>576</v>
      </c>
      <c r="B123" s="219" t="str">
        <f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220" t="str">
        <f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219" t="s">
        <v>577</v>
      </c>
      <c r="E123" s="219" t="str">
        <f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>
      <c r="A124" s="221" t="s">
        <v>578</v>
      </c>
      <c r="B124" s="219" t="str">
        <f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220" t="str">
        <f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219" t="s">
        <v>579</v>
      </c>
      <c r="E124" s="219" t="str">
        <f>IFERROR(__xludf.DUMMYFUNCTION("REGEXREPLACE(D124, ""https://odysia-cruise-uk.client.prod.eu-west.dreamlake.io"", """")"),"/cruise-lines/costa-cruises/costa-smeralda")</f>
        <v>/cruise-lines/costa-cruises/costa-smeralda</v>
      </c>
    </row>
    <row r="125">
      <c r="A125" s="221" t="s">
        <v>580</v>
      </c>
      <c r="B125" s="219" t="str">
        <f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220" t="str">
        <f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219" t="s">
        <v>581</v>
      </c>
      <c r="E125" s="219" t="str">
        <f>IFERROR(__xludf.DUMMYFUNCTION("REGEXREPLACE(D125, ""https://odysia-cruise-uk.client.prod.eu-west.dreamlake.io"", """")"),"/cruise-lines/msc-cruises/msc-seaside/cruises")</f>
        <v>/cruise-lines/msc-cruises/msc-seaside/cruises</v>
      </c>
    </row>
    <row r="126">
      <c r="A126" s="221" t="s">
        <v>582</v>
      </c>
      <c r="B126" s="219" t="str">
        <f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220" t="str">
        <f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219" t="s">
        <v>583</v>
      </c>
      <c r="E126" s="219" t="str">
        <f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>
      <c r="A127" s="221" t="s">
        <v>584</v>
      </c>
      <c r="B127" s="219" t="str">
        <f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220" t="str">
        <f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219" t="s">
        <v>585</v>
      </c>
      <c r="E127" s="219" t="str">
        <f>IFERROR(__xludf.DUMMYFUNCTION("REGEXREPLACE(D127, ""https://odysia-cruise-uk.client.prod.eu-west.dreamlake.io"", """")"),"/cruise-lines/msc-cruises/msc-opera/cruises")</f>
        <v>/cruise-lines/msc-cruises/msc-opera/cruises</v>
      </c>
    </row>
    <row r="128">
      <c r="A128" s="221" t="s">
        <v>586</v>
      </c>
      <c r="B128" s="219" t="str">
        <f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220" t="str">
        <f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219" t="s">
        <v>587</v>
      </c>
      <c r="E128" s="219" t="str">
        <f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>
      <c r="A129" s="221" t="s">
        <v>588</v>
      </c>
      <c r="B129" s="219" t="str">
        <f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220" t="str">
        <f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219" t="s">
        <v>589</v>
      </c>
      <c r="E129" s="219" t="str">
        <f>IFERROR(__xludf.DUMMYFUNCTION("REGEXREPLACE(D129, ""https://odysia-cruise-uk.client.prod.eu-west.dreamlake.io"", """")"),"/cruise-lines/fred-olsen-cruises/borealis")</f>
        <v>/cruise-lines/fred-olsen-cruises/borealis</v>
      </c>
    </row>
    <row r="130">
      <c r="A130" s="221" t="s">
        <v>590</v>
      </c>
      <c r="B130" s="219" t="str">
        <f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220" t="str">
        <f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219" t="s">
        <v>591</v>
      </c>
      <c r="E130" s="219" t="str">
        <f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>
      <c r="A131" s="221" t="s">
        <v>592</v>
      </c>
      <c r="B131" s="219" t="str">
        <f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220" t="str">
        <f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219" t="s">
        <v>593</v>
      </c>
      <c r="E131" s="219" t="str">
        <f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>
      <c r="A132" s="221" t="s">
        <v>594</v>
      </c>
      <c r="B132" s="219" t="str">
        <f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220" t="str">
        <f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219" t="s">
        <v>595</v>
      </c>
      <c r="E132" s="219" t="str">
        <f>IFERROR(__xludf.DUMMYFUNCTION("REGEXREPLACE(D132, ""https://odysia-cruise-uk.client.prod.eu-west.dreamlake.io"", """")"),"/cruise-lines/regent-seven-seas-cruises/cruises")</f>
        <v>/cruise-lines/regent-seven-seas-cruises/cruises</v>
      </c>
    </row>
    <row r="133">
      <c r="A133" s="221" t="s">
        <v>596</v>
      </c>
      <c r="B133" s="219" t="str">
        <f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220" t="str">
        <f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219" t="s">
        <v>597</v>
      </c>
      <c r="E133" s="219" t="str">
        <f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>
      <c r="A134" s="221" t="s">
        <v>598</v>
      </c>
      <c r="B134" s="219" t="str">
        <f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220" t="str">
        <f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219" t="s">
        <v>599</v>
      </c>
      <c r="E134" s="219" t="str">
        <f>IFERROR(__xludf.DUMMYFUNCTION("REGEXREPLACE(D134, ""https://odysia-cruise-uk.client.prod.eu-west.dreamlake.io"", """")"),"/cruise-lines/msc-cruises/msc-armonia/cruises")</f>
        <v>/cruise-lines/msc-cruises/msc-armonia/cruises</v>
      </c>
    </row>
    <row r="135">
      <c r="A135" s="221" t="s">
        <v>600</v>
      </c>
      <c r="B135" s="219" t="str">
        <f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220" t="str">
        <f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219" t="s">
        <v>601</v>
      </c>
      <c r="E135" s="219" t="str">
        <f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>
      <c r="A136" s="221" t="s">
        <v>602</v>
      </c>
      <c r="B136" s="219" t="str">
        <f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220" t="str">
        <f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219" t="s">
        <v>603</v>
      </c>
      <c r="E136" s="219" t="str">
        <f>IFERROR(__xludf.DUMMYFUNCTION("REGEXREPLACE(D136, ""https://odysia-cruise-uk.client.prod.eu-west.dreamlake.io"", """")"),"/cruise-lines/po-cruises/azura/cruises")</f>
        <v>/cruise-lines/po-cruises/azura/cruises</v>
      </c>
    </row>
    <row r="137">
      <c r="A137" s="221" t="s">
        <v>604</v>
      </c>
      <c r="B137" s="219" t="str">
        <f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220" t="str">
        <f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219" t="s">
        <v>605</v>
      </c>
      <c r="E137" s="219" t="str">
        <f>IFERROR(__xludf.DUMMYFUNCTION("REGEXREPLACE(D137, ""https://odysia-cruise-uk.client.prod.eu-west.dreamlake.io"", """")"),"/cruise-lines/celebrity-cruises/celebrity-flora")</f>
        <v>/cruise-lines/celebrity-cruises/celebrity-flora</v>
      </c>
    </row>
    <row r="138">
      <c r="A138" s="221" t="s">
        <v>606</v>
      </c>
      <c r="B138" s="219" t="str">
        <f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220" t="str">
        <f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219" t="s">
        <v>607</v>
      </c>
      <c r="E138" s="219" t="str">
        <f>IFERROR(__xludf.DUMMYFUNCTION("REGEXREPLACE(D138, ""https://odysia-cruise-uk.client.prod.eu-west.dreamlake.io"", """")"),"/cruise-lines/msc-cruises/msc-seashore")</f>
        <v>/cruise-lines/msc-cruises/msc-seashore</v>
      </c>
    </row>
    <row r="139">
      <c r="A139" s="221" t="s">
        <v>608</v>
      </c>
      <c r="B139" s="219" t="str">
        <f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220" t="str">
        <f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219" t="s">
        <v>609</v>
      </c>
      <c r="E139" s="219" t="str">
        <f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>
      <c r="A140" s="221" t="s">
        <v>610</v>
      </c>
      <c r="B140" s="219" t="str">
        <f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220" t="str">
        <f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219" t="s">
        <v>611</v>
      </c>
      <c r="E140" s="219" t="str">
        <f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>
      <c r="A141" s="221" t="s">
        <v>612</v>
      </c>
      <c r="B141" s="219" t="str">
        <f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220" t="str">
        <f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219" t="s">
        <v>613</v>
      </c>
      <c r="E141" s="219" t="str">
        <f>IFERROR(__xludf.DUMMYFUNCTION("REGEXREPLACE(D141, ""https://odysia-cruise-uk.client.prod.eu-west.dreamlake.io"", """")"),"/cruise-lines/holland-america-line")</f>
        <v>/cruise-lines/holland-america-line</v>
      </c>
    </row>
    <row r="142">
      <c r="A142" s="221" t="s">
        <v>614</v>
      </c>
      <c r="B142" s="219" t="str">
        <f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220" t="str">
        <f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>
      <c r="A143" s="221" t="s">
        <v>615</v>
      </c>
      <c r="B143" s="219" t="str">
        <f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220" t="str">
        <f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219" t="s">
        <v>616</v>
      </c>
      <c r="E143" s="219" t="str">
        <f>IFERROR(__xludf.DUMMYFUNCTION("REGEXREPLACE(D143, ""https://odysia-cruise-uk.client.prod.eu-west.dreamlake.io"", """")"),"/cruise-lines/princess-cruises/sun-princess")</f>
        <v>/cruise-lines/princess-cruises/sun-princess</v>
      </c>
    </row>
    <row r="144">
      <c r="A144" s="221" t="s">
        <v>617</v>
      </c>
      <c r="B144" s="219" t="str">
        <f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220" t="str">
        <f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>
      <c r="A145" s="221" t="s">
        <v>618</v>
      </c>
      <c r="B145" s="219" t="str">
        <f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220" t="str">
        <f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219" t="s">
        <v>619</v>
      </c>
      <c r="E145" s="219" t="str">
        <f>IFERROR(__xludf.DUMMYFUNCTION("REGEXREPLACE(D145, ""https://odysia-cruise-uk.client.prod.eu-west.dreamlake.io"", """")"),"/cruise-lines/msc-cruises/msc-world-europa")</f>
        <v>/cruise-lines/msc-cruises/msc-world-europa</v>
      </c>
    </row>
    <row r="146">
      <c r="A146" s="221" t="s">
        <v>620</v>
      </c>
      <c r="B146" s="219" t="str">
        <f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220" t="str">
        <f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219" t="s">
        <v>621</v>
      </c>
      <c r="E146" s="219" t="str">
        <f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>
      <c r="A147" s="221" t="s">
        <v>622</v>
      </c>
      <c r="B147" s="219" t="str">
        <f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220" t="str">
        <f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219" t="s">
        <v>623</v>
      </c>
      <c r="E147" s="219" t="str">
        <f>IFERROR(__xludf.DUMMYFUNCTION("REGEXREPLACE(D147, ""https://odysia-cruise-uk.client.prod.eu-west.dreamlake.io"", """")"),"/cruise-lines/royal-caribbean/oasis-of-the-seas")</f>
        <v>/cruise-lines/royal-caribbean/oasis-of-the-seas</v>
      </c>
    </row>
    <row r="148">
      <c r="A148" s="221" t="s">
        <v>624</v>
      </c>
      <c r="B148" s="219" t="str">
        <f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220" t="str">
        <f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219" t="s">
        <v>625</v>
      </c>
      <c r="E148" s="219" t="str">
        <f>IFERROR(__xludf.DUMMYFUNCTION("REGEXREPLACE(D148, ""https://odysia-cruise-uk.client.prod.eu-west.dreamlake.io"", """")"),"/cruise-lines/seabourn/seabourn-ovation/cruises")</f>
        <v>/cruise-lines/seabourn/seabourn-ovation/cruises</v>
      </c>
    </row>
    <row r="149">
      <c r="A149" s="221" t="s">
        <v>626</v>
      </c>
      <c r="B149" s="219" t="str">
        <f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220" t="str">
        <f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219" t="s">
        <v>627</v>
      </c>
      <c r="E149" s="219" t="str">
        <f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>
      <c r="A150" s="221" t="s">
        <v>628</v>
      </c>
      <c r="B150" s="219" t="str">
        <f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220" t="str">
        <f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219" t="s">
        <v>629</v>
      </c>
      <c r="E150" s="219" t="str">
        <f>IFERROR(__xludf.DUMMYFUNCTION("REGEXREPLACE(D150, ""https://odysia-cruise-uk.client.prod.eu-west.dreamlake.io"", """")"),"/cruise-lines/cunard/queen-victoria/cruises")</f>
        <v>/cruise-lines/cunard/queen-victoria/cruises</v>
      </c>
    </row>
    <row r="151">
      <c r="A151" s="221" t="s">
        <v>630</v>
      </c>
      <c r="B151" s="219" t="str">
        <f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220" t="str">
        <f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219" t="s">
        <v>631</v>
      </c>
      <c r="E151" s="219" t="str">
        <f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>
      <c r="A152" s="221" t="s">
        <v>632</v>
      </c>
      <c r="B152" s="219" t="str">
        <f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220" t="str">
        <f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219" t="s">
        <v>633</v>
      </c>
      <c r="E152" s="219" t="str">
        <f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>
      <c r="A153" s="221" t="s">
        <v>634</v>
      </c>
      <c r="B153" s="219" t="str">
        <f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220" t="str">
        <f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219" t="s">
        <v>635</v>
      </c>
      <c r="E153" s="219" t="str">
        <f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>
      <c r="A154" s="221" t="s">
        <v>636</v>
      </c>
      <c r="B154" s="219" t="str">
        <f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220" t="str">
        <f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219" t="s">
        <v>637</v>
      </c>
      <c r="E154" s="219" t="str">
        <f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>
      <c r="A155" s="221" t="s">
        <v>638</v>
      </c>
      <c r="B155" s="219" t="str">
        <f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220" t="str">
        <f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219" t="s">
        <v>639</v>
      </c>
      <c r="E155" s="219" t="str">
        <f>IFERROR(__xludf.DUMMYFUNCTION("REGEXREPLACE(D155, ""https://odysia-cruise-uk.client.prod.eu-west.dreamlake.io"", """")"),"/cruise-lines/cunard/queen-elizabeth/cruises")</f>
        <v>/cruise-lines/cunard/queen-elizabeth/cruises</v>
      </c>
    </row>
    <row r="156">
      <c r="A156" s="221" t="s">
        <v>640</v>
      </c>
      <c r="B156" s="219" t="str">
        <f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220" t="str">
        <f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219" t="s">
        <v>641</v>
      </c>
      <c r="E156" s="219" t="str">
        <f>IFERROR(__xludf.DUMMYFUNCTION("REGEXREPLACE(D156, ""https://odysia-cruise-uk.client.prod.eu-west.dreamlake.io"", """")"),"/cruise-lines/seabourn/seabourn-venture")</f>
        <v>/cruise-lines/seabourn/seabourn-venture</v>
      </c>
    </row>
    <row r="157">
      <c r="A157" s="221" t="s">
        <v>642</v>
      </c>
      <c r="B157" s="219" t="str">
        <f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220" t="str">
        <f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219" t="s">
        <v>643</v>
      </c>
      <c r="E157" s="219" t="str">
        <f>IFERROR(__xludf.DUMMYFUNCTION("REGEXREPLACE(D157, ""https://odysia-cruise-uk.client.prod.eu-west.dreamlake.io"", """")"),"/cruise-lines/oceania-cruises/oceania-vista")</f>
        <v>/cruise-lines/oceania-cruises/oceania-vista</v>
      </c>
    </row>
    <row r="158">
      <c r="A158" s="221" t="s">
        <v>644</v>
      </c>
      <c r="B158" s="219" t="str">
        <f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220" t="str">
        <f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219" t="s">
        <v>645</v>
      </c>
      <c r="E158" s="219" t="str">
        <f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>
      <c r="A159" s="221" t="s">
        <v>646</v>
      </c>
      <c r="B159" s="219" t="str">
        <f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220" t="str">
        <f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219" t="s">
        <v>647</v>
      </c>
      <c r="E159" s="219" t="str">
        <f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>
      <c r="A160" s="221" t="s">
        <v>648</v>
      </c>
      <c r="B160" s="219" t="str">
        <f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220" t="str">
        <f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219" t="s">
        <v>649</v>
      </c>
      <c r="E160" s="219" t="str">
        <f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>
      <c r="A161" s="221" t="s">
        <v>650</v>
      </c>
      <c r="B161" s="219" t="str">
        <f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220" t="str">
        <f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>
      <c r="A162" s="221" t="s">
        <v>651</v>
      </c>
      <c r="B162" s="219" t="str">
        <f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220" t="str">
        <f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219" t="s">
        <v>652</v>
      </c>
      <c r="E162" s="219" t="str">
        <f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>
      <c r="A163" s="221" t="s">
        <v>653</v>
      </c>
      <c r="B163" s="219" t="str">
        <f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220" t="str">
        <f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219" t="s">
        <v>654</v>
      </c>
      <c r="E163" s="219" t="str">
        <f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>
      <c r="A164" s="221" t="s">
        <v>655</v>
      </c>
      <c r="B164" s="219" t="str">
        <f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220" t="str">
        <f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219" t="s">
        <v>656</v>
      </c>
      <c r="E164" s="219" t="str">
        <f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>
      <c r="A165" s="221" t="s">
        <v>657</v>
      </c>
      <c r="B165" s="219" t="str">
        <f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220" t="str">
        <f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219" t="s">
        <v>658</v>
      </c>
      <c r="E165" s="219" t="str">
        <f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>
      <c r="A166" s="221" t="s">
        <v>659</v>
      </c>
      <c r="B166" s="219" t="str">
        <f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220" t="str">
        <f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219" t="s">
        <v>660</v>
      </c>
    </row>
    <row r="167">
      <c r="A167" s="221" t="s">
        <v>661</v>
      </c>
      <c r="B167" s="219" t="str">
        <f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220" t="str">
        <f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219" t="s">
        <v>662</v>
      </c>
      <c r="E167" s="219" t="str">
        <f>IFERROR(__xludf.DUMMYFUNCTION("REGEXREPLACE(D167, ""https://odysia-cruise-uk.client.prod.eu-west.dreamlake.io"", """")"),"/cruise-lines/costa-cruises/cruises")</f>
        <v>/cruise-lines/costa-cruises/cruises</v>
      </c>
    </row>
    <row r="168">
      <c r="A168" s="221" t="s">
        <v>663</v>
      </c>
      <c r="B168" s="219" t="str">
        <f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220" t="str">
        <f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219" t="s">
        <v>664</v>
      </c>
      <c r="E168" s="219" t="str">
        <f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>
      <c r="A169" s="221" t="s">
        <v>665</v>
      </c>
      <c r="B169" s="219" t="str">
        <f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220" t="str">
        <f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219" t="s">
        <v>666</v>
      </c>
      <c r="E169" s="219" t="str">
        <f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>
      <c r="A170" s="221" t="s">
        <v>667</v>
      </c>
      <c r="B170" s="219" t="str">
        <f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220" t="str">
        <f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219" t="s">
        <v>668</v>
      </c>
      <c r="E170" s="219" t="str">
        <f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>
      <c r="A171" s="221" t="s">
        <v>669</v>
      </c>
      <c r="B171" s="219" t="str">
        <f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220" t="str">
        <f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219" t="s">
        <v>670</v>
      </c>
      <c r="E171" s="219" t="str">
        <f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>
      <c r="A172" s="221" t="s">
        <v>671</v>
      </c>
      <c r="B172" s="219" t="str">
        <f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220" t="str">
        <f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219" t="s">
        <v>672</v>
      </c>
      <c r="E172" s="219" t="str">
        <f>IFERROR(__xludf.DUMMYFUNCTION("REGEXREPLACE(D172, ""https://odysia-cruise-uk.client.prod.eu-west.dreamlake.io"", """")"),"/cruise-lines/po-cruises/arvia/cruises")</f>
        <v>/cruise-lines/po-cruises/arvia/cruises</v>
      </c>
    </row>
    <row r="173">
      <c r="A173" s="221" t="s">
        <v>673</v>
      </c>
      <c r="B173" s="219" t="str">
        <f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220" t="str">
        <f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219" t="s">
        <v>674</v>
      </c>
      <c r="E173" s="219" t="str">
        <f>IFERROR(__xludf.DUMMYFUNCTION("REGEXREPLACE(D173, ""https://odysia-cruise-uk.client.prod.eu-west.dreamlake.io"", """")"),"/cruise-lines/ambassador-cruise-line/ambition")</f>
        <v>/cruise-lines/ambassador-cruise-line/ambition</v>
      </c>
    </row>
    <row r="174">
      <c r="A174" s="221" t="s">
        <v>675</v>
      </c>
      <c r="B174" s="219" t="str">
        <f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220" t="str">
        <f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219" t="s">
        <v>676</v>
      </c>
      <c r="E174" s="219" t="str">
        <f>IFERROR(__xludf.DUMMYFUNCTION("REGEXREPLACE(D174, ""https://odysia-cruise-uk.client.prod.eu-west.dreamlake.io"", """")"),"/cruise-lines/msc-cruises/msc-divina/cruises")</f>
        <v>/cruise-lines/msc-cruises/msc-divina/cruises</v>
      </c>
    </row>
    <row r="175">
      <c r="A175" s="221" t="s">
        <v>677</v>
      </c>
      <c r="B175" s="219" t="str">
        <f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220" t="str">
        <f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219" t="s">
        <v>678</v>
      </c>
      <c r="E175" s="219" t="str">
        <f>IFERROR(__xludf.DUMMYFUNCTION("REGEXREPLACE(D175, ""https://odysia-cruise-uk.client.prod.eu-west.dreamlake.io"", """")"),"/cruise-lines/seabourn/seabourn-encore")</f>
        <v>/cruise-lines/seabourn/seabourn-encore</v>
      </c>
    </row>
    <row r="176">
      <c r="A176" s="221" t="s">
        <v>679</v>
      </c>
      <c r="B176" s="219" t="str">
        <f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220" t="str">
        <f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219" t="s">
        <v>680</v>
      </c>
      <c r="E176" s="219" t="str">
        <f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>
      <c r="A177" s="221" t="s">
        <v>681</v>
      </c>
      <c r="B177" s="219" t="str">
        <f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220" t="str">
        <f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219" t="s">
        <v>682</v>
      </c>
      <c r="E177" s="219" t="str">
        <f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>
      <c r="A178" s="221" t="s">
        <v>683</v>
      </c>
      <c r="B178" s="219" t="str">
        <f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220" t="str">
        <f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219" t="s">
        <v>684</v>
      </c>
      <c r="E178" s="219" t="str">
        <f>IFERROR(__xludf.DUMMYFUNCTION("REGEXREPLACE(D178, ""https://odysia-cruise-uk.client.prod.eu-west.dreamlake.io"", """")"),"/cruise-lines/princess-cruises/crown-princess")</f>
        <v>/cruise-lines/princess-cruises/crown-princess</v>
      </c>
    </row>
    <row r="179">
      <c r="A179" s="221" t="s">
        <v>685</v>
      </c>
      <c r="B179" s="219" t="str">
        <f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220" t="str">
        <f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219" t="s">
        <v>686</v>
      </c>
      <c r="E179" s="219" t="str">
        <f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>
      <c r="A180" s="221" t="s">
        <v>687</v>
      </c>
      <c r="B180" s="219" t="str">
        <f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220" t="str">
        <f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219" t="s">
        <v>688</v>
      </c>
      <c r="E180" s="219" t="str">
        <f>IFERROR(__xludf.DUMMYFUNCTION("REGEXREPLACE(D180, ""https://odysia-cruise-uk.client.prod.eu-west.dreamlake.io"", """")"),"/cruise-lines/msc-cruises/msc-magnifica")</f>
        <v>/cruise-lines/msc-cruises/msc-magnifica</v>
      </c>
    </row>
    <row r="181">
      <c r="A181" s="221" t="s">
        <v>689</v>
      </c>
      <c r="B181" s="219" t="str">
        <f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220" t="str">
        <f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219" t="s">
        <v>690</v>
      </c>
      <c r="E181" s="219" t="str">
        <f>IFERROR(__xludf.DUMMYFUNCTION("REGEXREPLACE(D181, ""https://odysia-cruise-uk.client.prod.eu-west.dreamlake.io"", """")"),"/cruise-lines/seabourn/seabourn-sojourn")</f>
        <v>/cruise-lines/seabourn/seabourn-sojourn</v>
      </c>
    </row>
    <row r="182">
      <c r="A182" s="221" t="s">
        <v>691</v>
      </c>
      <c r="B182" s="219" t="str">
        <f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220" t="str">
        <f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219" t="s">
        <v>692</v>
      </c>
      <c r="E182" s="219" t="str">
        <f>IFERROR(__xludf.DUMMYFUNCTION("REGEXREPLACE(D182, ""https://odysia-cruise-uk.client.prod.eu-west.dreamlake.io"", """")"),"/cruise-lines/msc-cruises/msc-splendida")</f>
        <v>/cruise-lines/msc-cruises/msc-splendida</v>
      </c>
    </row>
    <row r="183">
      <c r="A183" s="221" t="s">
        <v>693</v>
      </c>
      <c r="B183" s="219" t="str">
        <f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220" t="str">
        <f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219" t="s">
        <v>694</v>
      </c>
      <c r="E183" s="219" t="str">
        <f>IFERROR(__xludf.DUMMYFUNCTION("REGEXREPLACE(D183, ""https://odysia-cruise-uk.client.prod.eu-west.dreamlake.io"", """")"),"/cruise-lines/msc-cruises/msc-poesia")</f>
        <v>/cruise-lines/msc-cruises/msc-poesia</v>
      </c>
    </row>
    <row r="184">
      <c r="A184" s="221" t="s">
        <v>695</v>
      </c>
      <c r="B184" s="219" t="str">
        <f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220" t="str">
        <f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219" t="s">
        <v>696</v>
      </c>
      <c r="E184" s="219" t="str">
        <f>IFERROR(__xludf.DUMMYFUNCTION("REGEXREPLACE(D184, ""https://odysia-cruise-uk.client.prod.eu-west.dreamlake.io"", """")"),"/cruise-lines/msc-cruises/msc-sinfonia/cruises")</f>
        <v>/cruise-lines/msc-cruises/msc-sinfonia/cruises</v>
      </c>
    </row>
    <row r="185">
      <c r="A185" s="221" t="s">
        <v>697</v>
      </c>
      <c r="B185" s="219" t="str">
        <f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220" t="str">
        <f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219" t="s">
        <v>698</v>
      </c>
      <c r="E185" s="219" t="str">
        <f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>
      <c r="A186" s="221" t="s">
        <v>699</v>
      </c>
      <c r="B186" s="219" t="str">
        <f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220" t="str">
        <f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219" t="s">
        <v>700</v>
      </c>
      <c r="E186" s="219" t="str">
        <f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>
      <c r="A187" s="221" t="s">
        <v>701</v>
      </c>
      <c r="B187" s="219" t="str">
        <f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220" t="str">
        <f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219" t="s">
        <v>702</v>
      </c>
      <c r="E187" s="219" t="str">
        <f>IFERROR(__xludf.DUMMYFUNCTION("REGEXREPLACE(D187, ""https://odysia-cruise-uk.client.prod.eu-west.dreamlake.io"", """")"),"/cruise-lines/po-cruises/arcadia")</f>
        <v>/cruise-lines/po-cruises/arcadia</v>
      </c>
    </row>
    <row r="188">
      <c r="A188" s="221" t="s">
        <v>703</v>
      </c>
      <c r="B188" s="219" t="str">
        <f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220" t="str">
        <f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219" t="s">
        <v>704</v>
      </c>
      <c r="E188" s="219" t="str">
        <f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>
      <c r="A189" s="221" t="s">
        <v>705</v>
      </c>
      <c r="B189" s="219" t="str">
        <f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220" t="str">
        <f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219" t="s">
        <v>706</v>
      </c>
      <c r="E189" s="219" t="str">
        <f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>
      <c r="A190" s="221" t="s">
        <v>707</v>
      </c>
      <c r="B190" s="219" t="str">
        <f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220" t="str">
        <f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219" t="s">
        <v>708</v>
      </c>
      <c r="E190" s="219" t="str">
        <f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>
      <c r="A191" s="221" t="s">
        <v>709</v>
      </c>
      <c r="B191" s="219" t="str">
        <f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220" t="str">
        <f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219" t="s">
        <v>710</v>
      </c>
      <c r="E191" s="219" t="str">
        <f>IFERROR(__xludf.DUMMYFUNCTION("REGEXREPLACE(D191, ""https://odysia-cruise-uk.client.prod.eu-west.dreamlake.io"", """")"),"/cruise-lines/msc-cruises/msc-lirica")</f>
        <v>/cruise-lines/msc-cruises/msc-lirica</v>
      </c>
    </row>
    <row r="192">
      <c r="A192" s="221" t="s">
        <v>711</v>
      </c>
      <c r="B192" s="219" t="str">
        <f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220" t="str">
        <f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219" t="s">
        <v>712</v>
      </c>
      <c r="E192" s="219" t="str">
        <f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>
      <c r="A193" s="221" t="s">
        <v>713</v>
      </c>
      <c r="B193" s="219" t="str">
        <f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220" t="str">
        <f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219" t="s">
        <v>714</v>
      </c>
      <c r="E193" s="219" t="str">
        <f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>
      <c r="A194" s="221" t="s">
        <v>715</v>
      </c>
      <c r="B194" s="219" t="str">
        <f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220" t="str">
        <f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219" t="s">
        <v>716</v>
      </c>
      <c r="E194" s="219" t="str">
        <f>IFERROR(__xludf.DUMMYFUNCTION("REGEXREPLACE(D194, ""https://odysia-cruise-uk.client.prod.eu-west.dreamlake.io"", """")"),"/cruise-lines/msc-cruises/msc-fantasia")</f>
        <v>/cruise-lines/msc-cruises/msc-fantasia</v>
      </c>
    </row>
    <row r="195">
      <c r="A195" s="221" t="s">
        <v>717</v>
      </c>
      <c r="B195" s="219" t="str">
        <f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220" t="str">
        <f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219" t="s">
        <v>718</v>
      </c>
      <c r="E195" s="219" t="str">
        <f>IFERROR(__xludf.DUMMYFUNCTION("REGEXREPLACE(D195, ""https://odysia-cruise-uk.client.prod.eu-west.dreamlake.io"", """")"),"/cruise-lines/msc-cruises/msc-preziosa/cruises")</f>
        <v>/cruise-lines/msc-cruises/msc-preziosa/cruises</v>
      </c>
    </row>
    <row r="196">
      <c r="A196" s="221" t="s">
        <v>719</v>
      </c>
      <c r="B196" s="219" t="str">
        <f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220" t="str">
        <f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>
      <c r="A197" s="221" t="s">
        <v>720</v>
      </c>
      <c r="B197" s="219" t="str">
        <f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220" t="str">
        <f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219" t="s">
        <v>721</v>
      </c>
      <c r="E197" s="219" t="str">
        <f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>
      <c r="A198" s="221" t="s">
        <v>722</v>
      </c>
      <c r="B198" s="219" t="str">
        <f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220" t="str">
        <f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219" t="s">
        <v>723</v>
      </c>
      <c r="E198" s="219" t="str">
        <f>IFERROR(__xludf.DUMMYFUNCTION("REGEXREPLACE(D198, ""https://odysia-cruise-uk.client.prod.eu-west.dreamlake.io"", """")"),"/cruise-lines/celebrity-cruises/celebrity-xcel")</f>
        <v>/cruise-lines/celebrity-cruises/celebrity-xcel</v>
      </c>
    </row>
    <row r="199">
      <c r="A199" s="221" t="s">
        <v>724</v>
      </c>
      <c r="B199" s="219" t="str">
        <f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220" t="str">
        <f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>
      <c r="A200" s="221" t="s">
        <v>725</v>
      </c>
      <c r="B200" s="219" t="str">
        <f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220" t="str">
        <f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219" t="s">
        <v>726</v>
      </c>
      <c r="E200" s="219" t="str">
        <f>IFERROR(__xludf.DUMMYFUNCTION("REGEXREPLACE(D200, ""https://odysia-cruise-uk.client.prod.eu-west.dreamlake.io"", """")"),"/cruise-lines/oceania-cruises/oceania-insignia")</f>
        <v>/cruise-lines/oceania-cruises/oceania-insignia</v>
      </c>
    </row>
    <row r="201">
      <c r="A201" s="221" t="s">
        <v>727</v>
      </c>
      <c r="B201" s="219" t="str">
        <f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220" t="str">
        <f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219" t="s">
        <v>728</v>
      </c>
    </row>
    <row r="202">
      <c r="A202" s="221" t="s">
        <v>729</v>
      </c>
      <c r="B202" s="219" t="str">
        <f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220" t="str">
        <f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219" t="s">
        <v>730</v>
      </c>
      <c r="E202" s="219" t="str">
        <f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>
      <c r="A203" s="221" t="s">
        <v>731</v>
      </c>
      <c r="B203" s="219" t="str">
        <f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220" t="str">
        <f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>
      <c r="A204" s="221" t="s">
        <v>732</v>
      </c>
      <c r="B204" s="219" t="str">
        <f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220" t="str">
        <f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219" t="s">
        <v>733</v>
      </c>
      <c r="E204" s="219" t="str">
        <f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>
      <c r="A205" s="221" t="s">
        <v>734</v>
      </c>
      <c r="B205" s="219" t="str">
        <f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220" t="str">
        <f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>
      <c r="A206" s="221" t="s">
        <v>735</v>
      </c>
      <c r="B206" s="219" t="str">
        <f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220" t="str">
        <f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>
      <c r="A207" s="221" t="s">
        <v>736</v>
      </c>
      <c r="B207" s="219" t="str">
        <f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220" t="str">
        <f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219" t="s">
        <v>737</v>
      </c>
      <c r="E207" s="219" t="str">
        <f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>
      <c r="A208" s="221" t="s">
        <v>738</v>
      </c>
      <c r="B208" s="219" t="str">
        <f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220" t="str">
        <f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219" t="s">
        <v>739</v>
      </c>
      <c r="E208" s="219" t="str">
        <f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>
      <c r="A209" s="221" t="s">
        <v>740</v>
      </c>
      <c r="B209" s="219" t="str">
        <f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220" t="str">
        <f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219" t="s">
        <v>741</v>
      </c>
      <c r="E209" s="219" t="str">
        <f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>
      <c r="A210" s="221" t="s">
        <v>742</v>
      </c>
      <c r="B210" s="219" t="str">
        <f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220" t="str">
        <f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219" t="s">
        <v>743</v>
      </c>
      <c r="E210" s="219" t="str">
        <f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>
      <c r="A211" s="221" t="s">
        <v>744</v>
      </c>
      <c r="B211" s="219" t="str">
        <f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220" t="str">
        <f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219" t="s">
        <v>745</v>
      </c>
      <c r="E211" s="219" t="str">
        <f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>
      <c r="A212" s="221" t="s">
        <v>746</v>
      </c>
      <c r="B212" s="219" t="str">
        <f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220" t="str">
        <f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>
      <c r="A213" s="221" t="s">
        <v>747</v>
      </c>
      <c r="B213" s="219" t="str">
        <f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220" t="str">
        <f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219" t="s">
        <v>748</v>
      </c>
      <c r="E213" s="219" t="str">
        <f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>
      <c r="A214" s="221" t="s">
        <v>749</v>
      </c>
      <c r="B214" s="219" t="str">
        <f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220" t="str">
        <f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219" t="s">
        <v>750</v>
      </c>
      <c r="E214" s="219" t="str">
        <f>IFERROR(__xludf.DUMMYFUNCTION("REGEXREPLACE(D214, ""https://odysia-cruise-uk.client.prod.eu-west.dreamlake.io"", """")"),"/cruise-lines/oceania-cruises")</f>
        <v>/cruise-lines/oceania-cruises</v>
      </c>
    </row>
    <row r="215">
      <c r="A215" s="221" t="s">
        <v>751</v>
      </c>
      <c r="B215" s="219" t="str">
        <f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220" t="str">
        <f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219" t="s">
        <v>752</v>
      </c>
      <c r="E215" s="219" t="str">
        <f>IFERROR(__xludf.DUMMYFUNCTION("REGEXREPLACE(D215, ""https://odysia-cruise-uk.client.prod.eu-west.dreamlake.io"", """")"),"/cruise-lines/celebrity-cruises")</f>
        <v>/cruise-lines/celebrity-cruises</v>
      </c>
    </row>
    <row r="216">
      <c r="A216" s="221" t="s">
        <v>753</v>
      </c>
      <c r="B216" s="219" t="str">
        <f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220" t="str">
        <f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219" t="s">
        <v>754</v>
      </c>
      <c r="E216" s="219" t="str">
        <f>IFERROR(__xludf.DUMMYFUNCTION("REGEXREPLACE(D216, ""https://odysia-cruise-uk.client.prod.eu-west.dreamlake.io"", """")"),"/cruise-lines/costa-cruises/costa-pacifica")</f>
        <v>/cruise-lines/costa-cruises/costa-pacifica</v>
      </c>
    </row>
    <row r="217">
      <c r="A217" s="221" t="s">
        <v>755</v>
      </c>
      <c r="B217" s="219" t="str">
        <f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220" t="str">
        <f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219" t="s">
        <v>756</v>
      </c>
      <c r="E217" s="219" t="str">
        <f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>
      <c r="A218" s="221" t="s">
        <v>757</v>
      </c>
      <c r="B218" s="219" t="str">
        <f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220" t="str">
        <f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>
      <c r="A219" s="221" t="s">
        <v>758</v>
      </c>
      <c r="B219" s="219" t="str">
        <f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220" t="str">
        <f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219" t="s">
        <v>759</v>
      </c>
      <c r="E219" s="219" t="str">
        <f>IFERROR(__xludf.DUMMYFUNCTION("REGEXREPLACE(D219, ""https://odysia-cruise-uk.client.prod.eu-west.dreamlake.io"", """")"),"/cruise-lines/msc-cruises/msc-poesia/cruises")</f>
        <v>/cruise-lines/msc-cruises/msc-poesia/cruises</v>
      </c>
    </row>
    <row r="220">
      <c r="A220" s="221" t="s">
        <v>760</v>
      </c>
      <c r="B220" s="219" t="str">
        <f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220" t="str">
        <f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219" t="s">
        <v>761</v>
      </c>
      <c r="E220" s="219" t="str">
        <f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>
      <c r="A221" s="221" t="s">
        <v>762</v>
      </c>
      <c r="B221" s="219" t="str">
        <f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220" t="str">
        <f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219" t="s">
        <v>763</v>
      </c>
      <c r="E221" s="219" t="str">
        <f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>
      <c r="A222" s="221" t="s">
        <v>764</v>
      </c>
      <c r="B222" s="219" t="str">
        <f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220" t="str">
        <f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>
      <c r="A223" s="221" t="s">
        <v>765</v>
      </c>
      <c r="B223" s="219" t="str">
        <f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220" t="str">
        <f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219" t="s">
        <v>766</v>
      </c>
      <c r="E223" s="219" t="str">
        <f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>
      <c r="A224" s="221" t="s">
        <v>767</v>
      </c>
      <c r="B224" s="219" t="str">
        <f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220" t="str">
        <f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219" t="s">
        <v>768</v>
      </c>
      <c r="E224" s="219" t="str">
        <f>IFERROR(__xludf.DUMMYFUNCTION("REGEXREPLACE(D224, ""https://odysia-cruise-uk.client.prod.eu-west.dreamlake.io"", """")"),"/cruise-lines/cunard")</f>
        <v>/cruise-lines/cunard</v>
      </c>
    </row>
    <row r="225">
      <c r="A225" s="221" t="s">
        <v>769</v>
      </c>
      <c r="B225" s="219" t="str">
        <f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220" t="str">
        <f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219" t="s">
        <v>770</v>
      </c>
      <c r="E225" s="219" t="str">
        <f>IFERROR(__xludf.DUMMYFUNCTION("REGEXREPLACE(D225, ""https://odysia-cruise-uk.client.prod.eu-west.dreamlake.io"", """")"),"/cruise-lines/costa-cruises/costa-toscana")</f>
        <v>/cruise-lines/costa-cruises/costa-toscana</v>
      </c>
    </row>
    <row r="226">
      <c r="A226" s="221" t="s">
        <v>771</v>
      </c>
      <c r="B226" s="219" t="str">
        <f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220" t="str">
        <f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219" t="s">
        <v>772</v>
      </c>
      <c r="E226" s="219" t="str">
        <f>IFERROR(__xludf.DUMMYFUNCTION("REGEXREPLACE(D226, ""https://odysia-cruise-uk.client.prod.eu-west.dreamlake.io"", """")"),"/cruise-lines/princess-cruises/coral-princess")</f>
        <v>/cruise-lines/princess-cruises/coral-princess</v>
      </c>
    </row>
    <row r="227">
      <c r="A227" s="221" t="s">
        <v>773</v>
      </c>
      <c r="B227" s="219" t="str">
        <f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220" t="str">
        <f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219" t="s">
        <v>774</v>
      </c>
      <c r="E227" s="219" t="str">
        <f>IFERROR(__xludf.DUMMYFUNCTION("REGEXREPLACE(D227, ""https://odysia-cruise-uk.client.prod.eu-west.dreamlake.io"", """")"),"/cruise-lines/cunard/queen-elizabeth")</f>
        <v>/cruise-lines/cunard/queen-elizabeth</v>
      </c>
    </row>
    <row r="228">
      <c r="A228" s="221" t="s">
        <v>775</v>
      </c>
      <c r="B228" s="219" t="str">
        <f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220" t="str">
        <f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219" t="s">
        <v>776</v>
      </c>
      <c r="E228" s="219" t="str">
        <f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>
      <c r="A229" s="221" t="s">
        <v>777</v>
      </c>
      <c r="B229" s="219" t="str">
        <f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220" t="str">
        <f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219" t="s">
        <v>778</v>
      </c>
      <c r="E229" s="219" t="str">
        <f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>
      <c r="A230" s="221" t="s">
        <v>779</v>
      </c>
      <c r="B230" s="219" t="str">
        <f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220" t="str">
        <f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219" t="s">
        <v>780</v>
      </c>
      <c r="E230" s="219" t="str">
        <f>IFERROR(__xludf.DUMMYFUNCTION("REGEXREPLACE(D230, ""https://odysia-cruise-uk.client.prod.eu-west.dreamlake.io"", """")"),"/cruise-lines/msc-cruises/msc-fantasia/cruises")</f>
        <v>/cruise-lines/msc-cruises/msc-fantasia/cruises</v>
      </c>
    </row>
    <row r="231">
      <c r="A231" s="221" t="s">
        <v>781</v>
      </c>
      <c r="B231" s="219" t="str">
        <f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220" t="str">
        <f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219" t="s">
        <v>782</v>
      </c>
      <c r="E231" s="219" t="str">
        <f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>
      <c r="A232" s="221" t="s">
        <v>783</v>
      </c>
      <c r="B232" s="219" t="str">
        <f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220" t="str">
        <f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219" t="s">
        <v>784</v>
      </c>
      <c r="E232" s="219" t="str">
        <f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>
      <c r="A233" s="221" t="s">
        <v>785</v>
      </c>
      <c r="B233" s="219" t="str">
        <f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220" t="str">
        <f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219" t="s">
        <v>786</v>
      </c>
      <c r="E233" s="219" t="str">
        <f>IFERROR(__xludf.DUMMYFUNCTION("REGEXREPLACE(D233, ""https://odysia-cruise-uk.client.prod.eu-west.dreamlake.io"", """")"),"/cruise-lines/po-cruises/iona")</f>
        <v>/cruise-lines/po-cruises/iona</v>
      </c>
    </row>
    <row r="234">
      <c r="A234" s="221" t="s">
        <v>787</v>
      </c>
      <c r="B234" s="219" t="str">
        <f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220" t="str">
        <f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219" t="s">
        <v>788</v>
      </c>
      <c r="E234" s="219" t="str">
        <f>IFERROR(__xludf.DUMMYFUNCTION("REGEXREPLACE(D234, ""https://odysia-cruise-uk.client.prod.eu-west.dreamlake.io"", """")"),"/cruise-lines/msc-cruises/msc-virtuosa")</f>
        <v>/cruise-lines/msc-cruises/msc-virtuosa</v>
      </c>
    </row>
    <row r="235">
      <c r="A235" s="221" t="s">
        <v>789</v>
      </c>
      <c r="B235" s="219" t="str">
        <f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220" t="str">
        <f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219" t="s">
        <v>790</v>
      </c>
      <c r="E235" s="219" t="str">
        <f>IFERROR(__xludf.DUMMYFUNCTION("REGEXREPLACE(D235, ""https://odysia-cruise-uk.client.prod.eu-west.dreamlake.io"", """")"),"/cruise-lines/msc-cruises/msc-bellissima")</f>
        <v>/cruise-lines/msc-cruises/msc-bellissima</v>
      </c>
    </row>
    <row r="236">
      <c r="A236" s="221" t="s">
        <v>791</v>
      </c>
      <c r="B236" s="219" t="str">
        <f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220" t="str">
        <f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219" t="s">
        <v>792</v>
      </c>
      <c r="E236" s="219" t="str">
        <f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>
      <c r="A237" s="221" t="s">
        <v>793</v>
      </c>
      <c r="B237" s="219" t="str">
        <f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220" t="str">
        <f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219" t="s">
        <v>794</v>
      </c>
      <c r="E237" s="219" t="str">
        <f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>
      <c r="A238" s="221" t="s">
        <v>795</v>
      </c>
      <c r="B238" s="219" t="str">
        <f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220" t="str">
        <f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219" t="s">
        <v>796</v>
      </c>
      <c r="E238" s="219" t="str">
        <f>IFERROR(__xludf.DUMMYFUNCTION("REGEXREPLACE(D238, ""https://odysia-cruise-uk.client.prod.eu-west.dreamlake.io"", """")"),"/cruise-lines/explora-journeys/explora-i")</f>
        <v>/cruise-lines/explora-journeys/explora-i</v>
      </c>
    </row>
    <row r="239">
      <c r="A239" s="221" t="s">
        <v>797</v>
      </c>
      <c r="B239" s="219" t="str">
        <f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220" t="str">
        <f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219" t="s">
        <v>798</v>
      </c>
      <c r="E239" s="219" t="str">
        <f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>
      <c r="A240" s="221" t="s">
        <v>799</v>
      </c>
      <c r="B240" s="219" t="str">
        <f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220" t="str">
        <f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219" t="s">
        <v>800</v>
      </c>
      <c r="E240" s="219" t="str">
        <f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>
      <c r="A241" s="221" t="s">
        <v>801</v>
      </c>
      <c r="B241" s="219" t="str">
        <f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220" t="str">
        <f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219" t="s">
        <v>802</v>
      </c>
      <c r="E241" s="219" t="str">
        <f>IFERROR(__xludf.DUMMYFUNCTION("REGEXREPLACE(D241, ""https://odysia-cruise-uk.client.prod.eu-west.dreamlake.io"", """")"),"/cruise-lines/virgin-voyages/valiant-lady")</f>
        <v>/cruise-lines/virgin-voyages/valiant-lady</v>
      </c>
    </row>
    <row r="242">
      <c r="A242" s="221" t="s">
        <v>803</v>
      </c>
      <c r="B242" s="219" t="str">
        <f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220" t="str">
        <f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219" t="s">
        <v>804</v>
      </c>
      <c r="E242" s="219" t="str">
        <f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>
      <c r="A243" s="221" t="s">
        <v>805</v>
      </c>
      <c r="B243" s="219" t="str">
        <f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220" t="str">
        <f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219" t="s">
        <v>806</v>
      </c>
      <c r="E243" s="219" t="str">
        <f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>
      <c r="A244" s="221" t="s">
        <v>807</v>
      </c>
      <c r="B244" s="219" t="str">
        <f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220" t="str">
        <f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219" t="s">
        <v>808</v>
      </c>
      <c r="E244" s="219" t="str">
        <f>IFERROR(__xludf.DUMMYFUNCTION("REGEXREPLACE(D244, ""https://odysia-cruise-uk.client.prod.eu-west.dreamlake.io"", """")"),"/cruise-lines/costa-cruises/costa-diadema")</f>
        <v>/cruise-lines/costa-cruises/costa-diadema</v>
      </c>
    </row>
    <row r="245">
      <c r="A245" s="221" t="s">
        <v>809</v>
      </c>
      <c r="B245" s="219" t="str">
        <f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220" t="str">
        <f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219" t="s">
        <v>810</v>
      </c>
      <c r="E245" s="219" t="str">
        <f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>
      <c r="A246" s="221" t="s">
        <v>811</v>
      </c>
      <c r="B246" s="219" t="str">
        <f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220" t="str">
        <f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219" t="s">
        <v>812</v>
      </c>
    </row>
    <row r="247">
      <c r="A247" s="221" t="s">
        <v>813</v>
      </c>
      <c r="B247" s="219" t="str">
        <f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220" t="str">
        <f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219" t="s">
        <v>814</v>
      </c>
      <c r="E247" s="219" t="str">
        <f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>
      <c r="A248" s="221" t="s">
        <v>815</v>
      </c>
      <c r="B248" s="219" t="str">
        <f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220" t="str">
        <f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219" t="s">
        <v>816</v>
      </c>
      <c r="E248" s="219" t="str">
        <f>IFERROR(__xludf.DUMMYFUNCTION("REGEXREPLACE(D248, ""https://odysia-cruise-uk.client.prod.eu-west.dreamlake.io"", """")"),"/cruise-lines/seabourn/seabourn-quest")</f>
        <v>/cruise-lines/seabourn/seabourn-quest</v>
      </c>
    </row>
    <row r="249">
      <c r="A249" s="221" t="s">
        <v>817</v>
      </c>
      <c r="B249" s="219" t="str">
        <f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220" t="str">
        <f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219" t="s">
        <v>818</v>
      </c>
      <c r="E249" s="219" t="str">
        <f>IFERROR(__xludf.DUMMYFUNCTION("REGEXREPLACE(D249, ""https://odysia-cruise-uk.client.prod.eu-west.dreamlake.io"", """")"),"/cruise-lines/oceania-cruises/oceania-marina")</f>
        <v>/cruise-lines/oceania-cruises/oceania-marina</v>
      </c>
    </row>
    <row r="250">
      <c r="A250" s="221" t="s">
        <v>819</v>
      </c>
      <c r="B250" s="219" t="str">
        <f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220" t="str">
        <f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219" t="s">
        <v>820</v>
      </c>
      <c r="E250" s="219" t="str">
        <f>IFERROR(__xludf.DUMMYFUNCTION("REGEXREPLACE(D250, ""https://odysia-cruise-uk.client.prod.eu-west.dreamlake.io"", """")"),"/cruise-lines/fred-olsen-cruises")</f>
        <v>/cruise-lines/fred-olsen-cruises</v>
      </c>
    </row>
    <row r="251">
      <c r="A251" s="221" t="s">
        <v>821</v>
      </c>
      <c r="B251" s="219" t="str">
        <f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220" t="str">
        <f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219" t="s">
        <v>822</v>
      </c>
      <c r="E251" s="219" t="str">
        <f>IFERROR(__xludf.DUMMYFUNCTION("REGEXREPLACE(D251, ""https://odysia-cruise-uk.client.prod.eu-west.dreamlake.io"", """")"),"/cruise-lines/ambassador-cruise-line/cruises")</f>
        <v>/cruise-lines/ambassador-cruise-line/cruises</v>
      </c>
    </row>
    <row r="252">
      <c r="A252" s="221" t="s">
        <v>823</v>
      </c>
      <c r="B252" s="219" t="str">
        <f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220" t="str">
        <f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219" t="s">
        <v>824</v>
      </c>
      <c r="E252" s="219" t="str">
        <f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>
      <c r="A253" s="221" t="s">
        <v>825</v>
      </c>
      <c r="B253" s="219" t="str">
        <f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220" t="str">
        <f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219" t="s">
        <v>826</v>
      </c>
      <c r="E253" s="219" t="str">
        <f>IFERROR(__xludf.DUMMYFUNCTION("REGEXREPLACE(D253, ""https://odysia-cruise-uk.client.prod.eu-west.dreamlake.io"", """")"),"/cruise-lines/royal-caribbean")</f>
        <v>/cruise-lines/royal-caribbean</v>
      </c>
    </row>
    <row r="254">
      <c r="A254" s="221" t="s">
        <v>827</v>
      </c>
      <c r="B254" s="219" t="str">
        <f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220" t="str">
        <f>IFERROR(__xludf.DUMMYFUNCTION("REGEXREPLACE(B254, ""&lt;/loc&gt;"", """")"),"https://odysia-cruise-uk.client.prod.eu-west.dreamlake.io/destinations")</f>
        <v>https://odysia-cruise-uk.client.prod.eu-west.dreamlake.io/destinations</v>
      </c>
    </row>
    <row r="255">
      <c r="A255" s="221" t="s">
        <v>828</v>
      </c>
      <c r="B255" s="219" t="str">
        <f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220" t="str">
        <f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219" t="s">
        <v>829</v>
      </c>
      <c r="E255" s="219" t="str">
        <f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>
      <c r="A256" s="221" t="s">
        <v>830</v>
      </c>
      <c r="B256" s="219" t="str">
        <f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220" t="str">
        <f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219" t="s">
        <v>831</v>
      </c>
      <c r="E256" s="219" t="str">
        <f>IFERROR(__xludf.DUMMYFUNCTION("REGEXREPLACE(D256, ""https://odysia-cruise-uk.client.prod.eu-west.dreamlake.io"", """")"),"/cruise-lines/fred-olsen-cruises/balmoral")</f>
        <v>/cruise-lines/fred-olsen-cruises/balmoral</v>
      </c>
    </row>
    <row r="257">
      <c r="A257" s="221" t="s">
        <v>832</v>
      </c>
      <c r="B257" s="219" t="str">
        <f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220" t="str">
        <f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219" t="s">
        <v>833</v>
      </c>
      <c r="E257" s="219" t="str">
        <f>IFERROR(__xludf.DUMMYFUNCTION("REGEXREPLACE(D257, ""https://odysia-cruise-uk.client.prod.eu-west.dreamlake.io"", """")"),"/cruise-lines/seabourn")</f>
        <v>/cruise-lines/seabourn</v>
      </c>
    </row>
    <row r="258">
      <c r="A258" s="221" t="s">
        <v>834</v>
      </c>
      <c r="B258" s="219" t="str">
        <f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220" t="str">
        <f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219" t="s">
        <v>835</v>
      </c>
      <c r="E258" s="219" t="str">
        <f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>
      <c r="A259" s="221" t="s">
        <v>836</v>
      </c>
      <c r="B259" s="219" t="str">
        <f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220" t="str">
        <f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219" t="s">
        <v>837</v>
      </c>
      <c r="E259" s="219" t="str">
        <f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>
      <c r="A260" s="221" t="s">
        <v>838</v>
      </c>
      <c r="B260" s="219" t="str">
        <f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220" t="str">
        <f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219" t="s">
        <v>839</v>
      </c>
      <c r="E260" s="219" t="str">
        <f>IFERROR(__xludf.DUMMYFUNCTION("REGEXREPLACE(D260, ""https://odysia-cruise-uk.client.prod.eu-west.dreamlake.io"", """")"),"/cruise-lines/seabourn/seabourn-ovation")</f>
        <v>/cruise-lines/seabourn/seabourn-ovation</v>
      </c>
    </row>
    <row r="261">
      <c r="A261" s="221" t="s">
        <v>840</v>
      </c>
      <c r="B261" s="219" t="str">
        <f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220" t="str">
        <f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219" t="s">
        <v>841</v>
      </c>
      <c r="E261" s="219" t="str">
        <f>IFERROR(__xludf.DUMMYFUNCTION("REGEXREPLACE(D261, ""https://odysia-cruise-uk.client.prod.eu-west.dreamlake.io"", """")"),"/cruise-lines/po-cruises/aurora")</f>
        <v>/cruise-lines/po-cruises/aurora</v>
      </c>
    </row>
    <row r="262">
      <c r="A262" s="221" t="s">
        <v>842</v>
      </c>
      <c r="B262" s="219" t="str">
        <f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220" t="str">
        <f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219" t="s">
        <v>843</v>
      </c>
      <c r="E262" s="219" t="str">
        <f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>
      <c r="A263" s="221" t="s">
        <v>844</v>
      </c>
      <c r="B263" s="219" t="str">
        <f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220" t="str">
        <f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219" t="s">
        <v>845</v>
      </c>
      <c r="E263" s="219" t="str">
        <f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>
      <c r="A264" s="221" t="s">
        <v>846</v>
      </c>
      <c r="B264" s="219" t="str">
        <f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220" t="str">
        <f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219" t="s">
        <v>847</v>
      </c>
      <c r="E264" s="219" t="str">
        <f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>
      <c r="A265" s="221" t="s">
        <v>848</v>
      </c>
      <c r="B265" s="219" t="str">
        <f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220" t="str">
        <f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219" t="s">
        <v>849</v>
      </c>
      <c r="E265" s="219" t="str">
        <f>IFERROR(__xludf.DUMMYFUNCTION("REGEXREPLACE(D265, ""https://odysia-cruise-uk.client.prod.eu-west.dreamlake.io"", """")"),"/cruise-lines/msc-cruises/msc-preziosa")</f>
        <v>/cruise-lines/msc-cruises/msc-preziosa</v>
      </c>
    </row>
    <row r="266">
      <c r="A266" s="221" t="s">
        <v>850</v>
      </c>
      <c r="B266" s="219" t="str">
        <f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220" t="str">
        <f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219" t="s">
        <v>851</v>
      </c>
      <c r="E266" s="219" t="str">
        <f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>
      <c r="A267" s="221" t="s">
        <v>852</v>
      </c>
      <c r="B267" s="219" t="str">
        <f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220" t="str">
        <f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219" t="s">
        <v>853</v>
      </c>
      <c r="E267" s="219" t="str">
        <f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>
      <c r="A268" s="221" t="s">
        <v>854</v>
      </c>
      <c r="B268" s="219" t="str">
        <f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220" t="str">
        <f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219" t="s">
        <v>855</v>
      </c>
      <c r="E268" s="219" t="str">
        <f>IFERROR(__xludf.DUMMYFUNCTION("REGEXREPLACE(D268, ""https://odysia-cruise-uk.client.prod.eu-west.dreamlake.io"", """")"),"/cruise-lines/msc-cruises/msc-musica/cruises")</f>
        <v>/cruise-lines/msc-cruises/msc-musica/cruises</v>
      </c>
    </row>
    <row r="269">
      <c r="A269" s="221" t="s">
        <v>856</v>
      </c>
      <c r="B269" s="219" t="str">
        <f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220" t="str">
        <f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219" t="s">
        <v>857</v>
      </c>
      <c r="E269" s="219" t="str">
        <f>IFERROR(__xludf.DUMMYFUNCTION("REGEXREPLACE(D269, ""https://odysia-cruise-uk.client.prod.eu-west.dreamlake.io"", """")"),"/cruise-lines/norwegian-cruise-line")</f>
        <v>/cruise-lines/norwegian-cruise-line</v>
      </c>
    </row>
    <row r="270">
      <c r="A270" s="221" t="s">
        <v>858</v>
      </c>
      <c r="B270" s="219" t="str">
        <f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220" t="str">
        <f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219" t="s">
        <v>859</v>
      </c>
    </row>
    <row r="271">
      <c r="A271" s="221" t="s">
        <v>860</v>
      </c>
      <c r="B271" s="219" t="str">
        <f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220" t="str">
        <f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219" t="s">
        <v>861</v>
      </c>
      <c r="E271" s="219" t="str">
        <f>IFERROR(__xludf.DUMMYFUNCTION("REGEXREPLACE(D271, ""https://odysia-cruise-uk.client.prod.eu-west.dreamlake.io"", """")"),"/cruise-lines/ambassador-cruise-line/ambience")</f>
        <v>/cruise-lines/ambassador-cruise-line/ambience</v>
      </c>
    </row>
    <row r="272">
      <c r="A272" s="221" t="s">
        <v>862</v>
      </c>
      <c r="B272" s="219" t="str">
        <f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220" t="str">
        <f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219" t="s">
        <v>863</v>
      </c>
      <c r="E272" s="219" t="str">
        <f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>
      <c r="A273" s="221" t="s">
        <v>864</v>
      </c>
      <c r="B273" s="219" t="str">
        <f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220" t="str">
        <f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219" t="s">
        <v>865</v>
      </c>
      <c r="E273" s="219" t="str">
        <f>IFERROR(__xludf.DUMMYFUNCTION("REGEXREPLACE(D273, ""https://odysia-cruise-uk.client.prod.eu-west.dreamlake.io"", """")"),"/cruise-lines/explora-journeys/explora-iii")</f>
        <v>/cruise-lines/explora-journeys/explora-iii</v>
      </c>
    </row>
    <row r="274">
      <c r="A274" s="221" t="s">
        <v>866</v>
      </c>
      <c r="B274" s="219" t="str">
        <f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220" t="str">
        <f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219" t="s">
        <v>867</v>
      </c>
      <c r="E274" s="219" t="str">
        <f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>
      <c r="A275" s="221" t="s">
        <v>868</v>
      </c>
      <c r="B275" s="219" t="str">
        <f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220" t="str">
        <f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219" t="s">
        <v>869</v>
      </c>
      <c r="E275" s="219" t="str">
        <f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>
      <c r="A276" s="221" t="s">
        <v>870</v>
      </c>
      <c r="B276" s="219" t="str">
        <f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220" t="str">
        <f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219" t="s">
        <v>871</v>
      </c>
      <c r="E276" s="219" t="str">
        <f>IFERROR(__xludf.DUMMYFUNCTION("REGEXREPLACE(D276, ""https://odysia-cruise-uk.client.prod.eu-west.dreamlake.io"", """")"),"/cruise-lines/costa-cruises/costa-fascinosa")</f>
        <v>/cruise-lines/costa-cruises/costa-fascinosa</v>
      </c>
    </row>
    <row r="277">
      <c r="A277" s="221" t="s">
        <v>872</v>
      </c>
      <c r="B277" s="219" t="str">
        <f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220" t="str">
        <f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219" t="s">
        <v>873</v>
      </c>
      <c r="E277" s="219" t="str">
        <f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>
      <c r="A278" s="221" t="s">
        <v>874</v>
      </c>
      <c r="B278" s="219" t="str">
        <f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220" t="str">
        <f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219" t="s">
        <v>875</v>
      </c>
      <c r="E278" s="219" t="str">
        <f>IFERROR(__xludf.DUMMYFUNCTION("REGEXREPLACE(D278, ""https://odysia-cruise-uk.client.prod.eu-west.dreamlake.io"", """")"),"/cruise-lines/princess-cruises/diamond-princess")</f>
        <v>/cruise-lines/princess-cruises/diamond-princess</v>
      </c>
    </row>
    <row r="279">
      <c r="A279" s="221" t="s">
        <v>876</v>
      </c>
      <c r="B279" s="219" t="str">
        <f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220" t="str">
        <f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219" t="s">
        <v>877</v>
      </c>
      <c r="E279" s="219" t="str">
        <f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>
      <c r="A280" s="221" t="s">
        <v>878</v>
      </c>
      <c r="B280" s="219" t="str">
        <f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220" t="str">
        <f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219" t="s">
        <v>879</v>
      </c>
      <c r="E280" s="219" t="str">
        <f>IFERROR(__xludf.DUMMYFUNCTION("REGEXREPLACE(D280, ""https://odysia-cruise-uk.client.prod.eu-west.dreamlake.io"", """")"),"/cruise-lines/explora-journeys")</f>
        <v>/cruise-lines/explora-journeys</v>
      </c>
    </row>
    <row r="281">
      <c r="A281" s="221" t="s">
        <v>880</v>
      </c>
      <c r="B281" s="219" t="str">
        <f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220" t="str">
        <f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219" t="s">
        <v>881</v>
      </c>
      <c r="E281" s="219" t="str">
        <f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>
      <c r="A282" s="221" t="s">
        <v>882</v>
      </c>
      <c r="B282" s="219" t="str">
        <f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220" t="str">
        <f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219" t="s">
        <v>883</v>
      </c>
      <c r="E282" s="219" t="str">
        <f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>
      <c r="A283" s="221" t="s">
        <v>884</v>
      </c>
      <c r="B283" s="219" t="str">
        <f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220" t="str">
        <f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219" t="s">
        <v>885</v>
      </c>
      <c r="E283" s="219" t="str">
        <f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>
      <c r="A284" s="221" t="s">
        <v>886</v>
      </c>
      <c r="B284" s="219" t="str">
        <f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220" t="str">
        <f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219" t="s">
        <v>887</v>
      </c>
      <c r="E284" s="219" t="str">
        <f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>
      <c r="A285" s="221" t="s">
        <v>888</v>
      </c>
      <c r="B285" s="219" t="str">
        <f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220" t="str">
        <f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219" t="s">
        <v>889</v>
      </c>
      <c r="E285" s="219" t="str">
        <f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>
      <c r="A286" s="221" t="s">
        <v>890</v>
      </c>
      <c r="B286" s="219" t="str">
        <f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220" t="str">
        <f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219" t="s">
        <v>891</v>
      </c>
      <c r="E286" s="219" t="str">
        <f>IFERROR(__xludf.DUMMYFUNCTION("REGEXREPLACE(D286, ""https://odysia-cruise-uk.client.prod.eu-west.dreamlake.io"", """")"),"/cruise-lines/princess-cruises/grand-princess")</f>
        <v>/cruise-lines/princess-cruises/grand-princess</v>
      </c>
    </row>
    <row r="287">
      <c r="A287" s="221" t="s">
        <v>892</v>
      </c>
      <c r="B287" s="219" t="str">
        <f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220" t="str">
        <f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219" t="s">
        <v>893</v>
      </c>
      <c r="E287" s="219" t="str">
        <f>IFERROR(__xludf.DUMMYFUNCTION("REGEXREPLACE(D287, ""https://odysia-cruise-uk.client.prod.eu-west.dreamlake.io"", """")"),"/cruise-lines/costa-cruises/costa-deliziosa")</f>
        <v>/cruise-lines/costa-cruises/costa-deliziosa</v>
      </c>
    </row>
    <row r="288">
      <c r="A288" s="221" t="s">
        <v>894</v>
      </c>
      <c r="B288" s="219" t="str">
        <f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220" t="str">
        <f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219" t="s">
        <v>895</v>
      </c>
      <c r="E288" s="219" t="str">
        <f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>
      <c r="A289" s="221" t="s">
        <v>896</v>
      </c>
      <c r="B289" s="219" t="str">
        <f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220" t="str">
        <f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219" t="s">
        <v>897</v>
      </c>
      <c r="E289" s="219" t="str">
        <f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>
      <c r="A290" s="221" t="s">
        <v>898</v>
      </c>
      <c r="B290" s="219" t="str">
        <f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220" t="str">
        <f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219" t="s">
        <v>899</v>
      </c>
      <c r="E290" s="219" t="str">
        <f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>
      <c r="A291" s="221" t="s">
        <v>900</v>
      </c>
      <c r="B291" s="219" t="str">
        <f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220" t="str">
        <f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219" t="s">
        <v>901</v>
      </c>
      <c r="E291" s="219" t="str">
        <f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>
      <c r="A292" s="221" t="s">
        <v>902</v>
      </c>
      <c r="B292" s="219" t="str">
        <f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220" t="str">
        <f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>
      <c r="A293" s="221" t="s">
        <v>903</v>
      </c>
      <c r="B293" s="219" t="str">
        <f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220" t="str">
        <f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219" t="s">
        <v>904</v>
      </c>
      <c r="E293" s="219" t="str">
        <f>IFERROR(__xludf.DUMMYFUNCTION("REGEXREPLACE(D293, ""https://odysia-cruise-uk.client.prod.eu-west.dreamlake.io"", """")"),"/cruise-lines/msc-cruises/msc-seascape/cruises")</f>
        <v>/cruise-lines/msc-cruises/msc-seascape/cruises</v>
      </c>
    </row>
    <row r="294">
      <c r="A294" s="221" t="s">
        <v>905</v>
      </c>
      <c r="B294" s="219" t="str">
        <f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220" t="str">
        <f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219" t="s">
        <v>906</v>
      </c>
      <c r="E294" s="219" t="str">
        <f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>
      <c r="A295" s="221" t="s">
        <v>907</v>
      </c>
      <c r="B295" s="219" t="str">
        <f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220" t="str">
        <f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219" t="s">
        <v>908</v>
      </c>
      <c r="E295" s="219" t="str">
        <f>IFERROR(__xludf.DUMMYFUNCTION("REGEXREPLACE(D295, ""https://odysia-cruise-uk.client.prod.eu-west.dreamlake.io"", """")"),"/cruise-lines/oceania-cruises/oceania-allura")</f>
        <v>/cruise-lines/oceania-cruises/oceania-allura</v>
      </c>
    </row>
    <row r="296">
      <c r="A296" s="221" t="s">
        <v>909</v>
      </c>
      <c r="B296" s="219" t="str">
        <f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220" t="str">
        <f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219" t="s">
        <v>910</v>
      </c>
      <c r="E296" s="219" t="str">
        <f>IFERROR(__xludf.DUMMYFUNCTION("REGEXREPLACE(D296, ""https://odysia-cruise-uk.client.prod.eu-west.dreamlake.io"", """")"),"/cruise-lines/po-cruises/azura")</f>
        <v>/cruise-lines/po-cruises/azura</v>
      </c>
    </row>
    <row r="297">
      <c r="A297" s="221" t="s">
        <v>911</v>
      </c>
      <c r="B297" s="219" t="str">
        <f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220" t="str">
        <f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219" t="s">
        <v>912</v>
      </c>
      <c r="E297" s="219" t="str">
        <f>IFERROR(__xludf.DUMMYFUNCTION("REGEXREPLACE(D297, ""https://odysia-cruise-uk.client.prod.eu-west.dreamlake.io"", """")"),"/cruise-lines/po-cruises/britannia")</f>
        <v>/cruise-lines/po-cruises/britannia</v>
      </c>
    </row>
    <row r="298">
      <c r="A298" s="221" t="s">
        <v>913</v>
      </c>
      <c r="B298" s="219" t="str">
        <f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220" t="str">
        <f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219" t="s">
        <v>914</v>
      </c>
      <c r="E298" s="219" t="str">
        <f>IFERROR(__xludf.DUMMYFUNCTION("REGEXREPLACE(D298, ""https://odysia-cruise-uk.client.prod.eu-west.dreamlake.io"", """")"),"/cruise-lines/explora-journeys/cruises")</f>
        <v>/cruise-lines/explora-journeys/cruises</v>
      </c>
    </row>
    <row r="299">
      <c r="A299" s="221" t="s">
        <v>915</v>
      </c>
      <c r="B299" s="219" t="str">
        <f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220" t="str">
        <f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219" t="s">
        <v>916</v>
      </c>
      <c r="E299" s="219" t="str">
        <f>IFERROR(__xludf.DUMMYFUNCTION("REGEXREPLACE(D299, ""https://odysia-cruise-uk.client.prod.eu-west.dreamlake.io"", """")"),"/cruise-lines/celebrity-cruises/celebrity-apex")</f>
        <v>/cruise-lines/celebrity-cruises/celebrity-apex</v>
      </c>
    </row>
    <row r="300">
      <c r="A300" s="221" t="s">
        <v>917</v>
      </c>
      <c r="B300" s="219" t="str">
        <f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220" t="str">
        <f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219" t="s">
        <v>918</v>
      </c>
      <c r="E300" s="219" t="str">
        <f>IFERROR(__xludf.DUMMYFUNCTION("REGEXREPLACE(D300, ""https://odysia-cruise-uk.client.prod.eu-west.dreamlake.io"", """")"),"/cruise-lines/po-cruises/ventura")</f>
        <v>/cruise-lines/po-cruises/ventura</v>
      </c>
    </row>
    <row r="301">
      <c r="A301" s="221" t="s">
        <v>919</v>
      </c>
      <c r="B301" s="219" t="str">
        <f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220" t="str">
        <f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>
      <c r="A302" s="221" t="s">
        <v>920</v>
      </c>
      <c r="B302" s="219" t="str">
        <f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220" t="str">
        <f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219" t="s">
        <v>921</v>
      </c>
      <c r="E302" s="219" t="str">
        <f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>
      <c r="A303" s="221" t="s">
        <v>922</v>
      </c>
      <c r="B303" s="219" t="str">
        <f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220" t="str">
        <f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219" t="s">
        <v>923</v>
      </c>
      <c r="E303" s="219" t="str">
        <f>IFERROR(__xludf.DUMMYFUNCTION("REGEXREPLACE(D303, ""https://odysia-cruise-uk.client.prod.eu-west.dreamlake.io"", """")"),"/cruise-lines/oceania-cruises/oceania-sirena")</f>
        <v>/cruise-lines/oceania-cruises/oceania-sirena</v>
      </c>
    </row>
    <row r="304">
      <c r="A304" s="221" t="s">
        <v>924</v>
      </c>
      <c r="B304" s="219" t="str">
        <f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220" t="str">
        <f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219" t="s">
        <v>925</v>
      </c>
      <c r="E304" s="219" t="str">
        <f>IFERROR(__xludf.DUMMYFUNCTION("REGEXREPLACE(D304, ""https://odysia-cruise-uk.client.prod.eu-west.dreamlake.io"", """")"),"/cruise-lines/msc-cruises/msc-divina")</f>
        <v>/cruise-lines/msc-cruises/msc-divina</v>
      </c>
    </row>
    <row r="305">
      <c r="A305" s="221" t="s">
        <v>926</v>
      </c>
      <c r="B305" s="219" t="str">
        <f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220" t="str">
        <f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219" t="s">
        <v>927</v>
      </c>
      <c r="E305" s="219" t="str">
        <f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>
      <c r="A306" s="221" t="s">
        <v>928</v>
      </c>
      <c r="B306" s="219" t="str">
        <f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220" t="str">
        <f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219" t="s">
        <v>929</v>
      </c>
      <c r="E306" s="219" t="str">
        <f>IFERROR(__xludf.DUMMYFUNCTION("REGEXREPLACE(D306, ""https://odysia-cruise-uk.client.prod.eu-west.dreamlake.io"", """")"),"/cruise-lines/msc-cruises/msc-seaview")</f>
        <v>/cruise-lines/msc-cruises/msc-seaview</v>
      </c>
    </row>
    <row r="307">
      <c r="A307" s="221" t="s">
        <v>930</v>
      </c>
      <c r="B307" s="219" t="str">
        <f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220" t="str">
        <f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219" t="s">
        <v>931</v>
      </c>
      <c r="E307" s="219" t="str">
        <f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>
      <c r="A308" s="221" t="s">
        <v>932</v>
      </c>
      <c r="B308" s="219" t="str">
        <f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220" t="str">
        <f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219" t="s">
        <v>933</v>
      </c>
      <c r="E308" s="219" t="str">
        <f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>
      <c r="A309" s="221" t="s">
        <v>934</v>
      </c>
      <c r="B309" s="219" t="str">
        <f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220" t="str">
        <f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219" t="s">
        <v>935</v>
      </c>
      <c r="E309" s="219" t="str">
        <f>IFERROR(__xludf.DUMMYFUNCTION("REGEXREPLACE(D309, ""https://odysia-cruise-uk.client.prod.eu-west.dreamlake.io"", """")"),"/cruise-lines/msc-cruises/msc-grandiosa/cruises")</f>
        <v>/cruise-lines/msc-cruises/msc-grandiosa/cruises</v>
      </c>
    </row>
    <row r="310">
      <c r="A310" s="221" t="s">
        <v>936</v>
      </c>
      <c r="B310" s="219" t="str">
        <f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220" t="str">
        <f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219" t="s">
        <v>937</v>
      </c>
      <c r="E310" s="219" t="str">
        <f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>
      <c r="A311" s="221" t="s">
        <v>938</v>
      </c>
      <c r="B311" s="219" t="str">
        <f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220" t="str">
        <f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219" t="s">
        <v>939</v>
      </c>
    </row>
    <row r="312">
      <c r="A312" s="221" t="s">
        <v>940</v>
      </c>
      <c r="B312" s="219" t="str">
        <f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220" t="str">
        <f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219" t="s">
        <v>941</v>
      </c>
      <c r="E312" s="219" t="str">
        <f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>
      <c r="A313" s="221" t="s">
        <v>942</v>
      </c>
      <c r="B313" s="219" t="str">
        <f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220" t="str">
        <f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219" t="s">
        <v>943</v>
      </c>
      <c r="E313" s="219" t="str">
        <f>IFERROR(__xludf.DUMMYFUNCTION("REGEXREPLACE(D313, ""https://odysia-cruise-uk.client.prod.eu-west.dreamlake.io"", """")"),"/cruise-lines/po-cruises/aurora/cruises")</f>
        <v>/cruise-lines/po-cruises/aurora/cruises</v>
      </c>
    </row>
    <row r="314">
      <c r="A314" s="221" t="s">
        <v>944</v>
      </c>
      <c r="B314" s="219" t="str">
        <f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220" t="str">
        <f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219" t="s">
        <v>945</v>
      </c>
      <c r="E314" s="219" t="str">
        <f>IFERROR(__xludf.DUMMYFUNCTION("REGEXREPLACE(D314, ""https://odysia-cruise-uk.client.prod.eu-west.dreamlake.io"", """")"),"/cruise-lines/holland-america-line/noordam")</f>
        <v>/cruise-lines/holland-america-line/noordam</v>
      </c>
    </row>
    <row r="315">
      <c r="A315" s="221" t="s">
        <v>946</v>
      </c>
      <c r="B315" s="219" t="str">
        <f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220" t="str">
        <f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219" t="s">
        <v>947</v>
      </c>
      <c r="E315" s="219" t="str">
        <f>IFERROR(__xludf.DUMMYFUNCTION("REGEXREPLACE(D315, ""https://odysia-cruise-uk.client.prod.eu-west.dreamlake.io"", """")"),"/cruise-lines/po-cruises/britannia/cruises")</f>
        <v>/cruise-lines/po-cruises/britannia/cruises</v>
      </c>
    </row>
    <row r="316">
      <c r="A316" s="221" t="s">
        <v>948</v>
      </c>
      <c r="B316" s="219" t="str">
        <f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220" t="str">
        <f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219" t="s">
        <v>949</v>
      </c>
      <c r="E316" s="219" t="str">
        <f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>
      <c r="A317" s="221" t="s">
        <v>950</v>
      </c>
      <c r="B317" s="219" t="str">
        <f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220" t="str">
        <f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219" t="s">
        <v>951</v>
      </c>
      <c r="E317" s="219" t="str">
        <f>IFERROR(__xludf.DUMMYFUNCTION("REGEXREPLACE(D317, ""https://odysia-cruise-uk.client.prod.eu-west.dreamlake.io"", """")"),"/cruise-lines/costa-cruises/costa-favolosa")</f>
        <v>/cruise-lines/costa-cruises/costa-favolosa</v>
      </c>
    </row>
    <row r="318">
      <c r="A318" s="221" t="s">
        <v>952</v>
      </c>
      <c r="B318" s="219" t="str">
        <f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220" t="str">
        <f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>
      <c r="A319" s="221" t="s">
        <v>953</v>
      </c>
      <c r="B319" s="219" t="str">
        <f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220" t="str">
        <f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219" t="s">
        <v>954</v>
      </c>
      <c r="E319" s="219" t="str">
        <f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>
      <c r="A320" s="221" t="s">
        <v>955</v>
      </c>
      <c r="B320" s="219" t="str">
        <f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220" t="str">
        <f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219" t="s">
        <v>956</v>
      </c>
      <c r="E320" s="219" t="str">
        <f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>
      <c r="A321" s="221" t="s">
        <v>957</v>
      </c>
      <c r="B321" s="219" t="str">
        <f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220" t="str">
        <f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219" t="s">
        <v>958</v>
      </c>
      <c r="E321" s="219" t="str">
        <f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>
      <c r="A322" s="221" t="s">
        <v>959</v>
      </c>
      <c r="B322" s="219" t="str">
        <f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220" t="str">
        <f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219" t="s">
        <v>960</v>
      </c>
      <c r="E322" s="219" t="str">
        <f>IFERROR(__xludf.DUMMYFUNCTION("REGEXREPLACE(D322, ""https://odysia-cruise-uk.client.prod.eu-west.dreamlake.io"", """")"),"/cruise-lines/holland-america-line/volendam")</f>
        <v>/cruise-lines/holland-america-line/volendam</v>
      </c>
    </row>
    <row r="323">
      <c r="A323" s="221" t="s">
        <v>961</v>
      </c>
      <c r="B323" s="219" t="str">
        <f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220" t="str">
        <f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219" t="s">
        <v>962</v>
      </c>
    </row>
    <row r="324">
      <c r="A324" s="221" t="s">
        <v>963</v>
      </c>
      <c r="B324" s="219" t="str">
        <f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220" t="str">
        <f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219" t="s">
        <v>964</v>
      </c>
      <c r="E324" s="219" t="str">
        <f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>
      <c r="A325" s="221" t="s">
        <v>965</v>
      </c>
      <c r="B325" s="219" t="str">
        <f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220" t="str">
        <f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219" t="s">
        <v>966</v>
      </c>
      <c r="E325" s="219" t="str">
        <f>IFERROR(__xludf.DUMMYFUNCTION("REGEXREPLACE(D325, ""https://odysia-cruise-uk.client.prod.eu-west.dreamlake.io"", """")"),"/cruise-lines/po-cruises/arcadia/cruises")</f>
        <v>/cruise-lines/po-cruises/arcadia/cruises</v>
      </c>
    </row>
    <row r="326">
      <c r="A326" s="221" t="s">
        <v>967</v>
      </c>
      <c r="B326" s="219" t="str">
        <f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220" t="str">
        <f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219" t="s">
        <v>968</v>
      </c>
      <c r="E326" s="219" t="str">
        <f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>
      <c r="A327" s="221" t="s">
        <v>969</v>
      </c>
      <c r="B327" s="219" t="str">
        <f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220" t="str">
        <f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219" t="s">
        <v>970</v>
      </c>
      <c r="E327" s="219" t="str">
        <f>IFERROR(__xludf.DUMMYFUNCTION("REGEXREPLACE(D327, ""https://odysia-cruise-uk.client.prod.eu-west.dreamlake.io"", """")"),"/cruise-lines/seabourn/seabourn-quest/cruises")</f>
        <v>/cruise-lines/seabourn/seabourn-quest/cruises</v>
      </c>
    </row>
    <row r="328">
      <c r="A328" s="221" t="s">
        <v>971</v>
      </c>
      <c r="B328" s="219" t="str">
        <f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220" t="str">
        <f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>
      <c r="A329" s="221" t="s">
        <v>972</v>
      </c>
      <c r="B329" s="219" t="str">
        <f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220" t="str">
        <f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219" t="s">
        <v>973</v>
      </c>
      <c r="E329" s="219" t="str">
        <f>IFERROR(__xludf.DUMMYFUNCTION("REGEXREPLACE(D329, ""https://odysia-cruise-uk.client.prod.eu-west.dreamlake.io"", """")"),"/cruise-lines/msc-cruises/msc-sinfonia")</f>
        <v>/cruise-lines/msc-cruises/msc-sinfonia</v>
      </c>
    </row>
    <row r="330">
      <c r="A330" s="221" t="s">
        <v>974</v>
      </c>
      <c r="B330" s="219" t="str">
        <f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220" t="str">
        <f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219" t="s">
        <v>975</v>
      </c>
      <c r="E330" s="219" t="str">
        <f>IFERROR(__xludf.DUMMYFUNCTION("REGEXREPLACE(D330, ""https://odysia-cruise-uk.client.prod.eu-west.dreamlake.io"", """")"),"/cruise-lines/seabourn/seabourn-sojourn/cruises")</f>
        <v>/cruise-lines/seabourn/seabourn-sojourn/cruises</v>
      </c>
    </row>
    <row r="331">
      <c r="A331" s="221" t="s">
        <v>976</v>
      </c>
      <c r="B331" s="219" t="str">
        <f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220" t="str">
        <f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219" t="s">
        <v>977</v>
      </c>
      <c r="E331" s="219" t="str">
        <f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>
      <c r="A332" s="221" t="s">
        <v>978</v>
      </c>
      <c r="B332" s="219" t="str">
        <f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220" t="str">
        <f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219" t="s">
        <v>979</v>
      </c>
      <c r="E332" s="219" t="str">
        <f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>
      <c r="A333" s="221" t="s">
        <v>980</v>
      </c>
      <c r="B333" s="219" t="str">
        <f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220" t="str">
        <f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219" t="s">
        <v>981</v>
      </c>
      <c r="E333" s="219" t="str">
        <f>IFERROR(__xludf.DUMMYFUNCTION("REGEXREPLACE(D333, ""https://odysia-cruise-uk.client.prod.eu-west.dreamlake.io"", """")"),"/cruise-lines/msc-cruises/msc-opera")</f>
        <v>/cruise-lines/msc-cruises/msc-opera</v>
      </c>
    </row>
    <row r="334">
      <c r="A334" s="221" t="s">
        <v>982</v>
      </c>
      <c r="B334" s="219" t="str">
        <f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220" t="str">
        <f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219" t="s">
        <v>983</v>
      </c>
      <c r="E334" s="219" t="str">
        <f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>
      <c r="A335" s="221" t="s">
        <v>984</v>
      </c>
      <c r="B335" s="219" t="str">
        <f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220" t="str">
        <f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219" t="s">
        <v>985</v>
      </c>
      <c r="E335" s="219" t="str">
        <f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>
      <c r="A336" s="221" t="s">
        <v>986</v>
      </c>
      <c r="B336" s="219" t="str">
        <f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220" t="str">
        <f>IFERROR(__xludf.DUMMYFUNCTION("REGEXREPLACE(B336, ""&lt;/loc&gt;"", """")"),"https://odysia-cruise-uk.client.prod.eu-west.dreamlake.io/cruises")</f>
        <v>https://odysia-cruise-uk.client.prod.eu-west.dreamlake.io/cruises</v>
      </c>
    </row>
    <row r="337">
      <c r="A337" s="221" t="s">
        <v>987</v>
      </c>
      <c r="B337" s="219" t="str">
        <f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220" t="str">
        <f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219" t="s">
        <v>988</v>
      </c>
      <c r="E337" s="219" t="str">
        <f>IFERROR(__xludf.DUMMYFUNCTION("REGEXREPLACE(D337, ""https://odysia-cruise-uk.client.prod.eu-west.dreamlake.io"", """")"),"/cruise-lines/cunard/queen-mary-2")</f>
        <v>/cruise-lines/cunard/queen-mary-2</v>
      </c>
    </row>
    <row r="338">
      <c r="A338" s="221" t="s">
        <v>989</v>
      </c>
      <c r="B338" s="219" t="str">
        <f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220" t="str">
        <f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219" t="s">
        <v>990</v>
      </c>
      <c r="E338" s="219" t="str">
        <f>IFERROR(__xludf.DUMMYFUNCTION("REGEXREPLACE(D338, ""https://odysia-cruise-uk.client.prod.eu-west.dreamlake.io"", """")"),"/cruise-lines/fred-olsen-cruises/bolette")</f>
        <v>/cruise-lines/fred-olsen-cruises/bolette</v>
      </c>
    </row>
    <row r="339">
      <c r="A339" s="221" t="s">
        <v>991</v>
      </c>
      <c r="B339" s="219" t="str">
        <f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220" t="str">
        <f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219" t="s">
        <v>992</v>
      </c>
      <c r="E339" s="219" t="str">
        <f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>
      <c r="A340" s="221" t="s">
        <v>993</v>
      </c>
      <c r="B340" s="219" t="str">
        <f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220" t="str">
        <f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219" t="s">
        <v>994</v>
      </c>
      <c r="E340" s="219" t="str">
        <f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>
      <c r="A341" s="221" t="s">
        <v>995</v>
      </c>
      <c r="B341" s="219" t="str">
        <f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220" t="str">
        <f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>
      <c r="A342" s="221" t="s">
        <v>996</v>
      </c>
      <c r="B342" s="219" t="str">
        <f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220" t="str">
        <f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219" t="s">
        <v>997</v>
      </c>
      <c r="E342" s="219" t="str">
        <f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>
      <c r="A343" s="221" t="s">
        <v>998</v>
      </c>
      <c r="B343" s="219" t="str">
        <f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220" t="str">
        <f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219" t="s">
        <v>999</v>
      </c>
      <c r="E343" s="219" t="str">
        <f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>
      <c r="A344" s="221" t="s">
        <v>1000</v>
      </c>
      <c r="B344" s="219" t="str">
        <f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220" t="str">
        <f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219" t="s">
        <v>1001</v>
      </c>
      <c r="E344" s="219" t="str">
        <f>IFERROR(__xludf.DUMMYFUNCTION("REGEXREPLACE(D344, ""https://odysia-cruise-uk.client.prod.eu-west.dreamlake.io"", """")"),"/cruise-lines/msc-cruises/msc-meraviglia")</f>
        <v>/cruise-lines/msc-cruises/msc-meraviglia</v>
      </c>
    </row>
    <row r="345">
      <c r="A345" s="221" t="s">
        <v>1002</v>
      </c>
      <c r="B345" s="219" t="str">
        <f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220" t="str">
        <f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>
      <c r="A346" s="221" t="s">
        <v>1003</v>
      </c>
      <c r="B346" s="219" t="str">
        <f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220" t="str">
        <f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219" t="s">
        <v>1004</v>
      </c>
      <c r="E346" s="219" t="str">
        <f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>
      <c r="A347" s="221" t="s">
        <v>1005</v>
      </c>
      <c r="B347" s="219" t="str">
        <f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220" t="str">
        <f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219" t="s">
        <v>1006</v>
      </c>
      <c r="E347" s="219" t="str">
        <f>IFERROR(__xludf.DUMMYFUNCTION("REGEXREPLACE(D347, ""https://odysia-cruise-uk.client.prod.eu-west.dreamlake.io"", """")"),"/cruise-lines/msc-cruises/msc-orchestra/cruises")</f>
        <v>/cruise-lines/msc-cruises/msc-orchestra/cruises</v>
      </c>
    </row>
    <row r="348">
      <c r="A348" s="221" t="s">
        <v>1007</v>
      </c>
      <c r="B348" s="219" t="str">
        <f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220" t="str">
        <f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>
      <c r="A349" s="221" t="s">
        <v>1008</v>
      </c>
      <c r="B349" s="219" t="str">
        <f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220" t="str">
        <f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>
      <c r="A350" s="221" t="s">
        <v>1009</v>
      </c>
      <c r="B350" s="219" t="str">
        <f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220" t="str">
        <f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219" t="s">
        <v>1010</v>
      </c>
    </row>
    <row r="351">
      <c r="A351" s="221" t="s">
        <v>1011</v>
      </c>
      <c r="B351" s="219" t="str">
        <f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220" t="str">
        <f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219" t="s">
        <v>1012</v>
      </c>
      <c r="E351" s="219" t="str">
        <f>IFERROR(__xludf.DUMMYFUNCTION("REGEXREPLACE(D351, ""https://odysia-cruise-uk.client.prod.eu-west.dreamlake.io"", """")"),"/cruise-lines/po-cruises/ventura/cruises")</f>
        <v>/cruise-lines/po-cruises/ventura/cruises</v>
      </c>
    </row>
    <row r="352">
      <c r="A352" s="221" t="s">
        <v>1013</v>
      </c>
      <c r="B352" s="219" t="str">
        <f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220" t="str">
        <f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219" t="s">
        <v>1014</v>
      </c>
      <c r="E352" s="219" t="str">
        <f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>
      <c r="A353" s="221" t="s">
        <v>1015</v>
      </c>
      <c r="B353" s="219" t="str">
        <f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220" t="str">
        <f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219" t="s">
        <v>1016</v>
      </c>
      <c r="E353" s="219" t="str">
        <f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>
      <c r="A354" s="221" t="s">
        <v>1017</v>
      </c>
      <c r="B354" s="219" t="str">
        <f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220" t="str">
        <f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219" t="s">
        <v>1018</v>
      </c>
      <c r="E354" s="219" t="str">
        <f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>
      <c r="A355" s="221" t="s">
        <v>1019</v>
      </c>
      <c r="B355" s="219" t="str">
        <f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220" t="str">
        <f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219" t="s">
        <v>1020</v>
      </c>
      <c r="E355" s="219" t="str">
        <f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>
      <c r="A356" s="221" t="s">
        <v>1021</v>
      </c>
      <c r="B356" s="219" t="str">
        <f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220" t="str">
        <f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219" t="s">
        <v>1022</v>
      </c>
      <c r="E356" s="219" t="str">
        <f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>
      <c r="A357" s="221" t="s">
        <v>1023</v>
      </c>
      <c r="B357" s="219" t="str">
        <f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220" t="str">
        <f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219" t="s">
        <v>1024</v>
      </c>
      <c r="E357" s="219" t="str">
        <f>IFERROR(__xludf.DUMMYFUNCTION("REGEXREPLACE(D357, ""https://odysia-cruise-uk.client.prod.eu-west.dreamlake.io"", """")"),"/cruise-lines/fred-olsen-cruises/cruises")</f>
        <v>/cruise-lines/fred-olsen-cruises/cruises</v>
      </c>
    </row>
    <row r="358">
      <c r="A358" s="221" t="s">
        <v>1025</v>
      </c>
      <c r="B358" s="219" t="str">
        <f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220" t="str">
        <f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219" t="s">
        <v>1026</v>
      </c>
      <c r="E358" s="219" t="str">
        <f>IFERROR(__xludf.DUMMYFUNCTION("REGEXREPLACE(D358, ""https://odysia-cruise-uk.client.prod.eu-west.dreamlake.io"", """")"),"/cruise-lines/msc-cruises/msc-orchestra")</f>
        <v>/cruise-lines/msc-cruises/msc-orchestra</v>
      </c>
    </row>
    <row r="359">
      <c r="A359" s="221" t="s">
        <v>1027</v>
      </c>
      <c r="B359" s="219" t="str">
        <f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220" t="str">
        <f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219" t="s">
        <v>1028</v>
      </c>
      <c r="E359" s="219" t="str">
        <f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>
      <c r="A360" s="221" t="s">
        <v>1029</v>
      </c>
      <c r="B360" s="219" t="str">
        <f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220" t="str">
        <f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219" t="s">
        <v>1030</v>
      </c>
      <c r="E360" s="219" t="str">
        <f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>
      <c r="A361" s="221" t="s">
        <v>1031</v>
      </c>
      <c r="B361" s="219" t="str">
        <f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220" t="str">
        <f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219" t="s">
        <v>1032</v>
      </c>
      <c r="E361" s="219" t="str">
        <f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>
      <c r="A362" s="221" t="s">
        <v>1033</v>
      </c>
      <c r="B362" s="219" t="str">
        <f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220" t="str">
        <f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219" t="s">
        <v>1034</v>
      </c>
      <c r="E362" s="219" t="str">
        <f>IFERROR(__xludf.DUMMYFUNCTION("REGEXREPLACE(D362, ""https://odysia-cruise-uk.client.prod.eu-west.dreamlake.io"", """")"),"/cruise-lines/norwegian-cruise-line/cruises")</f>
        <v>/cruise-lines/norwegian-cruise-line/cruises</v>
      </c>
    </row>
    <row r="363">
      <c r="A363" s="221" t="s">
        <v>1035</v>
      </c>
      <c r="B363" s="219" t="str">
        <f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220" t="str">
        <f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219" t="s">
        <v>1036</v>
      </c>
      <c r="E363" s="219" t="str">
        <f>IFERROR(__xludf.DUMMYFUNCTION("REGEXREPLACE(D363, ""https://odysia-cruise-uk.client.prod.eu-west.dreamlake.io"", """")"),"/cruise-lines/msc-cruises/msc-seaside")</f>
        <v>/cruise-lines/msc-cruises/msc-seaside</v>
      </c>
    </row>
    <row r="364">
      <c r="A364" s="221" t="s">
        <v>1037</v>
      </c>
      <c r="B364" s="219" t="str">
        <f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220" t="str">
        <f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219" t="s">
        <v>1038</v>
      </c>
      <c r="E364" s="219" t="str">
        <f>IFERROR(__xludf.DUMMYFUNCTION("REGEXREPLACE(D364, ""https://odysia-cruise-uk.client.prod.eu-west.dreamlake.io"", """")"),"/cruise-lines/seabourn/cruises")</f>
        <v>/cruise-lines/seabourn/cruises</v>
      </c>
    </row>
    <row r="365">
      <c r="A365" s="221" t="s">
        <v>1039</v>
      </c>
      <c r="B365" s="219" t="str">
        <f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220" t="str">
        <f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219" t="s">
        <v>1040</v>
      </c>
      <c r="E365" s="219" t="str">
        <f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>
      <c r="A366" s="221" t="s">
        <v>1041</v>
      </c>
      <c r="B366" s="219" t="str">
        <f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220" t="str">
        <f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219" t="s">
        <v>1042</v>
      </c>
      <c r="E366" s="219" t="str">
        <f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>
      <c r="A367" s="221" t="s">
        <v>1043</v>
      </c>
      <c r="B367" s="219" t="str">
        <f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220" t="str">
        <f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219" t="s">
        <v>1044</v>
      </c>
      <c r="E367" s="219" t="str">
        <f>IFERROR(__xludf.DUMMYFUNCTION("REGEXREPLACE(D367, ""https://odysia-cruise-uk.client.prod.eu-west.dreamlake.io"", """")"),"/cruise-lines/oceania-cruises/oceania-nautica")</f>
        <v>/cruise-lines/oceania-cruises/oceania-nautica</v>
      </c>
    </row>
    <row r="368">
      <c r="A368" s="221" t="s">
        <v>764</v>
      </c>
      <c r="B368" s="219" t="str">
        <f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220" t="str">
        <f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>
      <c r="A369" s="221" t="s">
        <v>1045</v>
      </c>
      <c r="B369" s="219" t="str">
        <f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220" t="str">
        <f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219" t="s">
        <v>1046</v>
      </c>
      <c r="E369" s="219" t="str">
        <f>IFERROR(__xludf.DUMMYFUNCTION("REGEXREPLACE(D369, ""https://odysia-cruise-uk.client.prod.eu-west.dreamlake.io"", """")"),"/cruise-lines/royal-caribbean/star-of-the-seas")</f>
        <v>/cruise-lines/royal-caribbean/star-of-the-seas</v>
      </c>
    </row>
    <row r="370">
      <c r="A370" s="221" t="s">
        <v>1047</v>
      </c>
      <c r="B370" s="219" t="str">
        <f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220" t="str">
        <f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219" t="s">
        <v>1048</v>
      </c>
      <c r="E370" s="219" t="str">
        <f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>
      <c r="A371" s="221" t="s">
        <v>1049</v>
      </c>
      <c r="B371" s="219" t="str">
        <f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220" t="str">
        <f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219" t="s">
        <v>1050</v>
      </c>
      <c r="E371" s="219" t="str">
        <f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>
      <c r="A372" s="221" t="s">
        <v>1051</v>
      </c>
      <c r="B372" s="219" t="str">
        <f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220" t="str">
        <f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219" t="s">
        <v>1052</v>
      </c>
      <c r="E372" s="219" t="str">
        <f>IFERROR(__xludf.DUMMYFUNCTION("REGEXREPLACE(D372, ""https://odysia-cruise-uk.client.prod.eu-west.dreamlake.io"", """")"),"/cruise-lines/princess-cruises/sky-princess")</f>
        <v>/cruise-lines/princess-cruises/sky-princess</v>
      </c>
    </row>
    <row r="373">
      <c r="A373" s="221" t="s">
        <v>1053</v>
      </c>
      <c r="B373" s="219" t="str">
        <f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220" t="str">
        <f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219" t="s">
        <v>1054</v>
      </c>
      <c r="E373" s="219" t="str">
        <f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>
      <c r="A374" s="221" t="s">
        <v>1055</v>
      </c>
      <c r="B374" s="219" t="str">
        <f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220" t="str">
        <f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219" t="s">
        <v>1056</v>
      </c>
      <c r="E374" s="219" t="str">
        <f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>
      <c r="A375" s="221" t="s">
        <v>1057</v>
      </c>
      <c r="B375" s="219" t="str">
        <f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220" t="str">
        <f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219" t="s">
        <v>1058</v>
      </c>
      <c r="E375" s="219" t="str">
        <f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>
      <c r="A376" s="221" t="s">
        <v>1059</v>
      </c>
      <c r="B376" s="219" t="str">
        <f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220" t="str">
        <f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219" t="s">
        <v>1060</v>
      </c>
      <c r="E376" s="219" t="str">
        <f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>
      <c r="A377" s="221" t="s">
        <v>1061</v>
      </c>
      <c r="B377" s="219" t="str">
        <f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220" t="str">
        <f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219" t="s">
        <v>1062</v>
      </c>
      <c r="E377" s="219" t="str">
        <f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>
      <c r="A378" s="221" t="s">
        <v>1063</v>
      </c>
      <c r="B378" s="219" t="str">
        <f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220" t="str">
        <f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219" t="s">
        <v>1064</v>
      </c>
      <c r="E378" s="219" t="str">
        <f>IFERROR(__xludf.DUMMYFUNCTION("REGEXREPLACE(D378, ""https://odysia-cruise-uk.client.prod.eu-west.dreamlake.io"", """")"),"/cruise-lines/po-cruises/cruises")</f>
        <v>/cruise-lines/po-cruises/cruises</v>
      </c>
    </row>
    <row r="379">
      <c r="A379" s="221" t="s">
        <v>1065</v>
      </c>
      <c r="B379" s="219" t="str">
        <f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220" t="str">
        <f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219" t="s">
        <v>1066</v>
      </c>
      <c r="E379" s="219" t="str">
        <f>IFERROR(__xludf.DUMMYFUNCTION("REGEXREPLACE(D379, ""https://odysia-cruise-uk.client.prod.eu-west.dreamlake.io"", """")"),"/cruise-lines/msc-cruises/msc-seaview/cruises")</f>
        <v>/cruise-lines/msc-cruises/msc-seaview/cruises</v>
      </c>
    </row>
    <row r="380">
      <c r="A380" s="221" t="s">
        <v>1067</v>
      </c>
      <c r="B380" s="219" t="str">
        <f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220" t="str">
        <f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219" t="s">
        <v>1068</v>
      </c>
      <c r="E380" s="219" t="str">
        <f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>
      <c r="A381" s="221" t="s">
        <v>1069</v>
      </c>
      <c r="B381" s="219" t="str">
        <f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220" t="str">
        <f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219" t="s">
        <v>1070</v>
      </c>
      <c r="E381" s="219" t="str">
        <f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>
      <c r="A382" s="221" t="s">
        <v>1071</v>
      </c>
      <c r="B382" s="219" t="str">
        <f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220" t="str">
        <f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>
      <c r="A383" s="221" t="s">
        <v>1072</v>
      </c>
      <c r="B383" s="219" t="str">
        <f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220" t="str">
        <f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219" t="s">
        <v>1073</v>
      </c>
      <c r="E383" s="219" t="str">
        <f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>
      <c r="A384" s="221" t="s">
        <v>1074</v>
      </c>
      <c r="B384" s="219" t="str">
        <f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220" t="str">
        <f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219" t="s">
        <v>1075</v>
      </c>
      <c r="E384" s="219" t="str">
        <f>IFERROR(__xludf.DUMMYFUNCTION("REGEXREPLACE(D384, ""https://odysia-cruise-uk.client.prod.eu-west.dreamlake.io"", """")"),"/cruise-lines/msc-cruises/msc-magnifica/cruises")</f>
        <v>/cruise-lines/msc-cruises/msc-magnifica/cruises</v>
      </c>
    </row>
    <row r="385">
      <c r="A385" s="221" t="s">
        <v>1076</v>
      </c>
      <c r="B385" s="219" t="str">
        <f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220" t="str">
        <f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219" t="s">
        <v>1077</v>
      </c>
      <c r="E385" s="219" t="str">
        <f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>
      <c r="A386" s="221" t="s">
        <v>1078</v>
      </c>
      <c r="B386" s="219" t="str">
        <f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220" t="str">
        <f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219" t="s">
        <v>1079</v>
      </c>
      <c r="E386" s="219" t="str">
        <f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>
      <c r="A387" s="221" t="s">
        <v>1080</v>
      </c>
      <c r="B387" s="219" t="str">
        <f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220" t="str">
        <f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219" t="s">
        <v>1081</v>
      </c>
      <c r="E387" s="219" t="str">
        <f>IFERROR(__xludf.DUMMYFUNCTION("REGEXREPLACE(D387, ""https://odysia-cruise-uk.client.prod.eu-west.dreamlake.io"", """")"),"/cruise-lines/oceania-cruises/oceania-riviera")</f>
        <v>/cruise-lines/oceania-cruises/oceania-riviera</v>
      </c>
    </row>
    <row r="388">
      <c r="A388" s="221" t="s">
        <v>1082</v>
      </c>
      <c r="B388" s="219" t="str">
        <f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220" t="str">
        <f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219" t="s">
        <v>1083</v>
      </c>
      <c r="E388" s="219" t="str">
        <f>IFERROR(__xludf.DUMMYFUNCTION("REGEXREPLACE(D388, ""https://odysia-cruise-uk.client.prod.eu-west.dreamlake.io"", """")"),"/cruise-lines/holland-america-line/zuiderdam")</f>
        <v>/cruise-lines/holland-america-line/zuiderdam</v>
      </c>
    </row>
    <row r="389">
      <c r="A389" s="221" t="s">
        <v>1084</v>
      </c>
      <c r="B389" s="219" t="str">
        <f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220" t="str">
        <f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219" t="s">
        <v>1085</v>
      </c>
      <c r="E389" s="219" t="str">
        <f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>
      <c r="A390" s="221" t="s">
        <v>1086</v>
      </c>
      <c r="B390" s="219" t="str">
        <f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220" t="str">
        <f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219" t="s">
        <v>1087</v>
      </c>
      <c r="E390" s="219" t="str">
        <f>IFERROR(__xludf.DUMMYFUNCTION("REGEXREPLACE(D390, ""https://odysia-cruise-uk.client.prod.eu-west.dreamlake.io"", """")"),"/cruise-lines/cunard/queen-anne")</f>
        <v>/cruise-lines/cunard/queen-anne</v>
      </c>
    </row>
    <row r="391">
      <c r="A391" s="221" t="s">
        <v>1088</v>
      </c>
      <c r="B391" s="219" t="str">
        <f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220" t="str">
        <f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>
      <c r="A392" s="221" t="s">
        <v>1089</v>
      </c>
      <c r="B392" s="219" t="str">
        <f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220" t="str">
        <f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219" t="s">
        <v>1090</v>
      </c>
      <c r="E392" s="219" t="str">
        <f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>
      <c r="A393" s="221" t="s">
        <v>1091</v>
      </c>
      <c r="B393" s="219" t="str">
        <f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220" t="str">
        <f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219" t="s">
        <v>1092</v>
      </c>
      <c r="E393" s="219" t="str">
        <f>IFERROR(__xludf.DUMMYFUNCTION("REGEXREPLACE(D393, ""https://odysia-cruise-uk.client.prod.eu-west.dreamlake.io"", """")"),"/cruise-lines/msc-cruises/msc-seashore/cruises")</f>
        <v>/cruise-lines/msc-cruises/msc-seashore/cruises</v>
      </c>
    </row>
    <row r="394">
      <c r="A394" s="221" t="s">
        <v>1093</v>
      </c>
      <c r="B394" s="219" t="str">
        <f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220" t="str">
        <f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219" t="s">
        <v>1094</v>
      </c>
      <c r="E394" s="219" t="str">
        <f>IFERROR(__xludf.DUMMYFUNCTION("REGEXREPLACE(D394, ""https://odysia-cruise-uk.client.prod.eu-west.dreamlake.io"", """")"),"/cruise-lines/princess-cruises/ruby-princess")</f>
        <v>/cruise-lines/princess-cruises/ruby-princess</v>
      </c>
    </row>
    <row r="395">
      <c r="A395" s="221" t="s">
        <v>1095</v>
      </c>
      <c r="B395" s="219" t="str">
        <f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220" t="str">
        <f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219" t="s">
        <v>1096</v>
      </c>
      <c r="E395" s="219" t="str">
        <f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>
      <c r="A396" s="221" t="s">
        <v>1097</v>
      </c>
      <c r="B396" s="219" t="str">
        <f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220" t="str">
        <f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219" t="s">
        <v>1098</v>
      </c>
      <c r="E396" s="219" t="str">
        <f>IFERROR(__xludf.DUMMYFUNCTION("REGEXREPLACE(D396, ""https://odysia-cruise-uk.client.prod.eu-west.dreamlake.io"", """")"),"/cruise-lines/royal-caribbean/jewel-of-the-seas")</f>
        <v>/cruise-lines/royal-caribbean/jewel-of-the-seas</v>
      </c>
    </row>
    <row r="397">
      <c r="A397" s="221" t="s">
        <v>1099</v>
      </c>
      <c r="B397" s="219" t="str">
        <f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220" t="str">
        <f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>
      <c r="A398" s="221" t="s">
        <v>1100</v>
      </c>
      <c r="B398" s="219" t="str">
        <f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220" t="str">
        <f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219" t="s">
        <v>1101</v>
      </c>
      <c r="E398" s="219" t="str">
        <f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>
      <c r="A399" s="221" t="s">
        <v>1102</v>
      </c>
      <c r="B399" s="219" t="str">
        <f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220" t="str">
        <f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219" t="s">
        <v>1103</v>
      </c>
      <c r="E399" s="219" t="str">
        <f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>
      <c r="A400" s="221" t="s">
        <v>1104</v>
      </c>
      <c r="B400" s="219" t="str">
        <f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220" t="str">
        <f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219" t="s">
        <v>1105</v>
      </c>
      <c r="E400" s="219" t="str">
        <f>IFERROR(__xludf.DUMMYFUNCTION("REGEXREPLACE(D400, ""https://odysia-cruise-uk.client.prod.eu-west.dreamlake.io"", """")"),"/cruise-lines/costa-cruises/costa-serena")</f>
        <v>/cruise-lines/costa-cruises/costa-serena</v>
      </c>
    </row>
    <row r="401">
      <c r="A401" s="221" t="s">
        <v>1106</v>
      </c>
      <c r="B401" s="219" t="str">
        <f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220" t="str">
        <f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219" t="s">
        <v>1107</v>
      </c>
      <c r="E401" s="219" t="str">
        <f>IFERROR(__xludf.DUMMYFUNCTION("REGEXREPLACE(D401, ""https://odysia-cruise-uk.client.prod.eu-west.dreamlake.io"", """")"),"/cruise-lines/royal-caribbean/cruises")</f>
        <v>/cruise-lines/royal-caribbean/cruises</v>
      </c>
    </row>
    <row r="402">
      <c r="A402" s="221" t="s">
        <v>1108</v>
      </c>
      <c r="B402" s="219" t="str">
        <f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220" t="str">
        <f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219" t="s">
        <v>1109</v>
      </c>
      <c r="E402" s="219" t="str">
        <f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>
      <c r="A403" s="221" t="s">
        <v>1110</v>
      </c>
      <c r="B403" s="219" t="str">
        <f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220" t="str">
        <f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219" t="s">
        <v>1111</v>
      </c>
      <c r="E403" s="219" t="str">
        <f>IFERROR(__xludf.DUMMYFUNCTION("REGEXREPLACE(D403, ""https://odysia-cruise-uk.client.prod.eu-west.dreamlake.io"", """")"),"/cruise-lines/msc-cruises/msc-world-america")</f>
        <v>/cruise-lines/msc-cruises/msc-world-america</v>
      </c>
    </row>
    <row r="404">
      <c r="A404" s="221" t="s">
        <v>1112</v>
      </c>
      <c r="B404" s="219" t="str">
        <f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220" t="str">
        <f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219" t="s">
        <v>1113</v>
      </c>
      <c r="E404" s="219" t="str">
        <f>IFERROR(__xludf.DUMMYFUNCTION("REGEXREPLACE(D404, ""https://odysia-cruise-uk.client.prod.eu-west.dreamlake.io"", """")"),"/cruise-lines/msc-cruises/msc-grandiosa")</f>
        <v>/cruise-lines/msc-cruises/msc-grandiosa</v>
      </c>
    </row>
    <row r="405">
      <c r="A405" s="221" t="s">
        <v>1114</v>
      </c>
      <c r="B405" s="219" t="str">
        <f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220" t="str">
        <f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219" t="s">
        <v>1115</v>
      </c>
      <c r="E405" s="219" t="str">
        <f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>
      <c r="A406" s="221" t="s">
        <v>1116</v>
      </c>
      <c r="B406" s="219" t="str">
        <f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220" t="str">
        <f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219" t="s">
        <v>1117</v>
      </c>
      <c r="E406" s="219" t="str">
        <f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>
      <c r="A407" s="221" t="s">
        <v>986</v>
      </c>
      <c r="B407" s="219" t="str">
        <f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220" t="str">
        <f>IFERROR(__xludf.DUMMYFUNCTION("REGEXREPLACE(B407, ""&lt;/loc&gt;"", """")"),"https://odysia-cruise-uk.client.prod.eu-west.dreamlake.io/cruises")</f>
        <v>https://odysia-cruise-uk.client.prod.eu-west.dreamlake.io/cruises</v>
      </c>
    </row>
    <row r="408">
      <c r="A408" s="221" t="s">
        <v>1118</v>
      </c>
      <c r="B408" s="219" t="str">
        <f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220" t="str">
        <f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219" t="s">
        <v>1119</v>
      </c>
      <c r="E408" s="219" t="str">
        <f>IFERROR(__xludf.DUMMYFUNCTION("REGEXREPLACE(D408, ""https://odysia-cruise-uk.client.prod.eu-west.dreamlake.io"", """")"),"/cruise-lines/princess-cruises/royal-princess")</f>
        <v>/cruise-lines/princess-cruises/royal-princess</v>
      </c>
    </row>
    <row r="409">
      <c r="A409" s="221" t="s">
        <v>1120</v>
      </c>
      <c r="B409" s="219" t="str">
        <f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220" t="str">
        <f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219" t="s">
        <v>1121</v>
      </c>
      <c r="E409" s="219" t="str">
        <f>IFERROR(__xludf.DUMMYFUNCTION("REGEXREPLACE(D409, ""https://odysia-cruise-uk.client.prod.eu-west.dreamlake.io"", """")"),"/cruise-lines/virgin-voyages/brilliant-lady")</f>
        <v>/cruise-lines/virgin-voyages/brilliant-lady</v>
      </c>
    </row>
    <row r="410">
      <c r="A410" s="221" t="s">
        <v>1122</v>
      </c>
      <c r="B410" s="219" t="str">
        <f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220" t="str">
        <f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219" t="s">
        <v>1123</v>
      </c>
      <c r="E410" s="219" t="str">
        <f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>
      <c r="A411" s="221" t="s">
        <v>1124</v>
      </c>
      <c r="B411" s="219" t="str">
        <f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220" t="str">
        <f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>
      <c r="A412" s="221" t="s">
        <v>1125</v>
      </c>
      <c r="B412" s="219" t="str">
        <f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220" t="str">
        <f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219" t="s">
        <v>1126</v>
      </c>
      <c r="E412" s="219" t="str">
        <f>IFERROR(__xludf.DUMMYFUNCTION("REGEXREPLACE(D412, ""https://odysia-cruise-uk.client.prod.eu-west.dreamlake.io"", """")"),"/cruise-lines/po-cruises")</f>
        <v>/cruise-lines/po-cruises</v>
      </c>
    </row>
    <row r="413">
      <c r="A413" s="221" t="s">
        <v>1127</v>
      </c>
      <c r="B413" s="219" t="str">
        <f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220" t="str">
        <f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219" t="s">
        <v>1128</v>
      </c>
      <c r="E413" s="219" t="str">
        <f>IFERROR(__xludf.DUMMYFUNCTION("REGEXREPLACE(D413, ""https://odysia-cruise-uk.client.prod.eu-west.dreamlake.io"", """")"),"/cruise-lines/seabourn/seabourn-encore/cruises")</f>
        <v>/cruise-lines/seabourn/seabourn-encore/cruises</v>
      </c>
    </row>
    <row r="414">
      <c r="A414" s="221" t="s">
        <v>1129</v>
      </c>
      <c r="B414" s="219" t="str">
        <f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220" t="str">
        <f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219" t="s">
        <v>1130</v>
      </c>
      <c r="E414" s="219" t="str">
        <f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>
      <c r="A415" s="221" t="s">
        <v>1131</v>
      </c>
      <c r="B415" s="219" t="str">
        <f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220" t="str">
        <f>IFERROR(__xludf.DUMMYFUNCTION("REGEXREPLACE(B415, ""&lt;/loc&gt;"", """")"),"https://odysia-cruise-uk.client.prod.eu-west.dreamlake.io/cruise-deals")</f>
        <v>https://odysia-cruise-uk.client.prod.eu-west.dreamlake.io/cruise-deals</v>
      </c>
      <c r="D415" s="219" t="s">
        <v>1132</v>
      </c>
    </row>
    <row r="416">
      <c r="A416" s="221" t="s">
        <v>1133</v>
      </c>
      <c r="B416" s="219" t="str">
        <f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220" t="str">
        <f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219" t="s">
        <v>1134</v>
      </c>
      <c r="E416" s="219" t="str">
        <f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>
      <c r="A417" s="221" t="s">
        <v>1135</v>
      </c>
      <c r="B417" s="219" t="str">
        <f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220" t="str">
        <f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219" t="s">
        <v>1136</v>
      </c>
      <c r="E417" s="219" t="str">
        <f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>
      <c r="A418" s="221" t="s">
        <v>1137</v>
      </c>
      <c r="B418" s="219" t="str">
        <f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220" t="str">
        <f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>
      <c r="A419" s="221" t="s">
        <v>1138</v>
      </c>
      <c r="B419" s="219" t="str">
        <f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220" t="str">
        <f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219" t="s">
        <v>1139</v>
      </c>
      <c r="E419" s="219" t="str">
        <f>IFERROR(__xludf.DUMMYFUNCTION("REGEXREPLACE(D419, ""https://odysia-cruise-uk.client.prod.eu-west.dreamlake.io"", """")"),"/cruise-lines/princess-cruises/cruises")</f>
        <v>/cruise-lines/princess-cruises/cruises</v>
      </c>
    </row>
    <row r="420">
      <c r="A420" s="221" t="s">
        <v>1140</v>
      </c>
      <c r="B420" s="219" t="str">
        <f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220" t="str">
        <f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219" t="s">
        <v>1141</v>
      </c>
      <c r="E420" s="219" t="str">
        <f>IFERROR(__xludf.DUMMYFUNCTION("REGEXREPLACE(D420, ""https://odysia-cruise-uk.client.prod.eu-west.dreamlake.io"", """")"),"/cruise-lines/msc-cruises/msc-lirica/cruises")</f>
        <v>/cruise-lines/msc-cruises/msc-lirica/cruises</v>
      </c>
    </row>
    <row r="421">
      <c r="A421" s="221" t="s">
        <v>1142</v>
      </c>
      <c r="B421" s="219" t="str">
        <f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220" t="str">
        <f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219" t="s">
        <v>1143</v>
      </c>
      <c r="E421" s="219" t="str">
        <f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>
      <c r="A422" s="221" t="s">
        <v>1144</v>
      </c>
      <c r="B422" s="219" t="str">
        <f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220" t="str">
        <f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219" t="s">
        <v>1145</v>
      </c>
      <c r="E422" s="219" t="str">
        <f>IFERROR(__xludf.DUMMYFUNCTION("REGEXREPLACE(D422, ""https://odysia-cruise-uk.client.prod.eu-west.dreamlake.io"", """")"),"/cruise-lines/holland-america-line/westerdam")</f>
        <v>/cruise-lines/holland-america-line/westerdam</v>
      </c>
    </row>
    <row r="423">
      <c r="A423" s="221" t="s">
        <v>1146</v>
      </c>
      <c r="B423" s="219" t="str">
        <f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220" t="str">
        <f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219" t="s">
        <v>1147</v>
      </c>
      <c r="E423" s="219" t="str">
        <f>IFERROR(__xludf.DUMMYFUNCTION("REGEXREPLACE(D423, ""https://odysia-cruise-uk.client.prod.eu-west.dreamlake.io"", """")"),"/cruise-lines/seabourn/seabourn-pursuit")</f>
        <v>/cruise-lines/seabourn/seabourn-pursuit</v>
      </c>
    </row>
    <row r="424">
      <c r="A424" s="221" t="s">
        <v>1148</v>
      </c>
      <c r="B424" s="219" t="str">
        <f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220" t="str">
        <f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219" t="s">
        <v>1149</v>
      </c>
      <c r="E424" s="219" t="str">
        <f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>
      <c r="A425" s="221" t="s">
        <v>1150</v>
      </c>
      <c r="B425" s="219" t="str">
        <f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220" t="str">
        <f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219" t="s">
        <v>1151</v>
      </c>
      <c r="E425" s="219" t="str">
        <f>IFERROR(__xludf.DUMMYFUNCTION("REGEXREPLACE(D425, ""https://odysia-cruise-uk.client.prod.eu-west.dreamlake.io"", """")"),"/cruise-lines/holland-america-line/oosterdam")</f>
        <v>/cruise-lines/holland-america-line/oosterdam</v>
      </c>
    </row>
    <row r="426">
      <c r="A426" s="221" t="s">
        <v>1152</v>
      </c>
      <c r="B426" s="219" t="str">
        <f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220" t="str">
        <f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>
      <c r="A427" s="221" t="s">
        <v>1153</v>
      </c>
      <c r="B427" s="219" t="str">
        <f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220" t="str">
        <f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219" t="s">
        <v>1154</v>
      </c>
      <c r="E427" s="219" t="str">
        <f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$A$1:$C$427"/>
  <hyperlinks>
    <hyperlink r:id="rId1" ref="D8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5"/>
  </cols>
  <sheetData>
    <row r="1">
      <c r="A1" s="140" t="s">
        <v>347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</row>
    <row r="2">
      <c r="A2" s="224" t="s">
        <v>1155</v>
      </c>
    </row>
    <row r="3">
      <c r="A3" s="224" t="s">
        <v>1156</v>
      </c>
    </row>
    <row r="4">
      <c r="A4" s="224" t="s">
        <v>1157</v>
      </c>
    </row>
    <row r="5">
      <c r="A5" s="224" t="s">
        <v>1158</v>
      </c>
    </row>
    <row r="6">
      <c r="A6" s="224" t="s">
        <v>1159</v>
      </c>
    </row>
    <row r="7">
      <c r="A7" s="224" t="s">
        <v>1160</v>
      </c>
    </row>
    <row r="8">
      <c r="A8" s="224" t="s">
        <v>1161</v>
      </c>
    </row>
    <row r="9">
      <c r="A9" s="224" t="s">
        <v>1162</v>
      </c>
    </row>
    <row r="10">
      <c r="A10" s="225" t="s">
        <v>1163</v>
      </c>
    </row>
    <row r="11">
      <c r="A11" s="225" t="s">
        <v>1164</v>
      </c>
    </row>
    <row r="12">
      <c r="A12" s="225" t="s">
        <v>1165</v>
      </c>
    </row>
    <row r="13">
      <c r="A13" s="225" t="s">
        <v>1166</v>
      </c>
    </row>
    <row r="14">
      <c r="A14" s="225" t="s">
        <v>1167</v>
      </c>
    </row>
    <row r="15">
      <c r="A15" s="225" t="s">
        <v>1168</v>
      </c>
    </row>
    <row r="16">
      <c r="A16" s="225" t="s">
        <v>1169</v>
      </c>
    </row>
    <row r="17">
      <c r="A17" s="225" t="s">
        <v>1170</v>
      </c>
    </row>
    <row r="18">
      <c r="A18" s="224" t="s">
        <v>1171</v>
      </c>
    </row>
    <row r="19">
      <c r="A19" s="224" t="s">
        <v>1172</v>
      </c>
    </row>
    <row r="20">
      <c r="A20" s="224" t="s">
        <v>1173</v>
      </c>
    </row>
    <row r="21">
      <c r="A21" s="224" t="s">
        <v>1174</v>
      </c>
    </row>
    <row r="22">
      <c r="A22" s="224" t="s">
        <v>1175</v>
      </c>
    </row>
    <row r="23">
      <c r="A23" s="224" t="s">
        <v>1176</v>
      </c>
    </row>
    <row r="24">
      <c r="A24" s="224" t="s">
        <v>1177</v>
      </c>
    </row>
    <row r="25">
      <c r="A25" s="224" t="s">
        <v>1178</v>
      </c>
    </row>
    <row r="26">
      <c r="A26" s="224" t="s">
        <v>1179</v>
      </c>
    </row>
    <row r="27">
      <c r="A27" s="224" t="s">
        <v>1180</v>
      </c>
    </row>
    <row r="28">
      <c r="A28" s="224" t="s">
        <v>1181</v>
      </c>
    </row>
    <row r="29">
      <c r="A29" s="224" t="s">
        <v>1182</v>
      </c>
    </row>
    <row r="30">
      <c r="A30" s="224" t="s">
        <v>1183</v>
      </c>
    </row>
    <row r="31">
      <c r="A31" s="224" t="s">
        <v>1184</v>
      </c>
    </row>
    <row r="32">
      <c r="A32" s="224" t="s">
        <v>1185</v>
      </c>
    </row>
    <row r="33">
      <c r="A33" s="224" t="s">
        <v>1186</v>
      </c>
    </row>
    <row r="34">
      <c r="A34" s="224" t="s">
        <v>1187</v>
      </c>
    </row>
    <row r="35">
      <c r="A35" s="224" t="s">
        <v>1188</v>
      </c>
    </row>
    <row r="36">
      <c r="A36" s="224" t="s">
        <v>1189</v>
      </c>
    </row>
    <row r="37">
      <c r="A37" s="224" t="s">
        <v>1190</v>
      </c>
    </row>
    <row r="38">
      <c r="A38" s="224" t="s">
        <v>1191</v>
      </c>
    </row>
    <row r="39">
      <c r="A39" s="224" t="s">
        <v>1192</v>
      </c>
    </row>
    <row r="40">
      <c r="A40" s="224" t="s">
        <v>1193</v>
      </c>
    </row>
    <row r="41">
      <c r="A41" s="224" t="s">
        <v>1194</v>
      </c>
    </row>
    <row r="42">
      <c r="A42" s="224" t="s">
        <v>1195</v>
      </c>
    </row>
    <row r="43">
      <c r="A43" s="224" t="s">
        <v>1196</v>
      </c>
    </row>
    <row r="44">
      <c r="A44" s="224" t="s">
        <v>1197</v>
      </c>
    </row>
    <row r="45">
      <c r="A45" s="224" t="s">
        <v>1198</v>
      </c>
    </row>
    <row r="46">
      <c r="A46" s="224" t="s">
        <v>1199</v>
      </c>
    </row>
    <row r="47">
      <c r="A47" s="224" t="s">
        <v>1200</v>
      </c>
    </row>
    <row r="48">
      <c r="A48" s="224" t="s">
        <v>1201</v>
      </c>
    </row>
    <row r="49">
      <c r="A49" s="224" t="s">
        <v>1202</v>
      </c>
    </row>
    <row r="50">
      <c r="A50" s="224" t="s">
        <v>1203</v>
      </c>
    </row>
    <row r="51">
      <c r="A51" s="224" t="s">
        <v>1204</v>
      </c>
    </row>
    <row r="52">
      <c r="A52" s="224" t="s">
        <v>1205</v>
      </c>
    </row>
    <row r="53">
      <c r="A53" s="224" t="s">
        <v>1206</v>
      </c>
    </row>
    <row r="54">
      <c r="A54" s="224" t="s">
        <v>1207</v>
      </c>
    </row>
    <row r="55">
      <c r="A55" s="224" t="s">
        <v>1208</v>
      </c>
    </row>
    <row r="56">
      <c r="A56" s="224" t="s">
        <v>1209</v>
      </c>
    </row>
    <row r="57">
      <c r="A57" s="224" t="s">
        <v>1210</v>
      </c>
    </row>
    <row r="58">
      <c r="A58" s="224" t="s">
        <v>1211</v>
      </c>
    </row>
    <row r="59">
      <c r="A59" s="224" t="s">
        <v>1212</v>
      </c>
    </row>
    <row r="60">
      <c r="A60" s="224" t="s">
        <v>1213</v>
      </c>
    </row>
    <row r="61">
      <c r="A61" s="224" t="s">
        <v>1214</v>
      </c>
    </row>
    <row r="62">
      <c r="A62" s="224" t="s">
        <v>1215</v>
      </c>
    </row>
    <row r="63">
      <c r="A63" s="224" t="s">
        <v>1216</v>
      </c>
    </row>
    <row r="64">
      <c r="A64" s="224" t="s">
        <v>1217</v>
      </c>
    </row>
    <row r="65">
      <c r="A65" s="224" t="s">
        <v>1218</v>
      </c>
    </row>
    <row r="66">
      <c r="A66" s="224" t="s">
        <v>1219</v>
      </c>
    </row>
    <row r="67">
      <c r="A67" s="224" t="s">
        <v>1220</v>
      </c>
    </row>
    <row r="68">
      <c r="A68" s="224" t="s">
        <v>1221</v>
      </c>
    </row>
    <row r="69">
      <c r="A69" s="224" t="s">
        <v>1222</v>
      </c>
    </row>
    <row r="70">
      <c r="A70" s="224" t="s">
        <v>1223</v>
      </c>
    </row>
    <row r="71">
      <c r="A71" s="224" t="s">
        <v>1224</v>
      </c>
    </row>
    <row r="72">
      <c r="A72" s="224" t="s">
        <v>1225</v>
      </c>
    </row>
    <row r="73">
      <c r="A73" s="224" t="s">
        <v>1226</v>
      </c>
    </row>
    <row r="74">
      <c r="A74" s="224" t="s">
        <v>1227</v>
      </c>
    </row>
    <row r="75">
      <c r="A75" s="224" t="s">
        <v>1228</v>
      </c>
    </row>
    <row r="76">
      <c r="A76" s="224" t="s">
        <v>1229</v>
      </c>
    </row>
    <row r="77">
      <c r="A77" s="224" t="s">
        <v>1230</v>
      </c>
    </row>
    <row r="78">
      <c r="A78" s="224" t="s">
        <v>1231</v>
      </c>
    </row>
    <row r="79">
      <c r="A79" s="224" t="s">
        <v>1232</v>
      </c>
    </row>
    <row r="80">
      <c r="A80" s="224" t="s">
        <v>1233</v>
      </c>
    </row>
    <row r="81">
      <c r="A81" s="224" t="s">
        <v>1234</v>
      </c>
    </row>
    <row r="82">
      <c r="A82" s="224" t="s">
        <v>1235</v>
      </c>
    </row>
    <row r="83">
      <c r="A83" s="224" t="s">
        <v>1236</v>
      </c>
    </row>
    <row r="84">
      <c r="A84" s="224" t="s">
        <v>1237</v>
      </c>
    </row>
    <row r="85">
      <c r="A85" s="224" t="s">
        <v>1238</v>
      </c>
    </row>
    <row r="86">
      <c r="A86" s="224" t="s">
        <v>1239</v>
      </c>
    </row>
    <row r="87">
      <c r="A87" s="224" t="s">
        <v>1240</v>
      </c>
    </row>
    <row r="88">
      <c r="A88" s="224" t="s">
        <v>1241</v>
      </c>
    </row>
    <row r="89">
      <c r="A89" s="224" t="s">
        <v>1242</v>
      </c>
    </row>
    <row r="90">
      <c r="A90" s="224" t="s">
        <v>1243</v>
      </c>
    </row>
    <row r="91">
      <c r="A91" s="224" t="s">
        <v>1244</v>
      </c>
    </row>
    <row r="92">
      <c r="A92" s="224" t="s">
        <v>1245</v>
      </c>
    </row>
    <row r="93">
      <c r="A93" s="224" t="s">
        <v>1246</v>
      </c>
    </row>
    <row r="94">
      <c r="A94" s="224" t="s">
        <v>1247</v>
      </c>
    </row>
    <row r="95">
      <c r="A95" s="224" t="s">
        <v>1248</v>
      </c>
    </row>
    <row r="96">
      <c r="A96" s="224" t="s">
        <v>1249</v>
      </c>
    </row>
    <row r="97">
      <c r="A97" s="224" t="s">
        <v>1250</v>
      </c>
    </row>
    <row r="98">
      <c r="A98" s="224" t="s">
        <v>1251</v>
      </c>
    </row>
    <row r="99">
      <c r="A99" s="224" t="s">
        <v>1252</v>
      </c>
    </row>
    <row r="100">
      <c r="A100" s="224" t="s">
        <v>1253</v>
      </c>
    </row>
    <row r="101">
      <c r="A101" s="224" t="s">
        <v>1254</v>
      </c>
    </row>
    <row r="102">
      <c r="A102" s="224" t="s">
        <v>1255</v>
      </c>
    </row>
    <row r="103">
      <c r="A103" s="224" t="s">
        <v>1256</v>
      </c>
    </row>
    <row r="104">
      <c r="A104" s="224" t="s">
        <v>1257</v>
      </c>
    </row>
    <row r="105">
      <c r="A105" s="224" t="s">
        <v>1258</v>
      </c>
    </row>
    <row r="106">
      <c r="A106" s="224" t="s">
        <v>1259</v>
      </c>
    </row>
    <row r="107">
      <c r="A107" s="224" t="s">
        <v>1260</v>
      </c>
    </row>
    <row r="108">
      <c r="A108" s="224" t="s">
        <v>1261</v>
      </c>
    </row>
    <row r="109">
      <c r="A109" s="224" t="s">
        <v>1262</v>
      </c>
    </row>
    <row r="110">
      <c r="A110" s="224" t="s">
        <v>1263</v>
      </c>
    </row>
    <row r="111">
      <c r="A111" s="224" t="s">
        <v>1264</v>
      </c>
    </row>
    <row r="112">
      <c r="A112" s="224" t="s">
        <v>1265</v>
      </c>
    </row>
    <row r="113">
      <c r="A113" s="224" t="s">
        <v>1266</v>
      </c>
    </row>
    <row r="114">
      <c r="A114" s="224" t="s">
        <v>1267</v>
      </c>
    </row>
    <row r="115">
      <c r="A115" s="224" t="s">
        <v>1268</v>
      </c>
    </row>
    <row r="116">
      <c r="A116" s="224" t="s">
        <v>1269</v>
      </c>
    </row>
    <row r="117">
      <c r="A117" s="224" t="s">
        <v>1270</v>
      </c>
    </row>
    <row r="118">
      <c r="A118" s="224" t="s">
        <v>1271</v>
      </c>
    </row>
    <row r="119">
      <c r="A119" s="224" t="s">
        <v>1272</v>
      </c>
    </row>
    <row r="120">
      <c r="A120" s="224" t="s">
        <v>1273</v>
      </c>
    </row>
    <row r="121">
      <c r="A121" s="224" t="s">
        <v>1274</v>
      </c>
    </row>
    <row r="122">
      <c r="A122" s="224" t="s">
        <v>1275</v>
      </c>
    </row>
    <row r="123">
      <c r="A123" s="224" t="s">
        <v>1276</v>
      </c>
    </row>
    <row r="124">
      <c r="A124" s="224" t="s">
        <v>1277</v>
      </c>
    </row>
    <row r="125">
      <c r="A125" s="224" t="s">
        <v>1278</v>
      </c>
    </row>
    <row r="126">
      <c r="A126" s="224" t="s">
        <v>1279</v>
      </c>
    </row>
    <row r="127">
      <c r="A127" s="224" t="s">
        <v>1280</v>
      </c>
    </row>
    <row r="128">
      <c r="A128" s="224" t="s">
        <v>1281</v>
      </c>
    </row>
    <row r="129">
      <c r="A129" s="224" t="s">
        <v>1282</v>
      </c>
    </row>
    <row r="130">
      <c r="A130" s="224" t="s">
        <v>1283</v>
      </c>
    </row>
    <row r="131">
      <c r="A131" s="224" t="s">
        <v>1284</v>
      </c>
    </row>
    <row r="132">
      <c r="A132" s="224" t="s">
        <v>1285</v>
      </c>
    </row>
    <row r="133">
      <c r="A133" s="224" t="s">
        <v>1286</v>
      </c>
    </row>
    <row r="134">
      <c r="A134" s="224" t="s">
        <v>1287</v>
      </c>
    </row>
    <row r="135">
      <c r="A135" s="224" t="s">
        <v>1288</v>
      </c>
    </row>
    <row r="136">
      <c r="A136" s="224" t="s">
        <v>1289</v>
      </c>
    </row>
    <row r="137">
      <c r="A137" s="224" t="s">
        <v>1290</v>
      </c>
    </row>
    <row r="138">
      <c r="A138" s="224" t="s">
        <v>1291</v>
      </c>
    </row>
    <row r="139">
      <c r="A139" s="224" t="s">
        <v>1292</v>
      </c>
    </row>
    <row r="140">
      <c r="A140" s="224" t="s">
        <v>1293</v>
      </c>
    </row>
    <row r="141">
      <c r="A141" s="224" t="s">
        <v>1294</v>
      </c>
    </row>
    <row r="142">
      <c r="A142" s="224" t="s">
        <v>1295</v>
      </c>
    </row>
    <row r="143">
      <c r="A143" s="224" t="s">
        <v>1296</v>
      </c>
    </row>
    <row r="144">
      <c r="A144" s="224" t="s">
        <v>1297</v>
      </c>
    </row>
    <row r="145">
      <c r="A145" s="224" t="s">
        <v>1298</v>
      </c>
    </row>
    <row r="146">
      <c r="A146" s="224" t="s">
        <v>1299</v>
      </c>
    </row>
    <row r="147">
      <c r="A147" s="224" t="s">
        <v>1300</v>
      </c>
    </row>
    <row r="148">
      <c r="A148" s="224" t="s">
        <v>1301</v>
      </c>
    </row>
    <row r="149">
      <c r="A149" s="224" t="s">
        <v>1302</v>
      </c>
    </row>
    <row r="150">
      <c r="A150" s="224" t="s">
        <v>1303</v>
      </c>
    </row>
    <row r="151">
      <c r="A151" s="224" t="s">
        <v>1304</v>
      </c>
    </row>
    <row r="152">
      <c r="A152" s="224" t="s">
        <v>1305</v>
      </c>
    </row>
    <row r="153">
      <c r="A153" s="224" t="s">
        <v>1306</v>
      </c>
    </row>
    <row r="154">
      <c r="A154" s="224" t="s">
        <v>1307</v>
      </c>
    </row>
    <row r="155">
      <c r="A155" s="224" t="s">
        <v>1308</v>
      </c>
    </row>
    <row r="156">
      <c r="A156" s="224" t="s">
        <v>1309</v>
      </c>
    </row>
    <row r="157">
      <c r="A157" s="224" t="s">
        <v>1310</v>
      </c>
    </row>
    <row r="158">
      <c r="A158" s="224" t="s">
        <v>1311</v>
      </c>
    </row>
    <row r="159">
      <c r="A159" s="224" t="s">
        <v>1312</v>
      </c>
    </row>
    <row r="160">
      <c r="A160" s="224" t="s">
        <v>1313</v>
      </c>
    </row>
    <row r="161">
      <c r="A161" s="224" t="s">
        <v>1314</v>
      </c>
    </row>
    <row r="162">
      <c r="A162" s="224" t="s">
        <v>1315</v>
      </c>
    </row>
    <row r="163">
      <c r="A163" s="224" t="s">
        <v>1316</v>
      </c>
    </row>
    <row r="164">
      <c r="A164" s="224" t="s">
        <v>1317</v>
      </c>
    </row>
    <row r="165">
      <c r="A165" s="224" t="s">
        <v>1318</v>
      </c>
    </row>
    <row r="166">
      <c r="A166" s="224" t="s">
        <v>1319</v>
      </c>
    </row>
    <row r="167">
      <c r="A167" s="224" t="s">
        <v>1320</v>
      </c>
    </row>
    <row r="168">
      <c r="A168" s="224" t="s">
        <v>1321</v>
      </c>
    </row>
    <row r="169">
      <c r="A169" s="224" t="s">
        <v>1322</v>
      </c>
    </row>
    <row r="170">
      <c r="A170" s="224" t="s">
        <v>1323</v>
      </c>
    </row>
    <row r="171">
      <c r="A171" s="224" t="s">
        <v>1324</v>
      </c>
    </row>
    <row r="172">
      <c r="A172" s="224" t="s">
        <v>1325</v>
      </c>
    </row>
    <row r="173">
      <c r="A173" s="224" t="s">
        <v>1326</v>
      </c>
    </row>
    <row r="174">
      <c r="A174" s="224" t="s">
        <v>1327</v>
      </c>
    </row>
    <row r="175">
      <c r="A175" s="224" t="s">
        <v>1328</v>
      </c>
    </row>
    <row r="176">
      <c r="A176" s="224" t="s">
        <v>1329</v>
      </c>
    </row>
    <row r="177">
      <c r="A177" s="224" t="s">
        <v>1330</v>
      </c>
    </row>
    <row r="178">
      <c r="A178" s="224" t="s">
        <v>1331</v>
      </c>
    </row>
    <row r="179">
      <c r="A179" s="224" t="s">
        <v>1332</v>
      </c>
    </row>
    <row r="180">
      <c r="A180" s="224" t="s">
        <v>1333</v>
      </c>
    </row>
    <row r="181">
      <c r="A181" s="224" t="s">
        <v>1334</v>
      </c>
    </row>
    <row r="182">
      <c r="A182" s="224" t="s">
        <v>1335</v>
      </c>
    </row>
    <row r="183">
      <c r="A183" s="224" t="s">
        <v>1336</v>
      </c>
    </row>
    <row r="184">
      <c r="A184" s="224" t="s">
        <v>1337</v>
      </c>
    </row>
    <row r="185">
      <c r="A185" s="224" t="s">
        <v>1338</v>
      </c>
    </row>
    <row r="186">
      <c r="A186" s="224" t="s">
        <v>1339</v>
      </c>
    </row>
    <row r="187">
      <c r="A187" s="224" t="s">
        <v>1340</v>
      </c>
    </row>
    <row r="188">
      <c r="A188" s="224" t="s">
        <v>1341</v>
      </c>
    </row>
    <row r="189">
      <c r="A189" s="224" t="s">
        <v>1342</v>
      </c>
    </row>
    <row r="190">
      <c r="A190" s="224" t="s">
        <v>1343</v>
      </c>
    </row>
    <row r="191">
      <c r="A191" s="224" t="s">
        <v>1344</v>
      </c>
    </row>
    <row r="192">
      <c r="A192" s="224" t="s">
        <v>1345</v>
      </c>
    </row>
    <row r="193">
      <c r="A193" s="224" t="s">
        <v>1346</v>
      </c>
    </row>
    <row r="194">
      <c r="A194" s="224" t="s">
        <v>1347</v>
      </c>
    </row>
    <row r="195">
      <c r="A195" s="224" t="s">
        <v>1348</v>
      </c>
    </row>
    <row r="196">
      <c r="A196" s="224" t="s">
        <v>1349</v>
      </c>
    </row>
    <row r="197">
      <c r="A197" s="224" t="s">
        <v>1350</v>
      </c>
    </row>
    <row r="198">
      <c r="A198" s="224" t="s">
        <v>1351</v>
      </c>
    </row>
    <row r="199">
      <c r="A199" s="224" t="s">
        <v>1352</v>
      </c>
    </row>
    <row r="200">
      <c r="A200" s="224" t="s">
        <v>1353</v>
      </c>
    </row>
    <row r="201">
      <c r="A201" s="224" t="s">
        <v>1354</v>
      </c>
    </row>
    <row r="202">
      <c r="A202" s="224" t="s">
        <v>1355</v>
      </c>
    </row>
    <row r="203">
      <c r="A203" s="224" t="s">
        <v>1356</v>
      </c>
    </row>
    <row r="204">
      <c r="A204" s="224" t="s">
        <v>1357</v>
      </c>
    </row>
    <row r="205">
      <c r="A205" s="224" t="s">
        <v>1358</v>
      </c>
    </row>
    <row r="206">
      <c r="A206" s="224" t="s">
        <v>1359</v>
      </c>
    </row>
    <row r="207">
      <c r="A207" s="224" t="s">
        <v>1360</v>
      </c>
    </row>
    <row r="208">
      <c r="A208" s="224" t="s">
        <v>1361</v>
      </c>
    </row>
    <row r="209">
      <c r="A209" s="224" t="s">
        <v>1362</v>
      </c>
    </row>
    <row r="210">
      <c r="A210" s="224" t="s">
        <v>1363</v>
      </c>
    </row>
    <row r="211">
      <c r="A211" s="224" t="s">
        <v>1364</v>
      </c>
    </row>
    <row r="212">
      <c r="A212" s="224" t="s">
        <v>1365</v>
      </c>
    </row>
    <row r="213">
      <c r="A213" s="224" t="s">
        <v>1366</v>
      </c>
    </row>
    <row r="214">
      <c r="A214" s="224" t="s">
        <v>1367</v>
      </c>
    </row>
    <row r="215">
      <c r="A215" s="224" t="s">
        <v>1368</v>
      </c>
    </row>
    <row r="216">
      <c r="A216" s="224" t="s">
        <v>1369</v>
      </c>
    </row>
    <row r="217">
      <c r="A217" s="224" t="s">
        <v>1370</v>
      </c>
    </row>
    <row r="218">
      <c r="A218" s="224" t="s">
        <v>1371</v>
      </c>
    </row>
    <row r="219">
      <c r="A219" s="224" t="s">
        <v>1372</v>
      </c>
    </row>
    <row r="220">
      <c r="A220" s="224" t="s">
        <v>1373</v>
      </c>
    </row>
    <row r="221">
      <c r="A221" s="224" t="s">
        <v>1374</v>
      </c>
    </row>
    <row r="222">
      <c r="A222" s="224" t="s">
        <v>1375</v>
      </c>
    </row>
    <row r="223">
      <c r="A223" s="224" t="s">
        <v>1376</v>
      </c>
    </row>
    <row r="224">
      <c r="A224" s="224" t="s">
        <v>1377</v>
      </c>
    </row>
    <row r="225">
      <c r="A225" s="224" t="s">
        <v>1378</v>
      </c>
    </row>
    <row r="226">
      <c r="A226" s="224" t="s">
        <v>1379</v>
      </c>
    </row>
    <row r="227">
      <c r="A227" s="224" t="s">
        <v>1380</v>
      </c>
    </row>
    <row r="228">
      <c r="A228" s="224" t="s">
        <v>1381</v>
      </c>
    </row>
    <row r="229">
      <c r="A229" s="224" t="s">
        <v>1382</v>
      </c>
    </row>
    <row r="230">
      <c r="A230" s="224" t="s">
        <v>1383</v>
      </c>
    </row>
    <row r="231">
      <c r="A231" s="224" t="s">
        <v>1384</v>
      </c>
    </row>
    <row r="232">
      <c r="A232" s="224" t="s">
        <v>1385</v>
      </c>
    </row>
    <row r="233">
      <c r="A233" s="224" t="s">
        <v>1386</v>
      </c>
    </row>
    <row r="234">
      <c r="A234" s="224" t="s">
        <v>1387</v>
      </c>
    </row>
    <row r="235">
      <c r="A235" s="224" t="s">
        <v>1388</v>
      </c>
    </row>
    <row r="236">
      <c r="A236" s="224" t="s">
        <v>1389</v>
      </c>
    </row>
    <row r="237">
      <c r="A237" s="224" t="s">
        <v>1390</v>
      </c>
    </row>
    <row r="238">
      <c r="A238" s="224" t="s">
        <v>1391</v>
      </c>
    </row>
    <row r="239">
      <c r="A239" s="224" t="s">
        <v>1392</v>
      </c>
    </row>
    <row r="240">
      <c r="A240" s="224" t="s">
        <v>1393</v>
      </c>
    </row>
    <row r="241">
      <c r="A241" s="224" t="s">
        <v>1394</v>
      </c>
    </row>
    <row r="242">
      <c r="A242" s="224" t="s">
        <v>1395</v>
      </c>
    </row>
    <row r="243">
      <c r="A243" s="224" t="s">
        <v>1396</v>
      </c>
    </row>
    <row r="244">
      <c r="A244" s="224" t="s">
        <v>1397</v>
      </c>
    </row>
    <row r="245">
      <c r="A245" s="224" t="s">
        <v>1398</v>
      </c>
    </row>
    <row r="246">
      <c r="A246" s="224" t="s">
        <v>1399</v>
      </c>
    </row>
    <row r="247">
      <c r="A247" s="224" t="s">
        <v>1400</v>
      </c>
    </row>
    <row r="248">
      <c r="A248" s="224" t="s">
        <v>1401</v>
      </c>
    </row>
    <row r="249">
      <c r="A249" s="224" t="s">
        <v>1402</v>
      </c>
    </row>
    <row r="250">
      <c r="A250" s="224" t="s">
        <v>1403</v>
      </c>
    </row>
    <row r="251">
      <c r="A251" s="224" t="s">
        <v>1404</v>
      </c>
    </row>
    <row r="252">
      <c r="A252" s="224" t="s">
        <v>1405</v>
      </c>
    </row>
    <row r="253">
      <c r="A253" s="224" t="s">
        <v>1406</v>
      </c>
    </row>
    <row r="254">
      <c r="A254" s="224" t="s">
        <v>1407</v>
      </c>
    </row>
    <row r="255">
      <c r="A255" s="224" t="s">
        <v>1408</v>
      </c>
    </row>
    <row r="256">
      <c r="A256" s="224" t="s">
        <v>1409</v>
      </c>
    </row>
    <row r="257">
      <c r="A257" s="224" t="s">
        <v>1410</v>
      </c>
    </row>
    <row r="258">
      <c r="A258" s="224" t="s">
        <v>1411</v>
      </c>
    </row>
    <row r="259">
      <c r="A259" s="224" t="s">
        <v>1412</v>
      </c>
    </row>
    <row r="260">
      <c r="A260" s="224" t="s">
        <v>1413</v>
      </c>
    </row>
    <row r="261">
      <c r="A261" s="224" t="s">
        <v>1414</v>
      </c>
    </row>
    <row r="262">
      <c r="A262" s="224" t="s">
        <v>1415</v>
      </c>
    </row>
    <row r="263">
      <c r="A263" s="224" t="s">
        <v>1416</v>
      </c>
    </row>
    <row r="264">
      <c r="A264" s="224" t="s">
        <v>1417</v>
      </c>
    </row>
    <row r="265">
      <c r="A265" s="224" t="s">
        <v>1418</v>
      </c>
    </row>
    <row r="266">
      <c r="A266" s="224" t="s">
        <v>1419</v>
      </c>
    </row>
    <row r="267">
      <c r="A267" s="224" t="s">
        <v>1420</v>
      </c>
    </row>
    <row r="268">
      <c r="A268" s="224" t="s">
        <v>1421</v>
      </c>
    </row>
    <row r="269">
      <c r="A269" s="224" t="s">
        <v>1422</v>
      </c>
    </row>
    <row r="270">
      <c r="A270" s="224" t="s">
        <v>1423</v>
      </c>
    </row>
    <row r="271">
      <c r="A271" s="224" t="s">
        <v>1424</v>
      </c>
    </row>
    <row r="272">
      <c r="A272" s="224" t="s">
        <v>1425</v>
      </c>
    </row>
    <row r="273">
      <c r="A273" s="224" t="s">
        <v>1426</v>
      </c>
    </row>
    <row r="274">
      <c r="A274" s="224" t="s">
        <v>1427</v>
      </c>
    </row>
    <row r="275">
      <c r="A275" s="224" t="s">
        <v>1428</v>
      </c>
    </row>
    <row r="276">
      <c r="A276" s="224" t="s">
        <v>1429</v>
      </c>
    </row>
    <row r="277">
      <c r="A277" s="224" t="s">
        <v>1430</v>
      </c>
    </row>
    <row r="278">
      <c r="A278" s="224" t="s">
        <v>1431</v>
      </c>
    </row>
    <row r="279">
      <c r="A279" s="224" t="s">
        <v>1432</v>
      </c>
    </row>
    <row r="280">
      <c r="A280" s="224" t="s">
        <v>1433</v>
      </c>
    </row>
    <row r="281">
      <c r="A281" s="224" t="s">
        <v>1434</v>
      </c>
    </row>
    <row r="282">
      <c r="A282" s="224" t="s">
        <v>1435</v>
      </c>
    </row>
    <row r="283">
      <c r="A283" s="224" t="s">
        <v>1436</v>
      </c>
    </row>
    <row r="284">
      <c r="A284" s="224" t="s">
        <v>1437</v>
      </c>
    </row>
    <row r="285">
      <c r="A285" s="224" t="s">
        <v>1438</v>
      </c>
    </row>
    <row r="286">
      <c r="A286" s="224" t="s">
        <v>1439</v>
      </c>
    </row>
    <row r="287">
      <c r="A287" s="224" t="s">
        <v>1440</v>
      </c>
    </row>
    <row r="288">
      <c r="A288" s="224" t="s">
        <v>1441</v>
      </c>
    </row>
    <row r="289">
      <c r="A289" s="224" t="s">
        <v>1442</v>
      </c>
    </row>
    <row r="290">
      <c r="A290" s="224" t="s">
        <v>1443</v>
      </c>
    </row>
    <row r="291">
      <c r="A291" s="224" t="s">
        <v>1444</v>
      </c>
    </row>
    <row r="292">
      <c r="A292" s="224" t="s">
        <v>1445</v>
      </c>
    </row>
    <row r="293">
      <c r="A293" s="224" t="s">
        <v>1446</v>
      </c>
    </row>
    <row r="294">
      <c r="A294" s="224" t="s">
        <v>1447</v>
      </c>
    </row>
    <row r="295">
      <c r="A295" s="224" t="s">
        <v>1448</v>
      </c>
    </row>
    <row r="296">
      <c r="A296" s="224" t="s">
        <v>1449</v>
      </c>
    </row>
    <row r="297">
      <c r="A297" s="224" t="s">
        <v>1450</v>
      </c>
    </row>
    <row r="298">
      <c r="A298" s="224" t="s">
        <v>1451</v>
      </c>
    </row>
    <row r="299">
      <c r="A299" s="224" t="s">
        <v>1452</v>
      </c>
    </row>
    <row r="300">
      <c r="A300" s="224" t="s">
        <v>1453</v>
      </c>
    </row>
    <row r="301">
      <c r="A301" s="224" t="s">
        <v>1454</v>
      </c>
    </row>
    <row r="302">
      <c r="A302" s="224" t="s">
        <v>1455</v>
      </c>
    </row>
    <row r="303">
      <c r="A303" s="224" t="s">
        <v>1456</v>
      </c>
    </row>
    <row r="304">
      <c r="A304" s="224" t="s">
        <v>1457</v>
      </c>
    </row>
    <row r="305">
      <c r="A305" s="224" t="s">
        <v>1458</v>
      </c>
    </row>
    <row r="306">
      <c r="A306" s="224" t="s">
        <v>1459</v>
      </c>
    </row>
    <row r="307">
      <c r="A307" s="224" t="s">
        <v>1460</v>
      </c>
    </row>
    <row r="308">
      <c r="A308" s="224" t="s">
        <v>1461</v>
      </c>
    </row>
    <row r="309">
      <c r="A309" s="224" t="s">
        <v>1462</v>
      </c>
    </row>
    <row r="310">
      <c r="A310" s="224" t="s">
        <v>1463</v>
      </c>
    </row>
    <row r="311">
      <c r="A311" s="224" t="s">
        <v>1464</v>
      </c>
    </row>
    <row r="312">
      <c r="A312" s="224" t="s">
        <v>1465</v>
      </c>
    </row>
    <row r="313">
      <c r="A313" s="224" t="s">
        <v>1466</v>
      </c>
    </row>
    <row r="314">
      <c r="A314" s="224" t="s">
        <v>1467</v>
      </c>
    </row>
    <row r="315">
      <c r="A315" s="224" t="s">
        <v>1468</v>
      </c>
    </row>
    <row r="316">
      <c r="A316" s="224" t="s">
        <v>1469</v>
      </c>
    </row>
    <row r="317">
      <c r="A317" s="224" t="s">
        <v>1470</v>
      </c>
    </row>
    <row r="318">
      <c r="A318" s="224" t="s">
        <v>1471</v>
      </c>
    </row>
    <row r="319">
      <c r="A319" s="224" t="s">
        <v>1472</v>
      </c>
    </row>
    <row r="320">
      <c r="A320" s="224" t="s">
        <v>1473</v>
      </c>
    </row>
    <row r="321">
      <c r="A321" s="224" t="s">
        <v>1474</v>
      </c>
    </row>
    <row r="322">
      <c r="A322" s="224" t="s">
        <v>1475</v>
      </c>
    </row>
    <row r="323">
      <c r="A323" s="224" t="s">
        <v>1476</v>
      </c>
    </row>
    <row r="324">
      <c r="A324" s="224" t="s">
        <v>1477</v>
      </c>
    </row>
    <row r="325">
      <c r="A325" s="224" t="s">
        <v>1478</v>
      </c>
    </row>
    <row r="326">
      <c r="A326" s="224" t="s">
        <v>1479</v>
      </c>
    </row>
    <row r="327">
      <c r="A327" s="224" t="s">
        <v>1480</v>
      </c>
    </row>
    <row r="328">
      <c r="A328" s="224" t="s">
        <v>1481</v>
      </c>
    </row>
    <row r="329">
      <c r="A329" s="224" t="s">
        <v>1482</v>
      </c>
    </row>
    <row r="330">
      <c r="A330" s="224" t="s">
        <v>1483</v>
      </c>
    </row>
    <row r="331">
      <c r="A331" s="224" t="s">
        <v>1484</v>
      </c>
    </row>
    <row r="332">
      <c r="A332" s="224" t="s">
        <v>1485</v>
      </c>
    </row>
    <row r="333">
      <c r="A333" s="224" t="s">
        <v>1486</v>
      </c>
    </row>
    <row r="334">
      <c r="A334" s="224" t="s">
        <v>1487</v>
      </c>
    </row>
    <row r="335">
      <c r="A335" s="224" t="s">
        <v>1488</v>
      </c>
    </row>
    <row r="336">
      <c r="A336" s="224" t="s">
        <v>1489</v>
      </c>
    </row>
    <row r="337">
      <c r="A337" s="224" t="s">
        <v>1490</v>
      </c>
    </row>
    <row r="338">
      <c r="A338" s="224" t="s">
        <v>1491</v>
      </c>
    </row>
    <row r="339">
      <c r="A339" s="224" t="s">
        <v>1492</v>
      </c>
    </row>
    <row r="340">
      <c r="A340" s="224" t="s">
        <v>1493</v>
      </c>
    </row>
    <row r="341">
      <c r="A341" s="224" t="s">
        <v>1494</v>
      </c>
    </row>
    <row r="342">
      <c r="A342" s="224" t="s">
        <v>1495</v>
      </c>
    </row>
    <row r="343">
      <c r="A343" s="224" t="s">
        <v>1496</v>
      </c>
    </row>
    <row r="344">
      <c r="A344" s="224" t="s">
        <v>1497</v>
      </c>
    </row>
    <row r="345">
      <c r="A345" s="224" t="s">
        <v>1498</v>
      </c>
    </row>
    <row r="346">
      <c r="A346" s="224" t="s">
        <v>1499</v>
      </c>
    </row>
    <row r="347">
      <c r="A347" s="224" t="s">
        <v>1500</v>
      </c>
    </row>
    <row r="348">
      <c r="A348" s="224" t="s">
        <v>1501</v>
      </c>
    </row>
    <row r="349">
      <c r="A349" s="224" t="s">
        <v>1502</v>
      </c>
    </row>
    <row r="350">
      <c r="A350" s="224" t="s">
        <v>1503</v>
      </c>
    </row>
    <row r="351">
      <c r="A351" s="224" t="s">
        <v>1504</v>
      </c>
    </row>
    <row r="352">
      <c r="A352" s="224" t="s">
        <v>1505</v>
      </c>
    </row>
    <row r="353">
      <c r="A353" s="224" t="s">
        <v>1506</v>
      </c>
    </row>
    <row r="354">
      <c r="A354" s="224" t="s">
        <v>1507</v>
      </c>
    </row>
    <row r="355">
      <c r="A355" s="224" t="s">
        <v>1508</v>
      </c>
    </row>
    <row r="356">
      <c r="A356" s="224" t="s">
        <v>1509</v>
      </c>
    </row>
    <row r="357">
      <c r="A357" s="224" t="s">
        <v>1510</v>
      </c>
    </row>
    <row r="358">
      <c r="A358" s="224" t="s">
        <v>1511</v>
      </c>
    </row>
    <row r="359">
      <c r="A359" s="224" t="s">
        <v>1512</v>
      </c>
    </row>
    <row r="360">
      <c r="A360" s="224" t="s">
        <v>1513</v>
      </c>
    </row>
    <row r="361">
      <c r="A361" s="224" t="s">
        <v>1514</v>
      </c>
    </row>
    <row r="362">
      <c r="A362" s="224" t="s">
        <v>1515</v>
      </c>
    </row>
    <row r="363">
      <c r="A363" s="224" t="s">
        <v>1516</v>
      </c>
    </row>
    <row r="364">
      <c r="A364" s="224" t="s">
        <v>1517</v>
      </c>
    </row>
    <row r="365">
      <c r="A365" s="224" t="s">
        <v>1518</v>
      </c>
    </row>
    <row r="366">
      <c r="A366" s="224" t="s">
        <v>1519</v>
      </c>
    </row>
    <row r="367">
      <c r="A367" s="224" t="s">
        <v>1520</v>
      </c>
    </row>
    <row r="368">
      <c r="A368" s="224" t="s">
        <v>1521</v>
      </c>
    </row>
    <row r="369">
      <c r="A369" s="224" t="s">
        <v>1522</v>
      </c>
    </row>
    <row r="370">
      <c r="A370" s="224" t="s">
        <v>1523</v>
      </c>
    </row>
    <row r="371">
      <c r="A371" s="224" t="s">
        <v>1524</v>
      </c>
    </row>
    <row r="372">
      <c r="A372" s="224" t="s">
        <v>1525</v>
      </c>
    </row>
    <row r="373">
      <c r="A373" s="224" t="s">
        <v>1526</v>
      </c>
    </row>
    <row r="374">
      <c r="A374" s="224" t="s">
        <v>1527</v>
      </c>
    </row>
    <row r="375">
      <c r="A375" s="224" t="s">
        <v>1528</v>
      </c>
    </row>
    <row r="376">
      <c r="A376" s="224" t="s">
        <v>1529</v>
      </c>
    </row>
    <row r="377">
      <c r="A377" s="224" t="s">
        <v>1530</v>
      </c>
    </row>
    <row r="378">
      <c r="A378" s="224" t="s">
        <v>1531</v>
      </c>
    </row>
    <row r="379">
      <c r="A379" s="224" t="s">
        <v>1532</v>
      </c>
    </row>
    <row r="380">
      <c r="A380" s="224" t="s">
        <v>1533</v>
      </c>
    </row>
    <row r="381">
      <c r="A381" s="224" t="s">
        <v>1534</v>
      </c>
    </row>
    <row r="382">
      <c r="A382" s="224" t="s">
        <v>1535</v>
      </c>
    </row>
    <row r="383">
      <c r="A383" s="224" t="s">
        <v>1536</v>
      </c>
    </row>
    <row r="384">
      <c r="A384" s="224" t="s">
        <v>1537</v>
      </c>
    </row>
    <row r="385">
      <c r="A385" s="224" t="s">
        <v>1538</v>
      </c>
    </row>
    <row r="386">
      <c r="A386" s="224" t="s">
        <v>1539</v>
      </c>
    </row>
    <row r="387">
      <c r="A387" s="224" t="s">
        <v>1540</v>
      </c>
    </row>
    <row r="388">
      <c r="A388" s="224" t="s">
        <v>1541</v>
      </c>
    </row>
    <row r="389">
      <c r="A389" s="224" t="s">
        <v>1542</v>
      </c>
    </row>
    <row r="390">
      <c r="A390" s="224" t="s">
        <v>1543</v>
      </c>
    </row>
    <row r="391">
      <c r="A391" s="224" t="s">
        <v>1544</v>
      </c>
    </row>
    <row r="392">
      <c r="A392" s="224" t="s">
        <v>1545</v>
      </c>
    </row>
    <row r="393">
      <c r="A393" s="224" t="s">
        <v>1546</v>
      </c>
    </row>
    <row r="394">
      <c r="A394" s="224" t="s">
        <v>1547</v>
      </c>
    </row>
    <row r="395">
      <c r="A395" s="224" t="s">
        <v>1548</v>
      </c>
    </row>
    <row r="396">
      <c r="A396" s="224" t="s">
        <v>1549</v>
      </c>
    </row>
    <row r="397">
      <c r="A397" s="224" t="s">
        <v>1550</v>
      </c>
    </row>
    <row r="398">
      <c r="A398" s="224" t="s">
        <v>1551</v>
      </c>
    </row>
    <row r="399">
      <c r="A399" s="224" t="s">
        <v>1552</v>
      </c>
    </row>
    <row r="400">
      <c r="A400" s="224" t="s">
        <v>1553</v>
      </c>
    </row>
    <row r="401">
      <c r="A401" s="224" t="s">
        <v>1554</v>
      </c>
    </row>
    <row r="402">
      <c r="A402" s="224" t="s">
        <v>1555</v>
      </c>
    </row>
    <row r="403">
      <c r="A403" s="224" t="s">
        <v>1556</v>
      </c>
    </row>
    <row r="404">
      <c r="A404" s="224" t="s">
        <v>1557</v>
      </c>
    </row>
    <row r="405">
      <c r="A405" s="224" t="s">
        <v>1558</v>
      </c>
    </row>
    <row r="406">
      <c r="A406" s="224" t="s">
        <v>1559</v>
      </c>
    </row>
    <row r="407">
      <c r="A407" s="224" t="s">
        <v>1560</v>
      </c>
    </row>
    <row r="408">
      <c r="A408" s="224" t="s">
        <v>1561</v>
      </c>
    </row>
    <row r="409">
      <c r="A409" s="224" t="s">
        <v>1562</v>
      </c>
    </row>
    <row r="410">
      <c r="A410" s="224" t="s">
        <v>1563</v>
      </c>
    </row>
    <row r="411">
      <c r="A411" s="224" t="s">
        <v>1564</v>
      </c>
    </row>
    <row r="412">
      <c r="A412" s="224" t="s">
        <v>1565</v>
      </c>
    </row>
    <row r="413">
      <c r="A413" s="224" t="s">
        <v>1566</v>
      </c>
    </row>
    <row r="414">
      <c r="A414" s="224" t="s">
        <v>1567</v>
      </c>
    </row>
    <row r="415">
      <c r="A415" s="224" t="s">
        <v>1568</v>
      </c>
    </row>
    <row r="416">
      <c r="A416" s="224" t="s">
        <v>1569</v>
      </c>
    </row>
    <row r="417">
      <c r="A417" s="224" t="s">
        <v>1570</v>
      </c>
    </row>
    <row r="418">
      <c r="A418" s="224" t="s">
        <v>1571</v>
      </c>
    </row>
    <row r="419">
      <c r="A419" s="224" t="s">
        <v>1572</v>
      </c>
    </row>
    <row r="420">
      <c r="A420" s="224" t="s">
        <v>1573</v>
      </c>
    </row>
    <row r="421">
      <c r="A421" s="224" t="s">
        <v>1574</v>
      </c>
    </row>
    <row r="422">
      <c r="A422" s="224" t="s">
        <v>1575</v>
      </c>
    </row>
    <row r="423">
      <c r="A423" s="224" t="s">
        <v>1576</v>
      </c>
    </row>
    <row r="424">
      <c r="A424" s="224" t="s">
        <v>1577</v>
      </c>
    </row>
    <row r="425">
      <c r="A425" s="224" t="s">
        <v>1578</v>
      </c>
    </row>
    <row r="426">
      <c r="A426" s="224" t="s">
        <v>1579</v>
      </c>
    </row>
    <row r="427">
      <c r="A427" s="224" t="s">
        <v>1580</v>
      </c>
    </row>
    <row r="428">
      <c r="A428" s="224" t="s">
        <v>1581</v>
      </c>
    </row>
    <row r="429">
      <c r="A429" s="224" t="s">
        <v>1582</v>
      </c>
    </row>
    <row r="430">
      <c r="A430" s="224" t="s">
        <v>1583</v>
      </c>
    </row>
    <row r="431">
      <c r="A431" s="224" t="s">
        <v>1584</v>
      </c>
    </row>
    <row r="432">
      <c r="A432" s="224" t="s">
        <v>1585</v>
      </c>
    </row>
    <row r="433">
      <c r="A433" s="224" t="s">
        <v>1586</v>
      </c>
    </row>
    <row r="434">
      <c r="A434" s="224" t="s">
        <v>1587</v>
      </c>
    </row>
    <row r="435">
      <c r="A435" s="224" t="s">
        <v>1588</v>
      </c>
    </row>
  </sheetData>
  <autoFilter ref="$A$1:$A$435">
    <sortState ref="A1:A435">
      <sortCondition ref="A1:A43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</hyperlinks>
  <drawing r:id="rId43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6" t="s">
        <v>1589</v>
      </c>
      <c r="B1" s="142" t="s">
        <v>1590</v>
      </c>
      <c r="C1" s="219" t="str">
        <f t="shared" ref="C1:C30" si="1">concat(A1,B1)</f>
        <v>/cruise-lines/virgin-voyages/resilient-lady/cruises</v>
      </c>
    </row>
    <row r="2">
      <c r="A2" s="36" t="s">
        <v>1591</v>
      </c>
      <c r="B2" s="142" t="s">
        <v>1590</v>
      </c>
      <c r="C2" s="219" t="str">
        <f t="shared" si="1"/>
        <v>/cruise-lines/virgin-voyages/scarlet-lady/cruises</v>
      </c>
    </row>
    <row r="3">
      <c r="A3" s="36" t="s">
        <v>1592</v>
      </c>
      <c r="B3" s="142" t="s">
        <v>1590</v>
      </c>
      <c r="C3" s="219" t="str">
        <f t="shared" si="1"/>
        <v>/cruise-lines/virgin-voyages/valiant-lady/cruises</v>
      </c>
    </row>
    <row r="4">
      <c r="A4" s="227" t="s">
        <v>1593</v>
      </c>
      <c r="B4" s="142" t="s">
        <v>1590</v>
      </c>
      <c r="C4" s="219" t="str">
        <f t="shared" si="1"/>
        <v>/cruise-lines/virgin-voyages/brilliant-lady/cruises</v>
      </c>
    </row>
    <row r="5">
      <c r="A5" s="36" t="s">
        <v>1594</v>
      </c>
      <c r="B5" s="142" t="s">
        <v>1590</v>
      </c>
      <c r="C5" s="219" t="str">
        <f t="shared" si="1"/>
        <v>/cruise-lines/seabourn/seabourn-sojourn/cruises</v>
      </c>
    </row>
    <row r="6">
      <c r="A6" s="227" t="s">
        <v>1595</v>
      </c>
      <c r="B6" s="142" t="s">
        <v>1590</v>
      </c>
      <c r="C6" s="219" t="str">
        <f t="shared" si="1"/>
        <v>/cruise-lines/seabourn/seabourn-venture/cruises</v>
      </c>
    </row>
    <row r="7">
      <c r="A7" s="36" t="s">
        <v>1596</v>
      </c>
      <c r="B7" s="142" t="s">
        <v>1590</v>
      </c>
      <c r="C7" s="219" t="str">
        <f t="shared" si="1"/>
        <v>/cruise-lines/royal-caribbean/freedom-of-the-seas/cruises</v>
      </c>
    </row>
    <row r="8">
      <c r="A8" s="36" t="s">
        <v>1597</v>
      </c>
      <c r="B8" s="142" t="s">
        <v>1590</v>
      </c>
      <c r="C8" s="219" t="str">
        <f t="shared" si="1"/>
        <v>/cruise-lines/royal-caribbean/grandeur-of-the-seas/cruises</v>
      </c>
    </row>
    <row r="9">
      <c r="A9" s="36" t="s">
        <v>1598</v>
      </c>
      <c r="B9" s="142" t="s">
        <v>1590</v>
      </c>
      <c r="C9" s="219" t="str">
        <f t="shared" si="1"/>
        <v>/cruise-lines/royal-caribbean/harmony-of-the-seas/cruises</v>
      </c>
    </row>
    <row r="10">
      <c r="A10" s="36" t="s">
        <v>1599</v>
      </c>
      <c r="B10" s="142" t="s">
        <v>1590</v>
      </c>
      <c r="C10" s="219" t="str">
        <f t="shared" si="1"/>
        <v>/cruise-lines/royal-caribbean/icon-of-the-seas/cruises</v>
      </c>
    </row>
    <row r="11">
      <c r="A11" s="36" t="s">
        <v>1600</v>
      </c>
      <c r="B11" s="142" t="s">
        <v>1590</v>
      </c>
      <c r="C11" s="219" t="str">
        <f t="shared" si="1"/>
        <v>/cruise-lines/royal-caribbean/independence-of-the-seas/cruises</v>
      </c>
    </row>
    <row r="12">
      <c r="A12" s="36" t="s">
        <v>1601</v>
      </c>
      <c r="B12" s="142" t="s">
        <v>1590</v>
      </c>
      <c r="C12" s="219" t="str">
        <f t="shared" si="1"/>
        <v>/cruise-lines/royal-caribbean/jewel-of-the-seas/cruises</v>
      </c>
    </row>
    <row r="13">
      <c r="A13" s="36" t="s">
        <v>1602</v>
      </c>
      <c r="B13" s="142" t="s">
        <v>1590</v>
      </c>
      <c r="C13" s="219" t="str">
        <f t="shared" si="1"/>
        <v>/cruise-lines/royal-caribbean/legend-of-the-seas/cruises</v>
      </c>
    </row>
    <row r="14">
      <c r="A14" s="36" t="s">
        <v>1603</v>
      </c>
      <c r="B14" s="142" t="s">
        <v>1590</v>
      </c>
      <c r="C14" s="219" t="str">
        <f t="shared" si="1"/>
        <v>/cruise-lines/royal-caribbean/liberty-of-the-seas/cruises</v>
      </c>
    </row>
    <row r="15">
      <c r="A15" s="36" t="s">
        <v>1604</v>
      </c>
      <c r="B15" s="142" t="s">
        <v>1590</v>
      </c>
      <c r="C15" s="219" t="str">
        <f t="shared" si="1"/>
        <v>/cruise-lines/royal-caribbean/mariner-of-the-seas/cruises</v>
      </c>
    </row>
    <row r="16">
      <c r="A16" s="36" t="s">
        <v>1605</v>
      </c>
      <c r="B16" s="142" t="s">
        <v>1590</v>
      </c>
      <c r="C16" s="219" t="str">
        <f t="shared" si="1"/>
        <v>/cruise-lines/royal-caribbean/navigator-of-the-seas/cruises</v>
      </c>
    </row>
    <row r="17">
      <c r="A17" s="36" t="s">
        <v>1606</v>
      </c>
      <c r="B17" s="142" t="s">
        <v>1590</v>
      </c>
      <c r="C17" s="219" t="str">
        <f t="shared" si="1"/>
        <v>/cruise-lines/royal-caribbean/oasis-of-the-seas/cruises</v>
      </c>
    </row>
    <row r="18">
      <c r="A18" s="36" t="s">
        <v>1607</v>
      </c>
      <c r="B18" s="142" t="s">
        <v>1590</v>
      </c>
      <c r="C18" s="219" t="str">
        <f t="shared" si="1"/>
        <v>/cruise-lines/royal-caribbean/odyssey-of-the-seas/cruises</v>
      </c>
    </row>
    <row r="19">
      <c r="A19" s="36" t="s">
        <v>1608</v>
      </c>
      <c r="B19" s="142" t="s">
        <v>1590</v>
      </c>
      <c r="C19" s="219" t="str">
        <f t="shared" si="1"/>
        <v>/cruise-lines/royal-caribbean/ovation-of-the-seas/cruises</v>
      </c>
    </row>
    <row r="20">
      <c r="A20" s="36" t="s">
        <v>1609</v>
      </c>
      <c r="B20" s="142" t="s">
        <v>1590</v>
      </c>
      <c r="C20" s="219" t="str">
        <f t="shared" si="1"/>
        <v>/cruise-lines/royal-caribbean/quantum-of-the-seas/cruises</v>
      </c>
    </row>
    <row r="21">
      <c r="A21" s="36" t="s">
        <v>1610</v>
      </c>
      <c r="B21" s="142" t="s">
        <v>1590</v>
      </c>
      <c r="C21" s="219" t="str">
        <f t="shared" si="1"/>
        <v>/cruise-lines/royal-caribbean/radiance-of-the-seas/cruises</v>
      </c>
    </row>
    <row r="22">
      <c r="A22" s="36" t="s">
        <v>1611</v>
      </c>
      <c r="B22" s="142" t="s">
        <v>1590</v>
      </c>
      <c r="C22" s="219" t="str">
        <f t="shared" si="1"/>
        <v>/cruise-lines/royal-caribbean/rhapsody-of-the-seas/cruises</v>
      </c>
    </row>
    <row r="23">
      <c r="A23" s="36" t="s">
        <v>1612</v>
      </c>
      <c r="B23" s="142" t="s">
        <v>1590</v>
      </c>
      <c r="C23" s="219" t="str">
        <f t="shared" si="1"/>
        <v>/cruise-lines/royal-caribbean/serenade-of-the-seas/cruises</v>
      </c>
    </row>
    <row r="24">
      <c r="A24" s="36" t="s">
        <v>1613</v>
      </c>
      <c r="B24" s="142" t="s">
        <v>1590</v>
      </c>
      <c r="C24" s="219" t="str">
        <f t="shared" si="1"/>
        <v>/cruise-lines/royal-caribbean/spectrum-of-the-seas/cruises</v>
      </c>
    </row>
    <row r="25">
      <c r="A25" s="36" t="s">
        <v>1614</v>
      </c>
      <c r="B25" s="142" t="s">
        <v>1590</v>
      </c>
      <c r="C25" s="219" t="str">
        <f t="shared" si="1"/>
        <v>/cruise-lines/royal-caribbean/star-of-the-seas/cruises</v>
      </c>
    </row>
    <row r="26">
      <c r="A26" s="36" t="s">
        <v>1615</v>
      </c>
      <c r="B26" s="142" t="s">
        <v>1590</v>
      </c>
      <c r="C26" s="219" t="str">
        <f t="shared" si="1"/>
        <v>/cruise-lines/royal-caribbean/symphony-of-the-seas/cruises</v>
      </c>
    </row>
    <row r="27">
      <c r="A27" s="36" t="s">
        <v>1616</v>
      </c>
      <c r="B27" s="142" t="s">
        <v>1590</v>
      </c>
      <c r="C27" s="219" t="str">
        <f t="shared" si="1"/>
        <v>/cruise-lines/royal-caribbean/utopia-of-the-seas/cruises</v>
      </c>
    </row>
    <row r="28">
      <c r="A28" s="36" t="s">
        <v>1617</v>
      </c>
      <c r="B28" s="142" t="s">
        <v>1590</v>
      </c>
      <c r="C28" s="219" t="str">
        <f t="shared" si="1"/>
        <v>/cruise-lines/royal-caribbean/vision-of-the-seas/cruises</v>
      </c>
    </row>
    <row r="29">
      <c r="A29" s="36" t="s">
        <v>1618</v>
      </c>
      <c r="B29" s="142" t="s">
        <v>1590</v>
      </c>
      <c r="C29" s="219" t="str">
        <f t="shared" si="1"/>
        <v>/cruise-lines/royal-caribbean/voyager-of-the-seas/cruises</v>
      </c>
    </row>
    <row r="30">
      <c r="A30" s="227" t="s">
        <v>1619</v>
      </c>
      <c r="B30" s="142" t="s">
        <v>1590</v>
      </c>
      <c r="C30" s="219" t="str">
        <f t="shared" si="1"/>
        <v>/cruise-lines/royal-caribbean/wonder-of-the-seas/cruises</v>
      </c>
    </row>
    <row r="38">
      <c r="A38" s="228" t="s">
        <v>1620</v>
      </c>
      <c r="B38" s="142" t="s">
        <v>1621</v>
      </c>
      <c r="C38" s="219" t="str">
        <f t="shared" ref="C38:C67" si="2">concat(A38,B38)</f>
        <v>Resilient Lady Cruises</v>
      </c>
    </row>
    <row r="39">
      <c r="A39" s="229" t="s">
        <v>1622</v>
      </c>
      <c r="B39" s="142" t="s">
        <v>1621</v>
      </c>
      <c r="C39" s="219" t="str">
        <f t="shared" si="2"/>
        <v>Scarlet Lady Cruises</v>
      </c>
    </row>
    <row r="40">
      <c r="A40" s="229" t="s">
        <v>1623</v>
      </c>
      <c r="B40" s="142" t="s">
        <v>1621</v>
      </c>
      <c r="C40" s="219" t="str">
        <f t="shared" si="2"/>
        <v>Valiant Lady Cruises</v>
      </c>
    </row>
    <row r="41">
      <c r="A41" s="230" t="s">
        <v>1624</v>
      </c>
      <c r="B41" s="142" t="s">
        <v>1621</v>
      </c>
      <c r="C41" s="219" t="str">
        <f t="shared" si="2"/>
        <v>Brilliant Lady Cruises</v>
      </c>
    </row>
    <row r="42">
      <c r="A42" s="229" t="s">
        <v>1625</v>
      </c>
      <c r="B42" s="142" t="s">
        <v>1621</v>
      </c>
      <c r="C42" s="219" t="str">
        <f t="shared" si="2"/>
        <v>Seabourn Sojourn Cruises</v>
      </c>
    </row>
    <row r="43">
      <c r="A43" s="230" t="s">
        <v>1626</v>
      </c>
      <c r="B43" s="142" t="s">
        <v>1621</v>
      </c>
      <c r="C43" s="219" t="str">
        <f t="shared" si="2"/>
        <v>Seabourn Venture Cruises</v>
      </c>
    </row>
    <row r="44">
      <c r="A44" s="229" t="s">
        <v>1627</v>
      </c>
      <c r="B44" s="142" t="s">
        <v>1621</v>
      </c>
      <c r="C44" s="219" t="str">
        <f t="shared" si="2"/>
        <v>Freedom Of The Seas Cruises</v>
      </c>
    </row>
    <row r="45">
      <c r="A45" s="229" t="s">
        <v>1628</v>
      </c>
      <c r="B45" s="142" t="s">
        <v>1621</v>
      </c>
      <c r="C45" s="219" t="str">
        <f t="shared" si="2"/>
        <v>Grandeur Of The Seas Cruises</v>
      </c>
    </row>
    <row r="46">
      <c r="A46" s="229" t="s">
        <v>1629</v>
      </c>
      <c r="B46" s="142" t="s">
        <v>1621</v>
      </c>
      <c r="C46" s="219" t="str">
        <f t="shared" si="2"/>
        <v>Harmony Of The Seas Cruises</v>
      </c>
    </row>
    <row r="47">
      <c r="A47" s="229" t="s">
        <v>1630</v>
      </c>
      <c r="B47" s="142" t="s">
        <v>1621</v>
      </c>
      <c r="C47" s="219" t="str">
        <f t="shared" si="2"/>
        <v>Icon Of The Seas Cruises</v>
      </c>
    </row>
    <row r="48">
      <c r="A48" s="229" t="s">
        <v>1631</v>
      </c>
      <c r="B48" s="142" t="s">
        <v>1621</v>
      </c>
      <c r="C48" s="219" t="str">
        <f t="shared" si="2"/>
        <v>Independence Of The Seas Cruises</v>
      </c>
    </row>
    <row r="49">
      <c r="A49" s="229" t="s">
        <v>1632</v>
      </c>
      <c r="B49" s="142" t="s">
        <v>1621</v>
      </c>
      <c r="C49" s="219" t="str">
        <f t="shared" si="2"/>
        <v>Jewel Of The Seas Cruises</v>
      </c>
    </row>
    <row r="50">
      <c r="A50" s="229" t="s">
        <v>1633</v>
      </c>
      <c r="B50" s="142" t="s">
        <v>1621</v>
      </c>
      <c r="C50" s="219" t="str">
        <f t="shared" si="2"/>
        <v>Legend Of The Seas Cruises</v>
      </c>
    </row>
    <row r="51">
      <c r="A51" s="229" t="s">
        <v>1634</v>
      </c>
      <c r="B51" s="142" t="s">
        <v>1621</v>
      </c>
      <c r="C51" s="219" t="str">
        <f t="shared" si="2"/>
        <v>Liberty Of The Seas Cruises</v>
      </c>
    </row>
    <row r="52">
      <c r="A52" s="229" t="s">
        <v>1635</v>
      </c>
      <c r="B52" s="142" t="s">
        <v>1621</v>
      </c>
      <c r="C52" s="219" t="str">
        <f t="shared" si="2"/>
        <v>Mariner Of The Seas Cruises</v>
      </c>
    </row>
    <row r="53">
      <c r="A53" s="229" t="s">
        <v>1636</v>
      </c>
      <c r="B53" s="142" t="s">
        <v>1621</v>
      </c>
      <c r="C53" s="219" t="str">
        <f t="shared" si="2"/>
        <v>Navigator Of The Seas Cruises</v>
      </c>
    </row>
    <row r="54">
      <c r="A54" s="229" t="s">
        <v>1637</v>
      </c>
      <c r="B54" s="142" t="s">
        <v>1621</v>
      </c>
      <c r="C54" s="219" t="str">
        <f t="shared" si="2"/>
        <v>Oasis Of The Seas Cruises</v>
      </c>
    </row>
    <row r="55">
      <c r="A55" s="229" t="s">
        <v>1638</v>
      </c>
      <c r="B55" s="142" t="s">
        <v>1621</v>
      </c>
      <c r="C55" s="219" t="str">
        <f t="shared" si="2"/>
        <v>Odyssey Of The Seas Cruises</v>
      </c>
    </row>
    <row r="56">
      <c r="A56" s="229" t="s">
        <v>1639</v>
      </c>
      <c r="B56" s="142" t="s">
        <v>1621</v>
      </c>
      <c r="C56" s="219" t="str">
        <f t="shared" si="2"/>
        <v>Ovation Of The Seas Cruises</v>
      </c>
    </row>
    <row r="57">
      <c r="A57" s="229" t="s">
        <v>1640</v>
      </c>
      <c r="B57" s="142" t="s">
        <v>1621</v>
      </c>
      <c r="C57" s="219" t="str">
        <f t="shared" si="2"/>
        <v>Quantum Of The Seas Cruises</v>
      </c>
    </row>
    <row r="58">
      <c r="A58" s="229" t="s">
        <v>1641</v>
      </c>
      <c r="B58" s="142" t="s">
        <v>1621</v>
      </c>
      <c r="C58" s="219" t="str">
        <f t="shared" si="2"/>
        <v>Radiance Of The Seas Cruises</v>
      </c>
    </row>
    <row r="59">
      <c r="A59" s="229" t="s">
        <v>1642</v>
      </c>
      <c r="B59" s="142" t="s">
        <v>1621</v>
      </c>
      <c r="C59" s="219" t="str">
        <f t="shared" si="2"/>
        <v>Rhapsody Of The Seas Cruises</v>
      </c>
    </row>
    <row r="60">
      <c r="A60" s="229" t="s">
        <v>1643</v>
      </c>
      <c r="B60" s="142" t="s">
        <v>1621</v>
      </c>
      <c r="C60" s="219" t="str">
        <f t="shared" si="2"/>
        <v>Serenade Of The Seas Cruises</v>
      </c>
    </row>
    <row r="61">
      <c r="A61" s="229" t="s">
        <v>1644</v>
      </c>
      <c r="B61" s="142" t="s">
        <v>1621</v>
      </c>
      <c r="C61" s="219" t="str">
        <f t="shared" si="2"/>
        <v>Spectrum Of The Seas Cruises</v>
      </c>
    </row>
    <row r="62">
      <c r="A62" s="229" t="s">
        <v>1645</v>
      </c>
      <c r="B62" s="142" t="s">
        <v>1621</v>
      </c>
      <c r="C62" s="219" t="str">
        <f t="shared" si="2"/>
        <v>Star Of The Seas Cruises</v>
      </c>
    </row>
    <row r="63">
      <c r="A63" s="229" t="s">
        <v>1646</v>
      </c>
      <c r="B63" s="142" t="s">
        <v>1621</v>
      </c>
      <c r="C63" s="219" t="str">
        <f t="shared" si="2"/>
        <v>Symphony Of The Seas Cruises</v>
      </c>
    </row>
    <row r="64">
      <c r="A64" s="229" t="s">
        <v>1647</v>
      </c>
      <c r="B64" s="142" t="s">
        <v>1621</v>
      </c>
      <c r="C64" s="219" t="str">
        <f t="shared" si="2"/>
        <v>Utopia Of The Seas Cruises</v>
      </c>
    </row>
    <row r="65">
      <c r="A65" s="229" t="s">
        <v>1648</v>
      </c>
      <c r="B65" s="142" t="s">
        <v>1621</v>
      </c>
      <c r="C65" s="219" t="str">
        <f t="shared" si="2"/>
        <v>Vision Of The Seas Cruises</v>
      </c>
    </row>
    <row r="66">
      <c r="A66" s="229" t="s">
        <v>1649</v>
      </c>
      <c r="B66" s="142" t="s">
        <v>1621</v>
      </c>
      <c r="C66" s="219" t="str">
        <f t="shared" si="2"/>
        <v>Voyager Of The Seas Cruises</v>
      </c>
    </row>
    <row r="67">
      <c r="A67" s="230" t="s">
        <v>1650</v>
      </c>
      <c r="B67" s="142" t="s">
        <v>1621</v>
      </c>
      <c r="C67" s="219" t="str">
        <f t="shared" si="2"/>
        <v>Wonder Of The Seas Cruises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25" t="s">
        <v>1651</v>
      </c>
    </row>
    <row r="2">
      <c r="A2" s="219" t="s">
        <v>1589</v>
      </c>
      <c r="B2" s="219" t="str">
        <f>IFERROR(__xludf.DUMMYFUNCTION("REGEXREPLACE(A2, ""/cruise-lines/virgin-voyages/"", """")"),"resilient-lady")</f>
        <v>resilient-lady</v>
      </c>
      <c r="C2" s="219" t="s">
        <v>1652</v>
      </c>
      <c r="D2" s="219" t="str">
        <f>IFERROR(__xludf.DUMMYFUNCTION("REGEXREPLACE(C2, ""-"", "" "")"),"resilient lady")</f>
        <v>resilient lady</v>
      </c>
      <c r="E2" s="219" t="str">
        <f t="shared" ref="E2:E17" si="1">PROPER(D2)</f>
        <v>Resilient Lady</v>
      </c>
    </row>
    <row r="3">
      <c r="A3" s="219" t="s">
        <v>1591</v>
      </c>
      <c r="B3" s="219" t="str">
        <f>IFERROR(__xludf.DUMMYFUNCTION("REGEXREPLACE(A3, ""/cruise-lines/virgin-voyages/"", """")"),"scarlet-lady")</f>
        <v>scarlet-lady</v>
      </c>
      <c r="C3" s="219" t="s">
        <v>1653</v>
      </c>
      <c r="D3" s="219" t="str">
        <f>IFERROR(__xludf.DUMMYFUNCTION("REGEXREPLACE(C3, ""-"", "" "")"),"scarlet lady")</f>
        <v>scarlet lady</v>
      </c>
      <c r="E3" s="219" t="str">
        <f t="shared" si="1"/>
        <v>Scarlet Lady</v>
      </c>
    </row>
    <row r="4">
      <c r="A4" s="219" t="s">
        <v>1592</v>
      </c>
      <c r="B4" s="219" t="str">
        <f>IFERROR(__xludf.DUMMYFUNCTION("REGEXREPLACE(A4, ""/cruise-lines/virgin-voyages/"", """")"),"valiant-lady")</f>
        <v>valiant-lady</v>
      </c>
      <c r="C4" s="219" t="s">
        <v>1654</v>
      </c>
      <c r="D4" s="219" t="str">
        <f>IFERROR(__xludf.DUMMYFUNCTION("REGEXREPLACE(C4, ""-"", "" "")"),"valiant lady")</f>
        <v>valiant lady</v>
      </c>
      <c r="E4" s="219" t="str">
        <f t="shared" si="1"/>
        <v>Valiant Lady</v>
      </c>
    </row>
    <row r="5">
      <c r="A5" s="219" t="s">
        <v>1593</v>
      </c>
      <c r="B5" s="219" t="str">
        <f>IFERROR(__xludf.DUMMYFUNCTION("REGEXREPLACE(A5, ""/cruise-lines/virgin-voyages/"", """")"),"brilliant-lady")</f>
        <v>brilliant-lady</v>
      </c>
      <c r="C5" s="219" t="s">
        <v>1655</v>
      </c>
      <c r="D5" s="219" t="str">
        <f>IFERROR(__xludf.DUMMYFUNCTION("REGEXREPLACE(C5, ""-"", "" "")"),"brilliant lady")</f>
        <v>brilliant lady</v>
      </c>
      <c r="E5" s="219" t="str">
        <f t="shared" si="1"/>
        <v>Brilliant Lady</v>
      </c>
    </row>
    <row r="6">
      <c r="B6" s="219" t="str">
        <f>IFERROR(__xludf.DUMMYFUNCTION("REGEXREPLACE(A6, ""/cruise-lines/royal-caribbean/"", """")"),"")</f>
        <v/>
      </c>
      <c r="C6" s="219" t="s">
        <v>1656</v>
      </c>
      <c r="D6" s="219" t="str">
        <f>IFERROR(__xludf.DUMMYFUNCTION("REGEXREPLACE(C6, ""-"", "" "")"),"ovation of the seas")</f>
        <v>ovation of the seas</v>
      </c>
      <c r="E6" s="219" t="str">
        <f t="shared" si="1"/>
        <v>Ovation Of The Seas</v>
      </c>
    </row>
    <row r="7">
      <c r="B7" s="219" t="str">
        <f>IFERROR(__xludf.DUMMYFUNCTION("REGEXREPLACE(A7, ""/cruise-lines/royal-caribbean/"", """")"),"")</f>
        <v/>
      </c>
      <c r="C7" s="219" t="s">
        <v>1657</v>
      </c>
      <c r="D7" s="219" t="str">
        <f>IFERROR(__xludf.DUMMYFUNCTION("REGEXREPLACE(C7, ""-"", "" "")"),"quantum of the seas")</f>
        <v>quantum of the seas</v>
      </c>
      <c r="E7" s="219" t="str">
        <f t="shared" si="1"/>
        <v>Quantum Of The Seas</v>
      </c>
    </row>
    <row r="8">
      <c r="B8" s="219" t="str">
        <f>IFERROR(__xludf.DUMMYFUNCTION("REGEXREPLACE(A8, ""/cruise-lines/royal-caribbean/"", """")"),"")</f>
        <v/>
      </c>
      <c r="C8" s="219" t="s">
        <v>1658</v>
      </c>
      <c r="D8" s="219" t="str">
        <f>IFERROR(__xludf.DUMMYFUNCTION("REGEXREPLACE(C8, ""-"", "" "")"),"radiance of the seas")</f>
        <v>radiance of the seas</v>
      </c>
      <c r="E8" s="219" t="str">
        <f t="shared" si="1"/>
        <v>Radiance Of The Seas</v>
      </c>
    </row>
    <row r="9">
      <c r="B9" s="219" t="str">
        <f>IFERROR(__xludf.DUMMYFUNCTION("REGEXREPLACE(A9, ""/cruise-lines/royal-caribbean/"", """")"),"")</f>
        <v/>
      </c>
      <c r="C9" s="219" t="s">
        <v>1659</v>
      </c>
      <c r="D9" s="219" t="str">
        <f>IFERROR(__xludf.DUMMYFUNCTION("REGEXREPLACE(C9, ""-"", "" "")"),"rhapsody of the seas")</f>
        <v>rhapsody of the seas</v>
      </c>
      <c r="E9" s="219" t="str">
        <f t="shared" si="1"/>
        <v>Rhapsody Of The Seas</v>
      </c>
    </row>
    <row r="10">
      <c r="B10" s="219" t="str">
        <f>IFERROR(__xludf.DUMMYFUNCTION("REGEXREPLACE(A10, ""/cruise-lines/royal-caribbean/"", """")"),"")</f>
        <v/>
      </c>
      <c r="C10" s="219" t="s">
        <v>1660</v>
      </c>
      <c r="D10" s="219" t="str">
        <f>IFERROR(__xludf.DUMMYFUNCTION("REGEXREPLACE(C10, ""-"", "" "")"),"serenade of the seas")</f>
        <v>serenade of the seas</v>
      </c>
      <c r="E10" s="219" t="str">
        <f t="shared" si="1"/>
        <v>Serenade Of The Seas</v>
      </c>
    </row>
    <row r="11">
      <c r="B11" s="219" t="str">
        <f>IFERROR(__xludf.DUMMYFUNCTION("REGEXREPLACE(A11, ""/cruise-lines/royal-caribbean/"", """")"),"")</f>
        <v/>
      </c>
      <c r="C11" s="219" t="s">
        <v>1661</v>
      </c>
      <c r="D11" s="219" t="str">
        <f>IFERROR(__xludf.DUMMYFUNCTION("REGEXREPLACE(C11, ""-"", "" "")"),"spectrum of the seas")</f>
        <v>spectrum of the seas</v>
      </c>
      <c r="E11" s="219" t="str">
        <f t="shared" si="1"/>
        <v>Spectrum Of The Seas</v>
      </c>
    </row>
    <row r="12">
      <c r="B12" s="219" t="str">
        <f>IFERROR(__xludf.DUMMYFUNCTION("REGEXREPLACE(A12, ""/cruise-lines/royal-caribbean/"", """")"),"")</f>
        <v/>
      </c>
      <c r="C12" s="219" t="s">
        <v>1662</v>
      </c>
      <c r="D12" s="219" t="str">
        <f>IFERROR(__xludf.DUMMYFUNCTION("REGEXREPLACE(C12, ""-"", "" "")"),"star of the seas")</f>
        <v>star of the seas</v>
      </c>
      <c r="E12" s="219" t="str">
        <f t="shared" si="1"/>
        <v>Star Of The Seas</v>
      </c>
    </row>
    <row r="13">
      <c r="B13" s="219" t="str">
        <f>IFERROR(__xludf.DUMMYFUNCTION("REGEXREPLACE(A13, ""/cruise-lines/royal-caribbean/"", """")"),"")</f>
        <v/>
      </c>
      <c r="C13" s="219" t="s">
        <v>1663</v>
      </c>
      <c r="D13" s="219" t="str">
        <f>IFERROR(__xludf.DUMMYFUNCTION("REGEXREPLACE(C13, ""-"", "" "")"),"symphony of the seas")</f>
        <v>symphony of the seas</v>
      </c>
      <c r="E13" s="219" t="str">
        <f t="shared" si="1"/>
        <v>Symphony Of The Seas</v>
      </c>
    </row>
    <row r="14">
      <c r="B14" s="219" t="str">
        <f>IFERROR(__xludf.DUMMYFUNCTION("REGEXREPLACE(A14, ""/cruise-lines/royal-caribbean/"", """")"),"")</f>
        <v/>
      </c>
      <c r="C14" s="219" t="s">
        <v>1664</v>
      </c>
      <c r="D14" s="219" t="str">
        <f>IFERROR(__xludf.DUMMYFUNCTION("REGEXREPLACE(C14, ""-"", "" "")"),"utopia of the seas")</f>
        <v>utopia of the seas</v>
      </c>
      <c r="E14" s="219" t="str">
        <f t="shared" si="1"/>
        <v>Utopia Of The Seas</v>
      </c>
    </row>
    <row r="15">
      <c r="B15" s="219" t="str">
        <f>IFERROR(__xludf.DUMMYFUNCTION("REGEXREPLACE(A15, ""/cruise-lines/royal-caribbean/"", """")"),"")</f>
        <v/>
      </c>
      <c r="C15" s="219" t="s">
        <v>1665</v>
      </c>
      <c r="D15" s="219" t="str">
        <f>IFERROR(__xludf.DUMMYFUNCTION("REGEXREPLACE(C15, ""-"", "" "")"),"vision of the seas")</f>
        <v>vision of the seas</v>
      </c>
      <c r="E15" s="219" t="str">
        <f t="shared" si="1"/>
        <v>Vision Of The Seas</v>
      </c>
    </row>
    <row r="16">
      <c r="B16" s="219" t="str">
        <f>IFERROR(__xludf.DUMMYFUNCTION("REGEXREPLACE(A16, ""/cruise-lines/royal-caribbean/"", """")"),"")</f>
        <v/>
      </c>
      <c r="C16" s="219" t="s">
        <v>1666</v>
      </c>
      <c r="D16" s="219" t="str">
        <f>IFERROR(__xludf.DUMMYFUNCTION("REGEXREPLACE(C16, ""-"", "" "")"),"voyager of the seas")</f>
        <v>voyager of the seas</v>
      </c>
      <c r="E16" s="219" t="str">
        <f t="shared" si="1"/>
        <v>Voyager Of The Seas</v>
      </c>
    </row>
    <row r="17">
      <c r="B17" s="219" t="str">
        <f>IFERROR(__xludf.DUMMYFUNCTION("REGEXREPLACE(A17, ""/cruise-lines/royal-caribbean/"", """")"),"")</f>
        <v/>
      </c>
      <c r="C17" s="219" t="s">
        <v>1667</v>
      </c>
      <c r="D17" s="219" t="str">
        <f>IFERROR(__xludf.DUMMYFUNCTION("REGEXREPLACE(C17, ""-"", "" "")"),"wonder of the seas")</f>
        <v>wonder of the seas</v>
      </c>
      <c r="E17" s="219" t="str">
        <f t="shared" si="1"/>
        <v>Wonder Of The Seas</v>
      </c>
    </row>
  </sheetData>
  <autoFilter ref="$A$1:$A$17">
    <sortState ref="A1:A17">
      <sortCondition ref="A1:A17"/>
    </sortState>
  </autoFilter>
  <drawing r:id="rId1"/>
</worksheet>
</file>